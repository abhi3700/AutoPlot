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5355" yWindow="-21135" windowWidth="20730" windowHeight="11760" tabRatio="564" firstSheet="2" activeTab="10"/>
  </bookViews>
  <sheets>
    <sheet name="REPL1A-WSA" sheetId="1" r:id="rId1"/>
    <sheet name="_xlwings.conf" sheetId="2" state="hidden" r:id="rId2"/>
    <sheet name="REPL1A-CP" sheetId="4" r:id="rId3"/>
    <sheet name="REPL1A-ERNit" sheetId="5" r:id="rId4"/>
    <sheet name="REPL1A-ERPoly" sheetId="6" r:id="rId5"/>
    <sheet name="CP Plot" sheetId="7" state="hidden" r:id="rId6"/>
    <sheet name="SiN Plot" sheetId="8" state="hidden" r:id="rId7"/>
    <sheet name="Poly Plot" sheetId="9" state="hidden" r:id="rId8"/>
    <sheet name="RUN_code" sheetId="3" r:id="rId9"/>
    <sheet name="control limit calculation" sheetId="14" r:id="rId10"/>
    <sheet name="Daily CP monitor" sheetId="15" r:id="rId11"/>
    <sheet name="Sheet7" sheetId="13" r:id="rId12"/>
  </sheets>
  <definedNames>
    <definedName name="_xlnm._FilterDatabase" localSheetId="2" hidden="1">'REPL1A-CP'!$A$9:$I$136</definedName>
    <definedName name="_xlnm._FilterDatabase" localSheetId="3" hidden="1">'REPL1A-ERNit'!$A$10:$AE$307</definedName>
    <definedName name="_xlnm._FilterDatabase" localSheetId="4" hidden="1">'REPL1A-ERPoly'!$A$10:$AH$319</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E257" i="15"/>
  <c r="D257"/>
  <c r="E256"/>
  <c r="D256"/>
  <c r="E255"/>
  <c r="D255"/>
  <c r="E254"/>
  <c r="D254"/>
  <c r="E253"/>
  <c r="D253"/>
  <c r="E252"/>
  <c r="D252"/>
  <c r="E251"/>
  <c r="D251"/>
  <c r="E250"/>
  <c r="D250"/>
  <c r="E249"/>
  <c r="D249"/>
  <c r="E248"/>
  <c r="D248"/>
  <c r="E84"/>
  <c r="D84"/>
  <c r="E83"/>
  <c r="D83"/>
  <c r="E82"/>
  <c r="D82"/>
  <c r="E81"/>
  <c r="D81"/>
  <c r="E80"/>
  <c r="D80"/>
  <c r="E79"/>
  <c r="D79"/>
  <c r="E78"/>
  <c r="D78"/>
  <c r="E77"/>
  <c r="D77"/>
  <c r="E76"/>
  <c r="D76"/>
  <c r="E75"/>
  <c r="D75"/>
  <c r="E74"/>
  <c r="D74"/>
  <c r="E73"/>
  <c r="D73"/>
  <c r="E72"/>
  <c r="D72"/>
  <c r="E71"/>
  <c r="D71"/>
  <c r="E70"/>
  <c r="D70"/>
  <c r="E69"/>
  <c r="D69"/>
  <c r="E68"/>
  <c r="D68"/>
  <c r="E67"/>
  <c r="D67"/>
  <c r="E66"/>
  <c r="D66"/>
  <c r="E65"/>
  <c r="D65"/>
  <c r="E64"/>
  <c r="D64"/>
  <c r="E63"/>
  <c r="D63"/>
  <c r="E62"/>
  <c r="D62"/>
  <c r="E61"/>
  <c r="D61"/>
  <c r="E60"/>
  <c r="D60"/>
  <c r="E59"/>
  <c r="D59"/>
  <c r="E58"/>
  <c r="D58"/>
  <c r="E57"/>
  <c r="D57"/>
  <c r="E56"/>
  <c r="D56"/>
  <c r="E55"/>
  <c r="D55"/>
  <c r="E54"/>
  <c r="D54"/>
  <c r="D53"/>
  <c r="E53" s="1"/>
  <c r="E52"/>
  <c r="D52"/>
  <c r="D51"/>
  <c r="E51" s="1"/>
  <c r="E50"/>
  <c r="D50"/>
  <c r="D49"/>
  <c r="E49" s="1"/>
  <c r="E48"/>
  <c r="D48"/>
  <c r="D47"/>
  <c r="E47" s="1"/>
  <c r="E46"/>
  <c r="D46"/>
  <c r="D45"/>
  <c r="E45" s="1"/>
  <c r="E44"/>
  <c r="D44"/>
  <c r="D43"/>
  <c r="E43" s="1"/>
  <c r="E42"/>
  <c r="D42"/>
  <c r="D41"/>
  <c r="E41" s="1"/>
  <c r="E40"/>
  <c r="D40"/>
  <c r="D39"/>
  <c r="E39" s="1"/>
  <c r="E38"/>
  <c r="D38"/>
  <c r="D37"/>
  <c r="E37" s="1"/>
  <c r="E36"/>
  <c r="D36"/>
  <c r="D35"/>
  <c r="E35" s="1"/>
  <c r="E34"/>
  <c r="D34"/>
  <c r="D33"/>
  <c r="E33" s="1"/>
  <c r="E32"/>
  <c r="D32"/>
  <c r="D31"/>
  <c r="E31" s="1"/>
  <c r="E30"/>
  <c r="D30"/>
  <c r="D29"/>
  <c r="E29" s="1"/>
  <c r="E28"/>
  <c r="D28"/>
  <c r="D27"/>
  <c r="E27" s="1"/>
  <c r="E26"/>
  <c r="D26"/>
  <c r="D25"/>
  <c r="E25" s="1"/>
  <c r="E24"/>
  <c r="D24"/>
  <c r="D23"/>
  <c r="E23" s="1"/>
  <c r="E22"/>
  <c r="D22"/>
  <c r="D21"/>
  <c r="E21" s="1"/>
  <c r="E20"/>
  <c r="D20"/>
  <c r="D19"/>
  <c r="E19" s="1"/>
  <c r="E18"/>
  <c r="D18"/>
  <c r="D17"/>
  <c r="E17" s="1"/>
  <c r="E16"/>
  <c r="D16"/>
  <c r="D15"/>
  <c r="E15" s="1"/>
  <c r="E14"/>
  <c r="D14"/>
  <c r="D13"/>
  <c r="E13" s="1"/>
  <c r="E12"/>
  <c r="D12"/>
  <c r="D11"/>
  <c r="E11" s="1"/>
  <c r="E10"/>
  <c r="D10"/>
  <c r="D9"/>
  <c r="E9" s="1"/>
  <c r="E8"/>
  <c r="D8"/>
  <c r="D7"/>
  <c r="E7" s="1"/>
  <c r="E6"/>
  <c r="D6"/>
  <c r="D5"/>
  <c r="E5" s="1"/>
  <c r="E4"/>
  <c r="D4"/>
  <c r="D3"/>
  <c r="E3" s="1"/>
  <c r="L42" i="14"/>
  <c r="H42"/>
  <c r="G44" s="1"/>
  <c r="D42"/>
  <c r="Q41"/>
  <c r="P41"/>
  <c r="P42" s="1"/>
  <c r="O41"/>
  <c r="M41"/>
  <c r="L41"/>
  <c r="K41"/>
  <c r="K44" s="1"/>
  <c r="I41"/>
  <c r="H41"/>
  <c r="G41"/>
  <c r="D41"/>
  <c r="D44" s="1"/>
  <c r="C41"/>
  <c r="C42" s="1"/>
  <c r="B41"/>
  <c r="B44" s="1"/>
  <c r="Q40"/>
  <c r="Q42" s="1"/>
  <c r="M40"/>
  <c r="M42" s="1"/>
  <c r="I40"/>
  <c r="I42" s="1"/>
  <c r="D40"/>
  <c r="S319" i="6"/>
  <c r="R319"/>
  <c r="Q319"/>
  <c r="P319"/>
  <c r="O319"/>
  <c r="N319"/>
  <c r="M319"/>
  <c r="L319"/>
  <c r="K319"/>
  <c r="J319"/>
  <c r="I319"/>
  <c r="H319"/>
  <c r="G319"/>
  <c r="F319"/>
  <c r="E319"/>
  <c r="W317" s="1"/>
  <c r="D319"/>
  <c r="C319"/>
  <c r="U317"/>
  <c r="T317"/>
  <c r="X317" s="1"/>
  <c r="S316"/>
  <c r="R316"/>
  <c r="Q316"/>
  <c r="P316"/>
  <c r="O316"/>
  <c r="N316"/>
  <c r="M316"/>
  <c r="L316"/>
  <c r="K316"/>
  <c r="J316"/>
  <c r="I316"/>
  <c r="H316"/>
  <c r="G316"/>
  <c r="F316"/>
  <c r="E316"/>
  <c r="D316"/>
  <c r="V314" s="1"/>
  <c r="C316"/>
  <c r="S313"/>
  <c r="R313"/>
  <c r="Q313"/>
  <c r="P313"/>
  <c r="O313"/>
  <c r="N313"/>
  <c r="M313"/>
  <c r="L313"/>
  <c r="K313"/>
  <c r="J313"/>
  <c r="I313"/>
  <c r="H313"/>
  <c r="G313"/>
  <c r="F313"/>
  <c r="E313"/>
  <c r="D313"/>
  <c r="C313"/>
  <c r="S310"/>
  <c r="R310"/>
  <c r="Q310"/>
  <c r="P310"/>
  <c r="O310"/>
  <c r="N310"/>
  <c r="M310"/>
  <c r="L310"/>
  <c r="K310"/>
  <c r="J310"/>
  <c r="I310"/>
  <c r="H310"/>
  <c r="G310"/>
  <c r="F310"/>
  <c r="E310"/>
  <c r="D310"/>
  <c r="C310"/>
  <c r="S307"/>
  <c r="R307"/>
  <c r="Q307"/>
  <c r="P307"/>
  <c r="O307"/>
  <c r="N307"/>
  <c r="M307"/>
  <c r="L307"/>
  <c r="K307"/>
  <c r="J307"/>
  <c r="I307"/>
  <c r="H307"/>
  <c r="G307"/>
  <c r="F307"/>
  <c r="E307"/>
  <c r="D307"/>
  <c r="C307"/>
  <c r="T305" s="1"/>
  <c r="S304"/>
  <c r="R304"/>
  <c r="Q304"/>
  <c r="P304"/>
  <c r="O304"/>
  <c r="N304"/>
  <c r="M304"/>
  <c r="L304"/>
  <c r="K304"/>
  <c r="J304"/>
  <c r="I304"/>
  <c r="H304"/>
  <c r="G304"/>
  <c r="F304"/>
  <c r="E304"/>
  <c r="D304"/>
  <c r="C304"/>
  <c r="S301"/>
  <c r="R301"/>
  <c r="Q301"/>
  <c r="P301"/>
  <c r="O301"/>
  <c r="N301"/>
  <c r="M301"/>
  <c r="L301"/>
  <c r="K301"/>
  <c r="J301"/>
  <c r="I301"/>
  <c r="H301"/>
  <c r="G301"/>
  <c r="F301"/>
  <c r="E301"/>
  <c r="D301"/>
  <c r="C301"/>
  <c r="S298"/>
  <c r="R298"/>
  <c r="Q298"/>
  <c r="P298"/>
  <c r="O298"/>
  <c r="N298"/>
  <c r="M298"/>
  <c r="L298"/>
  <c r="K298"/>
  <c r="J298"/>
  <c r="I298"/>
  <c r="H298"/>
  <c r="G298"/>
  <c r="F298"/>
  <c r="E298"/>
  <c r="D298"/>
  <c r="C298"/>
  <c r="S295"/>
  <c r="R295"/>
  <c r="Q295"/>
  <c r="P295"/>
  <c r="O295"/>
  <c r="N295"/>
  <c r="M295"/>
  <c r="L295"/>
  <c r="K295"/>
  <c r="J295"/>
  <c r="I295"/>
  <c r="H295"/>
  <c r="G295"/>
  <c r="F295"/>
  <c r="E295"/>
  <c r="D295"/>
  <c r="C295"/>
  <c r="T293" s="1"/>
  <c r="S292"/>
  <c r="R292"/>
  <c r="Q292"/>
  <c r="P292"/>
  <c r="O292"/>
  <c r="N292"/>
  <c r="M292"/>
  <c r="L292"/>
  <c r="K292"/>
  <c r="J292"/>
  <c r="I292"/>
  <c r="H292"/>
  <c r="G292"/>
  <c r="F292"/>
  <c r="E292"/>
  <c r="D292"/>
  <c r="C292"/>
  <c r="S289"/>
  <c r="R289"/>
  <c r="Q289"/>
  <c r="P289"/>
  <c r="O289"/>
  <c r="N289"/>
  <c r="M289"/>
  <c r="L289"/>
  <c r="K289"/>
  <c r="J289"/>
  <c r="I289"/>
  <c r="H289"/>
  <c r="G289"/>
  <c r="F289"/>
  <c r="E289"/>
  <c r="D289"/>
  <c r="C289"/>
  <c r="S286"/>
  <c r="R286"/>
  <c r="Q286"/>
  <c r="P286"/>
  <c r="O286"/>
  <c r="N286"/>
  <c r="M286"/>
  <c r="L286"/>
  <c r="K286"/>
  <c r="J286"/>
  <c r="I286"/>
  <c r="H286"/>
  <c r="G286"/>
  <c r="F286"/>
  <c r="E286"/>
  <c r="D286"/>
  <c r="C286"/>
  <c r="S283"/>
  <c r="R283"/>
  <c r="Q283"/>
  <c r="P283"/>
  <c r="O283"/>
  <c r="N283"/>
  <c r="M283"/>
  <c r="L283"/>
  <c r="K283"/>
  <c r="J283"/>
  <c r="I283"/>
  <c r="H283"/>
  <c r="G283"/>
  <c r="F283"/>
  <c r="E283"/>
  <c r="D283"/>
  <c r="C283"/>
  <c r="S280"/>
  <c r="R280"/>
  <c r="Q280"/>
  <c r="P280"/>
  <c r="O280"/>
  <c r="N280"/>
  <c r="M280"/>
  <c r="L280"/>
  <c r="K280"/>
  <c r="J280"/>
  <c r="I280"/>
  <c r="H280"/>
  <c r="G280"/>
  <c r="F280"/>
  <c r="E280"/>
  <c r="D280"/>
  <c r="V278" s="1"/>
  <c r="C280"/>
  <c r="S277"/>
  <c r="R277"/>
  <c r="Q277"/>
  <c r="P277"/>
  <c r="O277"/>
  <c r="N277"/>
  <c r="M277"/>
  <c r="L277"/>
  <c r="K277"/>
  <c r="J277"/>
  <c r="I277"/>
  <c r="H277"/>
  <c r="G277"/>
  <c r="F277"/>
  <c r="E277"/>
  <c r="V275" s="1"/>
  <c r="D277"/>
  <c r="C277"/>
  <c r="S274"/>
  <c r="R274"/>
  <c r="Q274"/>
  <c r="P274"/>
  <c r="O274"/>
  <c r="N274"/>
  <c r="M274"/>
  <c r="L274"/>
  <c r="K274"/>
  <c r="J274"/>
  <c r="I274"/>
  <c r="H274"/>
  <c r="G274"/>
  <c r="F274"/>
  <c r="E274"/>
  <c r="D274"/>
  <c r="C274"/>
  <c r="S271"/>
  <c r="R271"/>
  <c r="Q271"/>
  <c r="P271"/>
  <c r="O271"/>
  <c r="N271"/>
  <c r="M271"/>
  <c r="L271"/>
  <c r="K271"/>
  <c r="J271"/>
  <c r="I271"/>
  <c r="H271"/>
  <c r="G271"/>
  <c r="F271"/>
  <c r="E271"/>
  <c r="D271"/>
  <c r="C271"/>
  <c r="S268"/>
  <c r="R268"/>
  <c r="Q268"/>
  <c r="P268"/>
  <c r="O268"/>
  <c r="N268"/>
  <c r="M268"/>
  <c r="L268"/>
  <c r="K268"/>
  <c r="J268"/>
  <c r="I268"/>
  <c r="H268"/>
  <c r="G268"/>
  <c r="F268"/>
  <c r="E268"/>
  <c r="D268"/>
  <c r="C268"/>
  <c r="S265"/>
  <c r="R265"/>
  <c r="Q265"/>
  <c r="P265"/>
  <c r="O265"/>
  <c r="N265"/>
  <c r="M265"/>
  <c r="L265"/>
  <c r="K265"/>
  <c r="J265"/>
  <c r="I265"/>
  <c r="H265"/>
  <c r="G265"/>
  <c r="F265"/>
  <c r="E265"/>
  <c r="D265"/>
  <c r="C265"/>
  <c r="U263" s="1"/>
  <c r="S262"/>
  <c r="R262"/>
  <c r="Q262"/>
  <c r="P262"/>
  <c r="O262"/>
  <c r="N262"/>
  <c r="M262"/>
  <c r="L262"/>
  <c r="K262"/>
  <c r="J262"/>
  <c r="I262"/>
  <c r="H262"/>
  <c r="G262"/>
  <c r="F262"/>
  <c r="E262"/>
  <c r="D262"/>
  <c r="C262"/>
  <c r="S259"/>
  <c r="R259"/>
  <c r="Q259"/>
  <c r="P259"/>
  <c r="O259"/>
  <c r="N259"/>
  <c r="M259"/>
  <c r="L259"/>
  <c r="K259"/>
  <c r="J259"/>
  <c r="I259"/>
  <c r="H259"/>
  <c r="G259"/>
  <c r="F259"/>
  <c r="E259"/>
  <c r="D259"/>
  <c r="C259"/>
  <c r="S256"/>
  <c r="R256"/>
  <c r="Q256"/>
  <c r="P256"/>
  <c r="O256"/>
  <c r="N256"/>
  <c r="M256"/>
  <c r="L256"/>
  <c r="K256"/>
  <c r="J256"/>
  <c r="I256"/>
  <c r="H256"/>
  <c r="G256"/>
  <c r="F256"/>
  <c r="E256"/>
  <c r="D256"/>
  <c r="C256"/>
  <c r="S253"/>
  <c r="R253"/>
  <c r="Q253"/>
  <c r="P253"/>
  <c r="O253"/>
  <c r="N253"/>
  <c r="M253"/>
  <c r="L253"/>
  <c r="K253"/>
  <c r="J253"/>
  <c r="I253"/>
  <c r="H253"/>
  <c r="G253"/>
  <c r="F253"/>
  <c r="E253"/>
  <c r="D253"/>
  <c r="C253"/>
  <c r="S250"/>
  <c r="R250"/>
  <c r="Q250"/>
  <c r="P250"/>
  <c r="O250"/>
  <c r="N250"/>
  <c r="M250"/>
  <c r="L250"/>
  <c r="K250"/>
  <c r="J250"/>
  <c r="I250"/>
  <c r="H250"/>
  <c r="G250"/>
  <c r="F250"/>
  <c r="E250"/>
  <c r="D250"/>
  <c r="C250"/>
  <c r="S247"/>
  <c r="R247"/>
  <c r="Q247"/>
  <c r="P247"/>
  <c r="O247"/>
  <c r="N247"/>
  <c r="M247"/>
  <c r="L247"/>
  <c r="K247"/>
  <c r="J247"/>
  <c r="I247"/>
  <c r="H247"/>
  <c r="G247"/>
  <c r="F247"/>
  <c r="E247"/>
  <c r="D247"/>
  <c r="C247"/>
  <c r="P307" i="5"/>
  <c r="O307"/>
  <c r="N307"/>
  <c r="M307"/>
  <c r="L307"/>
  <c r="K307"/>
  <c r="J307"/>
  <c r="I307"/>
  <c r="H307"/>
  <c r="G307"/>
  <c r="F307"/>
  <c r="E307"/>
  <c r="D307"/>
  <c r="Q305"/>
  <c r="P304"/>
  <c r="O304"/>
  <c r="N304"/>
  <c r="M304"/>
  <c r="L304"/>
  <c r="K304"/>
  <c r="J304"/>
  <c r="I304"/>
  <c r="H304"/>
  <c r="G304"/>
  <c r="F304"/>
  <c r="E304"/>
  <c r="D304"/>
  <c r="P301"/>
  <c r="O301"/>
  <c r="N301"/>
  <c r="M301"/>
  <c r="L301"/>
  <c r="K301"/>
  <c r="J301"/>
  <c r="I301"/>
  <c r="H301"/>
  <c r="G301"/>
  <c r="F301"/>
  <c r="E301"/>
  <c r="D301"/>
  <c r="P298"/>
  <c r="O298"/>
  <c r="N298"/>
  <c r="M298"/>
  <c r="L298"/>
  <c r="K298"/>
  <c r="J298"/>
  <c r="I298"/>
  <c r="H298"/>
  <c r="G298"/>
  <c r="F298"/>
  <c r="E298"/>
  <c r="D298"/>
  <c r="P295"/>
  <c r="O295"/>
  <c r="N295"/>
  <c r="M295"/>
  <c r="L295"/>
  <c r="K295"/>
  <c r="J295"/>
  <c r="I295"/>
  <c r="H295"/>
  <c r="G295"/>
  <c r="F295"/>
  <c r="E295"/>
  <c r="D295"/>
  <c r="Q293" s="1"/>
  <c r="P292"/>
  <c r="O292"/>
  <c r="N292"/>
  <c r="M292"/>
  <c r="L292"/>
  <c r="K292"/>
  <c r="J292"/>
  <c r="I292"/>
  <c r="H292"/>
  <c r="G292"/>
  <c r="F292"/>
  <c r="E292"/>
  <c r="D292"/>
  <c r="P289"/>
  <c r="O289"/>
  <c r="N289"/>
  <c r="M289"/>
  <c r="L289"/>
  <c r="K289"/>
  <c r="J289"/>
  <c r="I289"/>
  <c r="H289"/>
  <c r="G289"/>
  <c r="F289"/>
  <c r="E289"/>
  <c r="D289"/>
  <c r="P286"/>
  <c r="O286"/>
  <c r="N286"/>
  <c r="M286"/>
  <c r="L286"/>
  <c r="K286"/>
  <c r="J286"/>
  <c r="I286"/>
  <c r="H286"/>
  <c r="G286"/>
  <c r="F286"/>
  <c r="E286"/>
  <c r="D286"/>
  <c r="P283"/>
  <c r="O283"/>
  <c r="N283"/>
  <c r="M283"/>
  <c r="L283"/>
  <c r="K283"/>
  <c r="J283"/>
  <c r="I283"/>
  <c r="H283"/>
  <c r="G283"/>
  <c r="F283"/>
  <c r="E283"/>
  <c r="D283"/>
  <c r="Q281" s="1"/>
  <c r="P280"/>
  <c r="O280"/>
  <c r="N280"/>
  <c r="M280"/>
  <c r="L280"/>
  <c r="K280"/>
  <c r="J280"/>
  <c r="I280"/>
  <c r="H280"/>
  <c r="G280"/>
  <c r="F280"/>
  <c r="E280"/>
  <c r="D280"/>
  <c r="P277"/>
  <c r="O277"/>
  <c r="N277"/>
  <c r="M277"/>
  <c r="L277"/>
  <c r="K277"/>
  <c r="J277"/>
  <c r="I277"/>
  <c r="H277"/>
  <c r="G277"/>
  <c r="F277"/>
  <c r="E277"/>
  <c r="D277"/>
  <c r="P274"/>
  <c r="O274"/>
  <c r="N274"/>
  <c r="M274"/>
  <c r="L274"/>
  <c r="K274"/>
  <c r="J274"/>
  <c r="I274"/>
  <c r="H274"/>
  <c r="G274"/>
  <c r="F274"/>
  <c r="E274"/>
  <c r="D274"/>
  <c r="P271"/>
  <c r="O271"/>
  <c r="N271"/>
  <c r="M271"/>
  <c r="L271"/>
  <c r="K271"/>
  <c r="J271"/>
  <c r="I271"/>
  <c r="H271"/>
  <c r="G271"/>
  <c r="F271"/>
  <c r="E271"/>
  <c r="D271"/>
  <c r="Q269" s="1"/>
  <c r="P268"/>
  <c r="O268"/>
  <c r="N268"/>
  <c r="M268"/>
  <c r="L268"/>
  <c r="K268"/>
  <c r="J268"/>
  <c r="I268"/>
  <c r="H268"/>
  <c r="G268"/>
  <c r="F268"/>
  <c r="E268"/>
  <c r="D268"/>
  <c r="P265"/>
  <c r="O265"/>
  <c r="N265"/>
  <c r="M265"/>
  <c r="L265"/>
  <c r="K265"/>
  <c r="J265"/>
  <c r="I265"/>
  <c r="H265"/>
  <c r="G265"/>
  <c r="F265"/>
  <c r="E265"/>
  <c r="D265"/>
  <c r="P262"/>
  <c r="O262"/>
  <c r="N262"/>
  <c r="M262"/>
  <c r="L262"/>
  <c r="K262"/>
  <c r="J262"/>
  <c r="I262"/>
  <c r="H262"/>
  <c r="G262"/>
  <c r="F262"/>
  <c r="E262"/>
  <c r="D262"/>
  <c r="P259"/>
  <c r="O259"/>
  <c r="N259"/>
  <c r="M259"/>
  <c r="L259"/>
  <c r="K259"/>
  <c r="J259"/>
  <c r="I259"/>
  <c r="H259"/>
  <c r="G259"/>
  <c r="F259"/>
  <c r="E259"/>
  <c r="D259"/>
  <c r="P256"/>
  <c r="O256"/>
  <c r="N256"/>
  <c r="M256"/>
  <c r="L256"/>
  <c r="K256"/>
  <c r="J256"/>
  <c r="I256"/>
  <c r="H256"/>
  <c r="G256"/>
  <c r="F256"/>
  <c r="E256"/>
  <c r="D256"/>
  <c r="P253"/>
  <c r="O253"/>
  <c r="N253"/>
  <c r="M253"/>
  <c r="L253"/>
  <c r="K253"/>
  <c r="J253"/>
  <c r="I253"/>
  <c r="H253"/>
  <c r="G253"/>
  <c r="F253"/>
  <c r="E253"/>
  <c r="D253"/>
  <c r="P250"/>
  <c r="O250"/>
  <c r="N250"/>
  <c r="M250"/>
  <c r="L250"/>
  <c r="K250"/>
  <c r="J250"/>
  <c r="I250"/>
  <c r="H250"/>
  <c r="G250"/>
  <c r="F250"/>
  <c r="E250"/>
  <c r="D250"/>
  <c r="P247"/>
  <c r="O247"/>
  <c r="N247"/>
  <c r="M247"/>
  <c r="L247"/>
  <c r="K247"/>
  <c r="J247"/>
  <c r="I247"/>
  <c r="H247"/>
  <c r="G247"/>
  <c r="F247"/>
  <c r="E247"/>
  <c r="D247"/>
  <c r="P244"/>
  <c r="O244"/>
  <c r="N244"/>
  <c r="M244"/>
  <c r="L244"/>
  <c r="K244"/>
  <c r="J244"/>
  <c r="I244"/>
  <c r="H244"/>
  <c r="G244"/>
  <c r="F244"/>
  <c r="E244"/>
  <c r="D244"/>
  <c r="P241"/>
  <c r="O241"/>
  <c r="N241"/>
  <c r="M241"/>
  <c r="L241"/>
  <c r="K241"/>
  <c r="J241"/>
  <c r="I241"/>
  <c r="H241"/>
  <c r="G241"/>
  <c r="F241"/>
  <c r="E241"/>
  <c r="D241"/>
  <c r="P238"/>
  <c r="O238"/>
  <c r="N238"/>
  <c r="M238"/>
  <c r="L238"/>
  <c r="K238"/>
  <c r="J238"/>
  <c r="I238"/>
  <c r="H238"/>
  <c r="G238"/>
  <c r="F238"/>
  <c r="E238"/>
  <c r="D238"/>
  <c r="P235"/>
  <c r="O235"/>
  <c r="N235"/>
  <c r="M235"/>
  <c r="L235"/>
  <c r="K235"/>
  <c r="J235"/>
  <c r="I235"/>
  <c r="H235"/>
  <c r="G235"/>
  <c r="F235"/>
  <c r="E235"/>
  <c r="D235"/>
  <c r="P232"/>
  <c r="O232"/>
  <c r="N232"/>
  <c r="M232"/>
  <c r="L232"/>
  <c r="K232"/>
  <c r="J232"/>
  <c r="I232"/>
  <c r="H232"/>
  <c r="G232"/>
  <c r="F232"/>
  <c r="E232"/>
  <c r="D232"/>
  <c r="P229"/>
  <c r="O229"/>
  <c r="N229"/>
  <c r="M229"/>
  <c r="L229"/>
  <c r="K229"/>
  <c r="J229"/>
  <c r="I229"/>
  <c r="H229"/>
  <c r="G229"/>
  <c r="F229"/>
  <c r="E229"/>
  <c r="D229"/>
  <c r="D143" i="4"/>
  <c r="E143" s="1"/>
  <c r="E142"/>
  <c r="D142"/>
  <c r="D141"/>
  <c r="E141" s="1"/>
  <c r="E140"/>
  <c r="D140"/>
  <c r="D139"/>
  <c r="E139" s="1"/>
  <c r="E138"/>
  <c r="D138"/>
  <c r="D137"/>
  <c r="E137" s="1"/>
  <c r="M44" i="14" l="1"/>
  <c r="M43"/>
  <c r="O44"/>
  <c r="O43"/>
  <c r="Q44"/>
  <c r="I44"/>
  <c r="G43"/>
  <c r="D43"/>
  <c r="B43"/>
  <c r="K43"/>
  <c r="I43"/>
  <c r="Q43"/>
  <c r="V248" i="6"/>
  <c r="V260"/>
  <c r="W266"/>
  <c r="V272"/>
  <c r="U245"/>
  <c r="V254"/>
  <c r="U269"/>
  <c r="T254"/>
  <c r="T266"/>
  <c r="U275"/>
  <c r="V287"/>
  <c r="U299"/>
  <c r="V299"/>
  <c r="U311"/>
  <c r="V311"/>
  <c r="W290"/>
  <c r="W302"/>
  <c r="V245"/>
  <c r="W278"/>
  <c r="T281"/>
  <c r="U296"/>
  <c r="U308"/>
  <c r="W314"/>
  <c r="T257"/>
  <c r="X257" s="1"/>
  <c r="Y257" s="1"/>
  <c r="V266"/>
  <c r="W245"/>
  <c r="V251"/>
  <c r="W254"/>
  <c r="W257"/>
  <c r="V269"/>
  <c r="V281"/>
  <c r="T284"/>
  <c r="U290"/>
  <c r="W293"/>
  <c r="T296"/>
  <c r="U302"/>
  <c r="W305"/>
  <c r="T308"/>
  <c r="X308" s="1"/>
  <c r="V284"/>
  <c r="U284"/>
  <c r="V293"/>
  <c r="V296"/>
  <c r="V305"/>
  <c r="V308"/>
  <c r="T314"/>
  <c r="W263"/>
  <c r="T269"/>
  <c r="X269" s="1"/>
  <c r="Y269" s="1"/>
  <c r="U287"/>
  <c r="U254"/>
  <c r="X254" s="1"/>
  <c r="Y254" s="1"/>
  <c r="U257"/>
  <c r="T245"/>
  <c r="W251"/>
  <c r="T260"/>
  <c r="U266"/>
  <c r="W269"/>
  <c r="T272"/>
  <c r="U278"/>
  <c r="W281"/>
  <c r="V290"/>
  <c r="V302"/>
  <c r="U314"/>
  <c r="V317"/>
  <c r="Y317" s="1"/>
  <c r="U248"/>
  <c r="T248"/>
  <c r="U251"/>
  <c r="W248"/>
  <c r="T251"/>
  <c r="V257"/>
  <c r="W260"/>
  <c r="T263"/>
  <c r="X263" s="1"/>
  <c r="W272"/>
  <c r="T275"/>
  <c r="X275" s="1"/>
  <c r="Y275" s="1"/>
  <c r="W284"/>
  <c r="T287"/>
  <c r="W296"/>
  <c r="T299"/>
  <c r="W308"/>
  <c r="T311"/>
  <c r="X311" s="1"/>
  <c r="W275"/>
  <c r="T278"/>
  <c r="U281"/>
  <c r="X281" s="1"/>
  <c r="W287"/>
  <c r="T290"/>
  <c r="X290" s="1"/>
  <c r="U293"/>
  <c r="X293" s="1"/>
  <c r="W299"/>
  <c r="T302"/>
  <c r="U305"/>
  <c r="X305" s="1"/>
  <c r="Y305" s="1"/>
  <c r="W311"/>
  <c r="U260"/>
  <c r="V263"/>
  <c r="U272"/>
  <c r="X272" s="1"/>
  <c r="Y272" s="1"/>
  <c r="T236" i="5"/>
  <c r="Q242"/>
  <c r="S257"/>
  <c r="Q260"/>
  <c r="T302"/>
  <c r="T305"/>
  <c r="S275"/>
  <c r="R287"/>
  <c r="S299"/>
  <c r="S266"/>
  <c r="R230"/>
  <c r="T233"/>
  <c r="R251"/>
  <c r="S263"/>
  <c r="S278"/>
  <c r="T290"/>
  <c r="R296"/>
  <c r="S236"/>
  <c r="R245"/>
  <c r="S248"/>
  <c r="R233"/>
  <c r="Q257"/>
  <c r="S290"/>
  <c r="S227"/>
  <c r="Q230"/>
  <c r="U230" s="1"/>
  <c r="S233"/>
  <c r="R266"/>
  <c r="T269"/>
  <c r="R278"/>
  <c r="T281"/>
  <c r="T245"/>
  <c r="Q248"/>
  <c r="S254"/>
  <c r="R263"/>
  <c r="S269"/>
  <c r="S272"/>
  <c r="T230"/>
  <c r="Q233"/>
  <c r="R239"/>
  <c r="S245"/>
  <c r="S251"/>
  <c r="R254"/>
  <c r="T257"/>
  <c r="R275"/>
  <c r="S293"/>
  <c r="S296"/>
  <c r="S287"/>
  <c r="R299"/>
  <c r="R305"/>
  <c r="U305" s="1"/>
  <c r="Q245"/>
  <c r="U245" s="1"/>
  <c r="T251"/>
  <c r="S260"/>
  <c r="S302"/>
  <c r="S242"/>
  <c r="Q272"/>
  <c r="Q284"/>
  <c r="Q227"/>
  <c r="T239"/>
  <c r="R242"/>
  <c r="R272"/>
  <c r="T278"/>
  <c r="S281"/>
  <c r="R284"/>
  <c r="S284"/>
  <c r="R290"/>
  <c r="T293"/>
  <c r="Q296"/>
  <c r="R302"/>
  <c r="S305"/>
  <c r="R236"/>
  <c r="R260"/>
  <c r="U260" s="1"/>
  <c r="R227"/>
  <c r="S230"/>
  <c r="Q236"/>
  <c r="U236" s="1"/>
  <c r="Q239"/>
  <c r="T248"/>
  <c r="Q251"/>
  <c r="T260"/>
  <c r="Q263"/>
  <c r="T272"/>
  <c r="Q275"/>
  <c r="T284"/>
  <c r="Q287"/>
  <c r="U287" s="1"/>
  <c r="T296"/>
  <c r="Q299"/>
  <c r="Q254"/>
  <c r="R257"/>
  <c r="T263"/>
  <c r="Q266"/>
  <c r="R269"/>
  <c r="U269" s="1"/>
  <c r="V269" s="1"/>
  <c r="T275"/>
  <c r="Q278"/>
  <c r="R281"/>
  <c r="U281" s="1"/>
  <c r="V281" s="1"/>
  <c r="T287"/>
  <c r="Q290"/>
  <c r="R293"/>
  <c r="U293" s="1"/>
  <c r="T299"/>
  <c r="Q302"/>
  <c r="U302" s="1"/>
  <c r="R248"/>
  <c r="T254"/>
  <c r="T227"/>
  <c r="S239"/>
  <c r="T242"/>
  <c r="T266"/>
  <c r="D136" i="4"/>
  <c r="E136"/>
  <c r="D135"/>
  <c r="E135"/>
  <c r="D134"/>
  <c r="E134"/>
  <c r="D133"/>
  <c r="E133"/>
  <c r="D132"/>
  <c r="E132"/>
  <c r="D131"/>
  <c r="E131"/>
  <c r="D130"/>
  <c r="E130"/>
  <c r="D129"/>
  <c r="E129"/>
  <c r="D128"/>
  <c r="E128"/>
  <c r="D127"/>
  <c r="E127"/>
  <c r="D126"/>
  <c r="E126"/>
  <c r="D125"/>
  <c r="E125"/>
  <c r="D124"/>
  <c r="E124"/>
  <c r="D123"/>
  <c r="E123"/>
  <c r="D122"/>
  <c r="E122"/>
  <c r="D121"/>
  <c r="E121"/>
  <c r="D120"/>
  <c r="E120"/>
  <c r="D119"/>
  <c r="E119"/>
  <c r="D118"/>
  <c r="E118"/>
  <c r="D117"/>
  <c r="E117"/>
  <c r="D116"/>
  <c r="E116"/>
  <c r="D115"/>
  <c r="E115"/>
  <c r="D114"/>
  <c r="E114"/>
  <c r="D113"/>
  <c r="E113"/>
  <c r="D112"/>
  <c r="E112"/>
  <c r="D111"/>
  <c r="E111"/>
  <c r="D110"/>
  <c r="E110"/>
  <c r="D109"/>
  <c r="E109"/>
  <c r="D108"/>
  <c r="E108"/>
  <c r="S17" i="13"/>
  <c r="R17"/>
  <c r="Q17"/>
  <c r="P17"/>
  <c r="O17"/>
  <c r="N17"/>
  <c r="M17"/>
  <c r="L17"/>
  <c r="K17"/>
  <c r="J17"/>
  <c r="I17"/>
  <c r="H17"/>
  <c r="G17"/>
  <c r="F17"/>
  <c r="E17"/>
  <c r="D17"/>
  <c r="C17"/>
  <c r="T15"/>
  <c r="U15"/>
  <c r="X15"/>
  <c r="W15"/>
  <c r="V15"/>
  <c r="S11"/>
  <c r="R11"/>
  <c r="Q11"/>
  <c r="P11"/>
  <c r="O11"/>
  <c r="N11"/>
  <c r="M11"/>
  <c r="L11"/>
  <c r="K11"/>
  <c r="J11"/>
  <c r="I11"/>
  <c r="H11"/>
  <c r="G11"/>
  <c r="F11"/>
  <c r="E11"/>
  <c r="D11"/>
  <c r="C11"/>
  <c r="T9"/>
  <c r="U9"/>
  <c r="X9"/>
  <c r="W9"/>
  <c r="V9"/>
  <c r="S5"/>
  <c r="R5"/>
  <c r="Q5"/>
  <c r="P5"/>
  <c r="O5"/>
  <c r="N5"/>
  <c r="M5"/>
  <c r="L5"/>
  <c r="K5"/>
  <c r="J5"/>
  <c r="I5"/>
  <c r="H5"/>
  <c r="G5"/>
  <c r="F5"/>
  <c r="E5"/>
  <c r="D5"/>
  <c r="C5"/>
  <c r="T3"/>
  <c r="U3"/>
  <c r="X3"/>
  <c r="W3"/>
  <c r="V3"/>
  <c r="S244" i="6"/>
  <c r="R244"/>
  <c r="Q244"/>
  <c r="P244"/>
  <c r="O244"/>
  <c r="N244"/>
  <c r="M244"/>
  <c r="L244"/>
  <c r="K244"/>
  <c r="J244"/>
  <c r="I244"/>
  <c r="H244"/>
  <c r="G244"/>
  <c r="F244"/>
  <c r="E244"/>
  <c r="D244"/>
  <c r="C244"/>
  <c r="S241"/>
  <c r="R241"/>
  <c r="Q241"/>
  <c r="P241"/>
  <c r="O241"/>
  <c r="N241"/>
  <c r="M241"/>
  <c r="L241"/>
  <c r="K241"/>
  <c r="J241"/>
  <c r="I241"/>
  <c r="H241"/>
  <c r="G241"/>
  <c r="F241"/>
  <c r="E241"/>
  <c r="D241"/>
  <c r="C241"/>
  <c r="S238"/>
  <c r="R238"/>
  <c r="Q238"/>
  <c r="P238"/>
  <c r="O238"/>
  <c r="N238"/>
  <c r="M238"/>
  <c r="L238"/>
  <c r="K238"/>
  <c r="J238"/>
  <c r="I238"/>
  <c r="H238"/>
  <c r="G238"/>
  <c r="F238"/>
  <c r="E238"/>
  <c r="D238"/>
  <c r="C238"/>
  <c r="W236" s="1"/>
  <c r="S235"/>
  <c r="R235"/>
  <c r="Q235"/>
  <c r="P235"/>
  <c r="O235"/>
  <c r="N235"/>
  <c r="M235"/>
  <c r="L235"/>
  <c r="K235"/>
  <c r="J235"/>
  <c r="I235"/>
  <c r="H235"/>
  <c r="G235"/>
  <c r="F235"/>
  <c r="E235"/>
  <c r="D235"/>
  <c r="C235"/>
  <c r="S232"/>
  <c r="R232"/>
  <c r="Q232"/>
  <c r="P232"/>
  <c r="O232"/>
  <c r="N232"/>
  <c r="M232"/>
  <c r="L232"/>
  <c r="K232"/>
  <c r="J232"/>
  <c r="I232"/>
  <c r="H232"/>
  <c r="G232"/>
  <c r="F232"/>
  <c r="E232"/>
  <c r="D232"/>
  <c r="C232"/>
  <c r="U230" s="1"/>
  <c r="S229"/>
  <c r="R229"/>
  <c r="Q229"/>
  <c r="P229"/>
  <c r="O229"/>
  <c r="N229"/>
  <c r="M229"/>
  <c r="L229"/>
  <c r="K229"/>
  <c r="J229"/>
  <c r="I229"/>
  <c r="H229"/>
  <c r="G229"/>
  <c r="F229"/>
  <c r="E229"/>
  <c r="D229"/>
  <c r="C229"/>
  <c r="S226"/>
  <c r="R226"/>
  <c r="Q226"/>
  <c r="P226"/>
  <c r="O226"/>
  <c r="N226"/>
  <c r="M226"/>
  <c r="L226"/>
  <c r="K226"/>
  <c r="J226"/>
  <c r="I226"/>
  <c r="H226"/>
  <c r="G226"/>
  <c r="F226"/>
  <c r="E226"/>
  <c r="T224" s="1"/>
  <c r="D226"/>
  <c r="C226"/>
  <c r="U224" s="1"/>
  <c r="S223"/>
  <c r="R223"/>
  <c r="Q223"/>
  <c r="P223"/>
  <c r="O223"/>
  <c r="N223"/>
  <c r="M223"/>
  <c r="L223"/>
  <c r="K223"/>
  <c r="J223"/>
  <c r="I223"/>
  <c r="H223"/>
  <c r="G223"/>
  <c r="F223"/>
  <c r="E223"/>
  <c r="D223"/>
  <c r="C223"/>
  <c r="S220"/>
  <c r="R220"/>
  <c r="Q220"/>
  <c r="P220"/>
  <c r="O220"/>
  <c r="N220"/>
  <c r="M220"/>
  <c r="L220"/>
  <c r="K220"/>
  <c r="J220"/>
  <c r="I220"/>
  <c r="H220"/>
  <c r="G220"/>
  <c r="F220"/>
  <c r="E220"/>
  <c r="D220"/>
  <c r="V218" s="1"/>
  <c r="C220"/>
  <c r="S217"/>
  <c r="R217"/>
  <c r="Q217"/>
  <c r="P217"/>
  <c r="O217"/>
  <c r="N217"/>
  <c r="M217"/>
  <c r="L217"/>
  <c r="K217"/>
  <c r="J217"/>
  <c r="I217"/>
  <c r="H217"/>
  <c r="G217"/>
  <c r="F217"/>
  <c r="V215" s="1"/>
  <c r="E217"/>
  <c r="D217"/>
  <c r="C217"/>
  <c r="S214"/>
  <c r="R214"/>
  <c r="Q214"/>
  <c r="P214"/>
  <c r="O214"/>
  <c r="N214"/>
  <c r="M214"/>
  <c r="L214"/>
  <c r="K214"/>
  <c r="J214"/>
  <c r="I214"/>
  <c r="H214"/>
  <c r="G214"/>
  <c r="F214"/>
  <c r="E214"/>
  <c r="D214"/>
  <c r="W212" s="1"/>
  <c r="C214"/>
  <c r="S211"/>
  <c r="R211"/>
  <c r="Q211"/>
  <c r="P211"/>
  <c r="O211"/>
  <c r="N211"/>
  <c r="M211"/>
  <c r="L211"/>
  <c r="K211"/>
  <c r="J211"/>
  <c r="I211"/>
  <c r="H211"/>
  <c r="G211"/>
  <c r="F211"/>
  <c r="E211"/>
  <c r="D211"/>
  <c r="C211"/>
  <c r="S208"/>
  <c r="R208"/>
  <c r="Q208"/>
  <c r="P208"/>
  <c r="O208"/>
  <c r="N208"/>
  <c r="M208"/>
  <c r="L208"/>
  <c r="K208"/>
  <c r="J208"/>
  <c r="I208"/>
  <c r="H208"/>
  <c r="G208"/>
  <c r="F208"/>
  <c r="E208"/>
  <c r="D208"/>
  <c r="C208"/>
  <c r="S205"/>
  <c r="R205"/>
  <c r="Q205"/>
  <c r="P205"/>
  <c r="O205"/>
  <c r="N205"/>
  <c r="M205"/>
  <c r="L205"/>
  <c r="K205"/>
  <c r="J205"/>
  <c r="I205"/>
  <c r="H205"/>
  <c r="G205"/>
  <c r="F205"/>
  <c r="E205"/>
  <c r="D205"/>
  <c r="C205"/>
  <c r="S202"/>
  <c r="R202"/>
  <c r="Q202"/>
  <c r="P202"/>
  <c r="O202"/>
  <c r="N202"/>
  <c r="M202"/>
  <c r="L202"/>
  <c r="K202"/>
  <c r="J202"/>
  <c r="I202"/>
  <c r="H202"/>
  <c r="G202"/>
  <c r="F202"/>
  <c r="E202"/>
  <c r="D202"/>
  <c r="C202"/>
  <c r="S199"/>
  <c r="R199"/>
  <c r="Q199"/>
  <c r="P199"/>
  <c r="O199"/>
  <c r="N199"/>
  <c r="M199"/>
  <c r="L199"/>
  <c r="K199"/>
  <c r="J199"/>
  <c r="I199"/>
  <c r="H199"/>
  <c r="G199"/>
  <c r="F199"/>
  <c r="E199"/>
  <c r="D199"/>
  <c r="U197" s="1"/>
  <c r="C199"/>
  <c r="S196"/>
  <c r="R196"/>
  <c r="Q196"/>
  <c r="P196"/>
  <c r="O196"/>
  <c r="N196"/>
  <c r="M196"/>
  <c r="L196"/>
  <c r="K196"/>
  <c r="J196"/>
  <c r="I196"/>
  <c r="H196"/>
  <c r="G196"/>
  <c r="F196"/>
  <c r="E196"/>
  <c r="D196"/>
  <c r="C196"/>
  <c r="S193"/>
  <c r="R193"/>
  <c r="Q193"/>
  <c r="P193"/>
  <c r="O193"/>
  <c r="N193"/>
  <c r="M193"/>
  <c r="L193"/>
  <c r="K193"/>
  <c r="J193"/>
  <c r="I193"/>
  <c r="H193"/>
  <c r="G193"/>
  <c r="F193"/>
  <c r="V191" s="1"/>
  <c r="E193"/>
  <c r="D193"/>
  <c r="C193"/>
  <c r="T191"/>
  <c r="S190"/>
  <c r="R190"/>
  <c r="Q190"/>
  <c r="P190"/>
  <c r="O190"/>
  <c r="N190"/>
  <c r="M190"/>
  <c r="L190"/>
  <c r="K190"/>
  <c r="J190"/>
  <c r="I190"/>
  <c r="H190"/>
  <c r="G190"/>
  <c r="F190"/>
  <c r="E190"/>
  <c r="D190"/>
  <c r="W188" s="1"/>
  <c r="C190"/>
  <c r="S187"/>
  <c r="R187"/>
  <c r="Q187"/>
  <c r="P187"/>
  <c r="O187"/>
  <c r="N187"/>
  <c r="M187"/>
  <c r="L187"/>
  <c r="K187"/>
  <c r="J187"/>
  <c r="I187"/>
  <c r="H187"/>
  <c r="G187"/>
  <c r="F187"/>
  <c r="E187"/>
  <c r="D187"/>
  <c r="C187"/>
  <c r="S184"/>
  <c r="R184"/>
  <c r="Q184"/>
  <c r="P184"/>
  <c r="O184"/>
  <c r="N184"/>
  <c r="M184"/>
  <c r="L184"/>
  <c r="K184"/>
  <c r="J184"/>
  <c r="I184"/>
  <c r="H184"/>
  <c r="G184"/>
  <c r="F184"/>
  <c r="E184"/>
  <c r="D184"/>
  <c r="V182" s="1"/>
  <c r="C184"/>
  <c r="S181"/>
  <c r="R181"/>
  <c r="Q181"/>
  <c r="P181"/>
  <c r="O181"/>
  <c r="N181"/>
  <c r="M181"/>
  <c r="L181"/>
  <c r="K181"/>
  <c r="J181"/>
  <c r="I181"/>
  <c r="H181"/>
  <c r="G181"/>
  <c r="F181"/>
  <c r="V179" s="1"/>
  <c r="E181"/>
  <c r="D181"/>
  <c r="C181"/>
  <c r="S178"/>
  <c r="R178"/>
  <c r="Q178"/>
  <c r="P178"/>
  <c r="O178"/>
  <c r="N178"/>
  <c r="M178"/>
  <c r="L178"/>
  <c r="K178"/>
  <c r="J178"/>
  <c r="I178"/>
  <c r="H178"/>
  <c r="G178"/>
  <c r="F178"/>
  <c r="E178"/>
  <c r="D178"/>
  <c r="C178"/>
  <c r="W176" s="1"/>
  <c r="S175"/>
  <c r="R175"/>
  <c r="Q175"/>
  <c r="P175"/>
  <c r="O175"/>
  <c r="N175"/>
  <c r="M175"/>
  <c r="L175"/>
  <c r="K175"/>
  <c r="J175"/>
  <c r="I175"/>
  <c r="H175"/>
  <c r="G175"/>
  <c r="F175"/>
  <c r="E175"/>
  <c r="D175"/>
  <c r="C175"/>
  <c r="S172"/>
  <c r="R172"/>
  <c r="Q172"/>
  <c r="P172"/>
  <c r="O172"/>
  <c r="N172"/>
  <c r="M172"/>
  <c r="L172"/>
  <c r="K172"/>
  <c r="J172"/>
  <c r="I172"/>
  <c r="H172"/>
  <c r="G172"/>
  <c r="F172"/>
  <c r="E172"/>
  <c r="D172"/>
  <c r="C172"/>
  <c r="U170" s="1"/>
  <c r="S169"/>
  <c r="R169"/>
  <c r="Q169"/>
  <c r="P169"/>
  <c r="O169"/>
  <c r="N169"/>
  <c r="M169"/>
  <c r="L169"/>
  <c r="K169"/>
  <c r="J169"/>
  <c r="I169"/>
  <c r="H169"/>
  <c r="G169"/>
  <c r="F169"/>
  <c r="E169"/>
  <c r="D169"/>
  <c r="C169"/>
  <c r="S166"/>
  <c r="R166"/>
  <c r="Q166"/>
  <c r="P166"/>
  <c r="O166"/>
  <c r="N166"/>
  <c r="M166"/>
  <c r="L166"/>
  <c r="K166"/>
  <c r="J166"/>
  <c r="I166"/>
  <c r="H166"/>
  <c r="G166"/>
  <c r="F166"/>
  <c r="E166"/>
  <c r="T164" s="1"/>
  <c r="D166"/>
  <c r="C166"/>
  <c r="S163"/>
  <c r="R163"/>
  <c r="Q163"/>
  <c r="P163"/>
  <c r="O163"/>
  <c r="N163"/>
  <c r="M163"/>
  <c r="L163"/>
  <c r="K163"/>
  <c r="J163"/>
  <c r="I163"/>
  <c r="H163"/>
  <c r="G163"/>
  <c r="F163"/>
  <c r="E163"/>
  <c r="D163"/>
  <c r="C163"/>
  <c r="S160"/>
  <c r="R160"/>
  <c r="Q160"/>
  <c r="P160"/>
  <c r="O160"/>
  <c r="N160"/>
  <c r="M160"/>
  <c r="L160"/>
  <c r="K160"/>
  <c r="J160"/>
  <c r="I160"/>
  <c r="H160"/>
  <c r="G160"/>
  <c r="F160"/>
  <c r="E160"/>
  <c r="D160"/>
  <c r="C160"/>
  <c r="U158" s="1"/>
  <c r="S157"/>
  <c r="R157"/>
  <c r="Q157"/>
  <c r="P157"/>
  <c r="O157"/>
  <c r="N157"/>
  <c r="M157"/>
  <c r="L157"/>
  <c r="K157"/>
  <c r="J157"/>
  <c r="I157"/>
  <c r="H157"/>
  <c r="G157"/>
  <c r="F157"/>
  <c r="E157"/>
  <c r="D157"/>
  <c r="T155" s="1"/>
  <c r="C157"/>
  <c r="S154"/>
  <c r="R154"/>
  <c r="Q154"/>
  <c r="P154"/>
  <c r="O154"/>
  <c r="N154"/>
  <c r="M154"/>
  <c r="L154"/>
  <c r="K154"/>
  <c r="J154"/>
  <c r="I154"/>
  <c r="H154"/>
  <c r="G154"/>
  <c r="F154"/>
  <c r="E154"/>
  <c r="D154"/>
  <c r="C154"/>
  <c r="W152" s="1"/>
  <c r="U152"/>
  <c r="S151"/>
  <c r="R151"/>
  <c r="Q151"/>
  <c r="P151"/>
  <c r="O151"/>
  <c r="N151"/>
  <c r="M151"/>
  <c r="L151"/>
  <c r="K151"/>
  <c r="J151"/>
  <c r="I151"/>
  <c r="H151"/>
  <c r="G151"/>
  <c r="F151"/>
  <c r="E151"/>
  <c r="D151"/>
  <c r="C151"/>
  <c r="S148"/>
  <c r="R148"/>
  <c r="Q148"/>
  <c r="P148"/>
  <c r="O148"/>
  <c r="N148"/>
  <c r="M148"/>
  <c r="L148"/>
  <c r="K148"/>
  <c r="J148"/>
  <c r="I148"/>
  <c r="H148"/>
  <c r="G148"/>
  <c r="F148"/>
  <c r="E148"/>
  <c r="D148"/>
  <c r="C148"/>
  <c r="S145"/>
  <c r="R145"/>
  <c r="Q145"/>
  <c r="P145"/>
  <c r="O145"/>
  <c r="N145"/>
  <c r="M145"/>
  <c r="L145"/>
  <c r="K145"/>
  <c r="J145"/>
  <c r="I145"/>
  <c r="H145"/>
  <c r="G145"/>
  <c r="F145"/>
  <c r="E145"/>
  <c r="D145"/>
  <c r="C145"/>
  <c r="U143" s="1"/>
  <c r="S142"/>
  <c r="R142"/>
  <c r="Q142"/>
  <c r="P142"/>
  <c r="O142"/>
  <c r="N142"/>
  <c r="M142"/>
  <c r="L142"/>
  <c r="K142"/>
  <c r="J142"/>
  <c r="I142"/>
  <c r="H142"/>
  <c r="G142"/>
  <c r="F142"/>
  <c r="E142"/>
  <c r="T140" s="1"/>
  <c r="D142"/>
  <c r="C142"/>
  <c r="U140" s="1"/>
  <c r="W140"/>
  <c r="S139"/>
  <c r="R139"/>
  <c r="Q139"/>
  <c r="P139"/>
  <c r="O139"/>
  <c r="N139"/>
  <c r="M139"/>
  <c r="L139"/>
  <c r="K139"/>
  <c r="J139"/>
  <c r="I139"/>
  <c r="H139"/>
  <c r="G139"/>
  <c r="F139"/>
  <c r="E139"/>
  <c r="D139"/>
  <c r="U137" s="1"/>
  <c r="C139"/>
  <c r="S136"/>
  <c r="R136"/>
  <c r="Q136"/>
  <c r="P136"/>
  <c r="O136"/>
  <c r="N136"/>
  <c r="M136"/>
  <c r="L136"/>
  <c r="K136"/>
  <c r="J136"/>
  <c r="I136"/>
  <c r="H136"/>
  <c r="G136"/>
  <c r="F136"/>
  <c r="E136"/>
  <c r="D136"/>
  <c r="C136"/>
  <c r="S133"/>
  <c r="R133"/>
  <c r="Q133"/>
  <c r="P133"/>
  <c r="O133"/>
  <c r="N133"/>
  <c r="M133"/>
  <c r="L133"/>
  <c r="K133"/>
  <c r="J133"/>
  <c r="I133"/>
  <c r="H133"/>
  <c r="G133"/>
  <c r="F133"/>
  <c r="V131" s="1"/>
  <c r="E133"/>
  <c r="D133"/>
  <c r="C133"/>
  <c r="S130"/>
  <c r="R130"/>
  <c r="Q130"/>
  <c r="P130"/>
  <c r="O130"/>
  <c r="N130"/>
  <c r="M130"/>
  <c r="L130"/>
  <c r="K130"/>
  <c r="J130"/>
  <c r="I130"/>
  <c r="H130"/>
  <c r="G130"/>
  <c r="F130"/>
  <c r="E130"/>
  <c r="D130"/>
  <c r="W128" s="1"/>
  <c r="C130"/>
  <c r="S127"/>
  <c r="R127"/>
  <c r="Q127"/>
  <c r="P127"/>
  <c r="O127"/>
  <c r="N127"/>
  <c r="M127"/>
  <c r="L127"/>
  <c r="K127"/>
  <c r="J127"/>
  <c r="I127"/>
  <c r="H127"/>
  <c r="G127"/>
  <c r="F127"/>
  <c r="E127"/>
  <c r="D127"/>
  <c r="C127"/>
  <c r="S124"/>
  <c r="R124"/>
  <c r="Q124"/>
  <c r="P124"/>
  <c r="O124"/>
  <c r="N124"/>
  <c r="M124"/>
  <c r="L124"/>
  <c r="K124"/>
  <c r="J124"/>
  <c r="I124"/>
  <c r="H124"/>
  <c r="G124"/>
  <c r="F124"/>
  <c r="E124"/>
  <c r="D124"/>
  <c r="V122" s="1"/>
  <c r="C124"/>
  <c r="S121"/>
  <c r="R121"/>
  <c r="Q121"/>
  <c r="P121"/>
  <c r="O121"/>
  <c r="N121"/>
  <c r="M121"/>
  <c r="L121"/>
  <c r="K121"/>
  <c r="J121"/>
  <c r="I121"/>
  <c r="H121"/>
  <c r="G121"/>
  <c r="F121"/>
  <c r="V119" s="1"/>
  <c r="E121"/>
  <c r="D121"/>
  <c r="C121"/>
  <c r="S118"/>
  <c r="R118"/>
  <c r="Q118"/>
  <c r="P118"/>
  <c r="O118"/>
  <c r="N118"/>
  <c r="M118"/>
  <c r="L118"/>
  <c r="K118"/>
  <c r="J118"/>
  <c r="I118"/>
  <c r="H118"/>
  <c r="G118"/>
  <c r="F118"/>
  <c r="E118"/>
  <c r="D118"/>
  <c r="C118"/>
  <c r="W116" s="1"/>
  <c r="S115"/>
  <c r="R115"/>
  <c r="Q115"/>
  <c r="P115"/>
  <c r="O115"/>
  <c r="N115"/>
  <c r="M115"/>
  <c r="L115"/>
  <c r="K115"/>
  <c r="J115"/>
  <c r="I115"/>
  <c r="H115"/>
  <c r="G115"/>
  <c r="F115"/>
  <c r="E115"/>
  <c r="D115"/>
  <c r="C115"/>
  <c r="S112"/>
  <c r="R112"/>
  <c r="Q112"/>
  <c r="P112"/>
  <c r="O112"/>
  <c r="N112"/>
  <c r="M112"/>
  <c r="L112"/>
  <c r="K112"/>
  <c r="J112"/>
  <c r="I112"/>
  <c r="H112"/>
  <c r="G112"/>
  <c r="F112"/>
  <c r="E112"/>
  <c r="D112"/>
  <c r="C112"/>
  <c r="V110"/>
  <c r="S109"/>
  <c r="R109"/>
  <c r="Q109"/>
  <c r="P109"/>
  <c r="O109"/>
  <c r="N109"/>
  <c r="M109"/>
  <c r="L109"/>
  <c r="K109"/>
  <c r="J109"/>
  <c r="I109"/>
  <c r="H109"/>
  <c r="G109"/>
  <c r="F109"/>
  <c r="E109"/>
  <c r="D109"/>
  <c r="T107" s="1"/>
  <c r="C109"/>
  <c r="S106"/>
  <c r="R106"/>
  <c r="Q106"/>
  <c r="P106"/>
  <c r="O106"/>
  <c r="N106"/>
  <c r="M106"/>
  <c r="L106"/>
  <c r="K106"/>
  <c r="J106"/>
  <c r="I106"/>
  <c r="H106"/>
  <c r="G106"/>
  <c r="F106"/>
  <c r="U104" s="1"/>
  <c r="E106"/>
  <c r="D106"/>
  <c r="C106"/>
  <c r="W104" s="1"/>
  <c r="S103"/>
  <c r="R103"/>
  <c r="Q103"/>
  <c r="P103"/>
  <c r="O103"/>
  <c r="N103"/>
  <c r="M103"/>
  <c r="L103"/>
  <c r="K103"/>
  <c r="J103"/>
  <c r="I103"/>
  <c r="H103"/>
  <c r="G103"/>
  <c r="F103"/>
  <c r="E103"/>
  <c r="D103"/>
  <c r="C103"/>
  <c r="S100"/>
  <c r="R100"/>
  <c r="Q100"/>
  <c r="P100"/>
  <c r="O100"/>
  <c r="N100"/>
  <c r="M100"/>
  <c r="L100"/>
  <c r="K100"/>
  <c r="J100"/>
  <c r="I100"/>
  <c r="H100"/>
  <c r="G100"/>
  <c r="F100"/>
  <c r="E100"/>
  <c r="D100"/>
  <c r="C100"/>
  <c r="S97"/>
  <c r="R97"/>
  <c r="Q97"/>
  <c r="P97"/>
  <c r="O97"/>
  <c r="N97"/>
  <c r="M97"/>
  <c r="L97"/>
  <c r="K97"/>
  <c r="J97"/>
  <c r="I97"/>
  <c r="H97"/>
  <c r="G97"/>
  <c r="F97"/>
  <c r="E97"/>
  <c r="D97"/>
  <c r="C97"/>
  <c r="U95" s="1"/>
  <c r="S94"/>
  <c r="R94"/>
  <c r="Q94"/>
  <c r="P94"/>
  <c r="O94"/>
  <c r="N94"/>
  <c r="M94"/>
  <c r="L94"/>
  <c r="K94"/>
  <c r="J94"/>
  <c r="I94"/>
  <c r="H94"/>
  <c r="G94"/>
  <c r="F94"/>
  <c r="E94"/>
  <c r="T92" s="1"/>
  <c r="D94"/>
  <c r="C94"/>
  <c r="W92" s="1"/>
  <c r="S91"/>
  <c r="R91"/>
  <c r="Q91"/>
  <c r="P91"/>
  <c r="O91"/>
  <c r="N91"/>
  <c r="M91"/>
  <c r="L91"/>
  <c r="K91"/>
  <c r="J91"/>
  <c r="I91"/>
  <c r="H91"/>
  <c r="G91"/>
  <c r="F91"/>
  <c r="E91"/>
  <c r="D91"/>
  <c r="C91"/>
  <c r="S88"/>
  <c r="R88"/>
  <c r="Q88"/>
  <c r="P88"/>
  <c r="O88"/>
  <c r="N88"/>
  <c r="M88"/>
  <c r="L88"/>
  <c r="K88"/>
  <c r="J88"/>
  <c r="I88"/>
  <c r="H88"/>
  <c r="G88"/>
  <c r="F88"/>
  <c r="E88"/>
  <c r="D88"/>
  <c r="C88"/>
  <c r="S85"/>
  <c r="R85"/>
  <c r="Q85"/>
  <c r="P85"/>
  <c r="O85"/>
  <c r="N85"/>
  <c r="M85"/>
  <c r="L85"/>
  <c r="K85"/>
  <c r="J85"/>
  <c r="I85"/>
  <c r="H85"/>
  <c r="G85"/>
  <c r="F85"/>
  <c r="E85"/>
  <c r="D85"/>
  <c r="C85"/>
  <c r="S82"/>
  <c r="R82"/>
  <c r="Q82"/>
  <c r="P82"/>
  <c r="O82"/>
  <c r="N82"/>
  <c r="M82"/>
  <c r="L82"/>
  <c r="K82"/>
  <c r="J82"/>
  <c r="I82"/>
  <c r="H82"/>
  <c r="G82"/>
  <c r="F82"/>
  <c r="E82"/>
  <c r="D82"/>
  <c r="C82"/>
  <c r="W80" s="1"/>
  <c r="S79"/>
  <c r="R79"/>
  <c r="Q79"/>
  <c r="P79"/>
  <c r="O79"/>
  <c r="N79"/>
  <c r="M79"/>
  <c r="L79"/>
  <c r="K79"/>
  <c r="J79"/>
  <c r="I79"/>
  <c r="H79"/>
  <c r="G79"/>
  <c r="F79"/>
  <c r="E79"/>
  <c r="D79"/>
  <c r="C79"/>
  <c r="S76"/>
  <c r="R76"/>
  <c r="Q76"/>
  <c r="P76"/>
  <c r="O76"/>
  <c r="N76"/>
  <c r="M76"/>
  <c r="L76"/>
  <c r="K76"/>
  <c r="J76"/>
  <c r="I76"/>
  <c r="H76"/>
  <c r="G76"/>
  <c r="F76"/>
  <c r="E76"/>
  <c r="D76"/>
  <c r="C76"/>
  <c r="U74" s="1"/>
  <c r="S73"/>
  <c r="R73"/>
  <c r="Q73"/>
  <c r="P73"/>
  <c r="O73"/>
  <c r="N73"/>
  <c r="M73"/>
  <c r="L73"/>
  <c r="K73"/>
  <c r="J73"/>
  <c r="I73"/>
  <c r="H73"/>
  <c r="G73"/>
  <c r="F73"/>
  <c r="E73"/>
  <c r="D73"/>
  <c r="C73"/>
  <c r="S70"/>
  <c r="R70"/>
  <c r="Q70"/>
  <c r="P70"/>
  <c r="O70"/>
  <c r="N70"/>
  <c r="M70"/>
  <c r="L70"/>
  <c r="K70"/>
  <c r="J70"/>
  <c r="I70"/>
  <c r="H70"/>
  <c r="G70"/>
  <c r="F70"/>
  <c r="E70"/>
  <c r="T68" s="1"/>
  <c r="D70"/>
  <c r="C70"/>
  <c r="U68" s="1"/>
  <c r="S67"/>
  <c r="R67"/>
  <c r="Q67"/>
  <c r="P67"/>
  <c r="O67"/>
  <c r="N67"/>
  <c r="M67"/>
  <c r="L67"/>
  <c r="K67"/>
  <c r="J67"/>
  <c r="I67"/>
  <c r="H67"/>
  <c r="G67"/>
  <c r="F67"/>
  <c r="E67"/>
  <c r="D67"/>
  <c r="U65" s="1"/>
  <c r="C67"/>
  <c r="S64"/>
  <c r="R64"/>
  <c r="Q64"/>
  <c r="P64"/>
  <c r="O64"/>
  <c r="N64"/>
  <c r="M64"/>
  <c r="L64"/>
  <c r="K64"/>
  <c r="J64"/>
  <c r="I64"/>
  <c r="H64"/>
  <c r="G64"/>
  <c r="F64"/>
  <c r="E64"/>
  <c r="D64"/>
  <c r="C64"/>
  <c r="S61"/>
  <c r="R61"/>
  <c r="Q61"/>
  <c r="P61"/>
  <c r="O61"/>
  <c r="N61"/>
  <c r="M61"/>
  <c r="L61"/>
  <c r="K61"/>
  <c r="J61"/>
  <c r="I61"/>
  <c r="H61"/>
  <c r="G61"/>
  <c r="F61"/>
  <c r="V59" s="1"/>
  <c r="E61"/>
  <c r="D61"/>
  <c r="C61"/>
  <c r="S58"/>
  <c r="R58"/>
  <c r="Q58"/>
  <c r="P58"/>
  <c r="O58"/>
  <c r="N58"/>
  <c r="M58"/>
  <c r="L58"/>
  <c r="K58"/>
  <c r="J58"/>
  <c r="I58"/>
  <c r="H58"/>
  <c r="G58"/>
  <c r="F58"/>
  <c r="E58"/>
  <c r="D58"/>
  <c r="C58"/>
  <c r="S55"/>
  <c r="R55"/>
  <c r="Q55"/>
  <c r="P55"/>
  <c r="O55"/>
  <c r="N55"/>
  <c r="M55"/>
  <c r="L55"/>
  <c r="K55"/>
  <c r="J55"/>
  <c r="I55"/>
  <c r="H55"/>
  <c r="G55"/>
  <c r="F55"/>
  <c r="E55"/>
  <c r="D55"/>
  <c r="U53" s="1"/>
  <c r="C55"/>
  <c r="S52"/>
  <c r="R52"/>
  <c r="Q52"/>
  <c r="P52"/>
  <c r="O52"/>
  <c r="N52"/>
  <c r="M52"/>
  <c r="L52"/>
  <c r="K52"/>
  <c r="J52"/>
  <c r="I52"/>
  <c r="H52"/>
  <c r="G52"/>
  <c r="F52"/>
  <c r="E52"/>
  <c r="D52"/>
  <c r="C52"/>
  <c r="S49"/>
  <c r="R49"/>
  <c r="Q49"/>
  <c r="P49"/>
  <c r="O49"/>
  <c r="N49"/>
  <c r="M49"/>
  <c r="L49"/>
  <c r="K49"/>
  <c r="J49"/>
  <c r="I49"/>
  <c r="H49"/>
  <c r="G49"/>
  <c r="F49"/>
  <c r="V47" s="1"/>
  <c r="E49"/>
  <c r="D49"/>
  <c r="C49"/>
  <c r="T47"/>
  <c r="S46"/>
  <c r="R46"/>
  <c r="Q46"/>
  <c r="P46"/>
  <c r="O46"/>
  <c r="N46"/>
  <c r="M46"/>
  <c r="L46"/>
  <c r="K46"/>
  <c r="J46"/>
  <c r="I46"/>
  <c r="H46"/>
  <c r="G46"/>
  <c r="F46"/>
  <c r="E46"/>
  <c r="D46"/>
  <c r="W44" s="1"/>
  <c r="C46"/>
  <c r="S43"/>
  <c r="R43"/>
  <c r="Q43"/>
  <c r="P43"/>
  <c r="O43"/>
  <c r="N43"/>
  <c r="M43"/>
  <c r="L43"/>
  <c r="K43"/>
  <c r="J43"/>
  <c r="I43"/>
  <c r="H43"/>
  <c r="G43"/>
  <c r="F43"/>
  <c r="E43"/>
  <c r="D43"/>
  <c r="C43"/>
  <c r="S40"/>
  <c r="V38" s="1"/>
  <c r="R40"/>
  <c r="Q40"/>
  <c r="P40"/>
  <c r="O40"/>
  <c r="N40"/>
  <c r="M40"/>
  <c r="L40"/>
  <c r="K40"/>
  <c r="J40"/>
  <c r="I40"/>
  <c r="H40"/>
  <c r="G40"/>
  <c r="F40"/>
  <c r="E40"/>
  <c r="D40"/>
  <c r="C40"/>
  <c r="U38" s="1"/>
  <c r="S37"/>
  <c r="R37"/>
  <c r="Q37"/>
  <c r="P37"/>
  <c r="O37"/>
  <c r="N37"/>
  <c r="M37"/>
  <c r="L37"/>
  <c r="K37"/>
  <c r="J37"/>
  <c r="I37"/>
  <c r="H37"/>
  <c r="G37"/>
  <c r="F37"/>
  <c r="E37"/>
  <c r="D37"/>
  <c r="C37"/>
  <c r="S34"/>
  <c r="R34"/>
  <c r="Q34"/>
  <c r="P34"/>
  <c r="O34"/>
  <c r="N34"/>
  <c r="M34"/>
  <c r="L34"/>
  <c r="K34"/>
  <c r="J34"/>
  <c r="I34"/>
  <c r="H34"/>
  <c r="G34"/>
  <c r="F34"/>
  <c r="W32" s="1"/>
  <c r="E34"/>
  <c r="D34"/>
  <c r="C34"/>
  <c r="S31"/>
  <c r="R31"/>
  <c r="Q31"/>
  <c r="P31"/>
  <c r="O31"/>
  <c r="N31"/>
  <c r="M31"/>
  <c r="L31"/>
  <c r="K31"/>
  <c r="J31"/>
  <c r="I31"/>
  <c r="H31"/>
  <c r="G31"/>
  <c r="F31"/>
  <c r="E31"/>
  <c r="D31"/>
  <c r="U29" s="1"/>
  <c r="C31"/>
  <c r="S28"/>
  <c r="R28"/>
  <c r="Q28"/>
  <c r="P28"/>
  <c r="O28"/>
  <c r="N28"/>
  <c r="M28"/>
  <c r="L28"/>
  <c r="K28"/>
  <c r="J28"/>
  <c r="I28"/>
  <c r="H28"/>
  <c r="G28"/>
  <c r="F28"/>
  <c r="E28"/>
  <c r="D28"/>
  <c r="C28"/>
  <c r="S25"/>
  <c r="R25"/>
  <c r="Q25"/>
  <c r="P25"/>
  <c r="O25"/>
  <c r="N25"/>
  <c r="M25"/>
  <c r="L25"/>
  <c r="K25"/>
  <c r="J25"/>
  <c r="I25"/>
  <c r="H25"/>
  <c r="G25"/>
  <c r="F25"/>
  <c r="V23" s="1"/>
  <c r="E25"/>
  <c r="D25"/>
  <c r="C25"/>
  <c r="S22"/>
  <c r="R22"/>
  <c r="Q22"/>
  <c r="P22"/>
  <c r="O22"/>
  <c r="N22"/>
  <c r="M22"/>
  <c r="L22"/>
  <c r="K22"/>
  <c r="J22"/>
  <c r="I22"/>
  <c r="H22"/>
  <c r="G22"/>
  <c r="F22"/>
  <c r="E22"/>
  <c r="D22"/>
  <c r="C22"/>
  <c r="T20" s="1"/>
  <c r="S19"/>
  <c r="R19"/>
  <c r="Q19"/>
  <c r="P19"/>
  <c r="O19"/>
  <c r="N19"/>
  <c r="M19"/>
  <c r="L19"/>
  <c r="K19"/>
  <c r="J19"/>
  <c r="I19"/>
  <c r="H19"/>
  <c r="G19"/>
  <c r="F19"/>
  <c r="E19"/>
  <c r="D19"/>
  <c r="U17" s="1"/>
  <c r="C19"/>
  <c r="S16"/>
  <c r="R16"/>
  <c r="Q16"/>
  <c r="P16"/>
  <c r="O16"/>
  <c r="N16"/>
  <c r="M16"/>
  <c r="L16"/>
  <c r="K16"/>
  <c r="J16"/>
  <c r="I16"/>
  <c r="H16"/>
  <c r="G16"/>
  <c r="F16"/>
  <c r="E16"/>
  <c r="D16"/>
  <c r="C16"/>
  <c r="S13"/>
  <c r="R13"/>
  <c r="Q13"/>
  <c r="P13"/>
  <c r="O13"/>
  <c r="N13"/>
  <c r="M13"/>
  <c r="L13"/>
  <c r="K13"/>
  <c r="J13"/>
  <c r="I13"/>
  <c r="H13"/>
  <c r="G13"/>
  <c r="F13"/>
  <c r="E13"/>
  <c r="D13"/>
  <c r="C13"/>
  <c r="T11"/>
  <c r="P226" i="5"/>
  <c r="O226"/>
  <c r="N226"/>
  <c r="M226"/>
  <c r="L226"/>
  <c r="K226"/>
  <c r="J226"/>
  <c r="I226"/>
  <c r="H226"/>
  <c r="G226"/>
  <c r="F226"/>
  <c r="E226"/>
  <c r="D226"/>
  <c r="P223"/>
  <c r="O223"/>
  <c r="N223"/>
  <c r="M223"/>
  <c r="L223"/>
  <c r="K223"/>
  <c r="J223"/>
  <c r="I223"/>
  <c r="H223"/>
  <c r="G223"/>
  <c r="F223"/>
  <c r="E223"/>
  <c r="D223"/>
  <c r="P220"/>
  <c r="O220"/>
  <c r="N220"/>
  <c r="M220"/>
  <c r="L220"/>
  <c r="K220"/>
  <c r="J220"/>
  <c r="I220"/>
  <c r="H220"/>
  <c r="G220"/>
  <c r="F220"/>
  <c r="E220"/>
  <c r="D220"/>
  <c r="P217"/>
  <c r="O217"/>
  <c r="N217"/>
  <c r="M217"/>
  <c r="L217"/>
  <c r="K217"/>
  <c r="J217"/>
  <c r="I217"/>
  <c r="H217"/>
  <c r="G217"/>
  <c r="F217"/>
  <c r="E217"/>
  <c r="D217"/>
  <c r="P214"/>
  <c r="O214"/>
  <c r="N214"/>
  <c r="M214"/>
  <c r="L214"/>
  <c r="K214"/>
  <c r="J214"/>
  <c r="I214"/>
  <c r="H214"/>
  <c r="G214"/>
  <c r="F214"/>
  <c r="E214"/>
  <c r="D214"/>
  <c r="P211"/>
  <c r="O211"/>
  <c r="N211"/>
  <c r="M211"/>
  <c r="L211"/>
  <c r="K211"/>
  <c r="J211"/>
  <c r="I211"/>
  <c r="H211"/>
  <c r="G211"/>
  <c r="F211"/>
  <c r="E211"/>
  <c r="D211"/>
  <c r="P208"/>
  <c r="O208"/>
  <c r="N208"/>
  <c r="M208"/>
  <c r="L208"/>
  <c r="K208"/>
  <c r="J208"/>
  <c r="I208"/>
  <c r="H208"/>
  <c r="G208"/>
  <c r="F208"/>
  <c r="E208"/>
  <c r="D208"/>
  <c r="P205"/>
  <c r="O205"/>
  <c r="N205"/>
  <c r="M205"/>
  <c r="L205"/>
  <c r="K205"/>
  <c r="J205"/>
  <c r="I205"/>
  <c r="H205"/>
  <c r="G205"/>
  <c r="F205"/>
  <c r="E205"/>
  <c r="D205"/>
  <c r="P202"/>
  <c r="O202"/>
  <c r="N202"/>
  <c r="M202"/>
  <c r="L202"/>
  <c r="K202"/>
  <c r="J202"/>
  <c r="I202"/>
  <c r="H202"/>
  <c r="G202"/>
  <c r="F202"/>
  <c r="E202"/>
  <c r="D202"/>
  <c r="P199"/>
  <c r="O199"/>
  <c r="N199"/>
  <c r="M199"/>
  <c r="L199"/>
  <c r="K199"/>
  <c r="J199"/>
  <c r="I199"/>
  <c r="H199"/>
  <c r="G199"/>
  <c r="F199"/>
  <c r="E199"/>
  <c r="D199"/>
  <c r="P196"/>
  <c r="O196"/>
  <c r="N196"/>
  <c r="M196"/>
  <c r="L196"/>
  <c r="K196"/>
  <c r="J196"/>
  <c r="I196"/>
  <c r="H196"/>
  <c r="G196"/>
  <c r="F196"/>
  <c r="E196"/>
  <c r="D196"/>
  <c r="P193"/>
  <c r="O193"/>
  <c r="N193"/>
  <c r="M193"/>
  <c r="L193"/>
  <c r="K193"/>
  <c r="J193"/>
  <c r="I193"/>
  <c r="H193"/>
  <c r="G193"/>
  <c r="F193"/>
  <c r="E193"/>
  <c r="D193"/>
  <c r="P190"/>
  <c r="O190"/>
  <c r="N190"/>
  <c r="M190"/>
  <c r="L190"/>
  <c r="K190"/>
  <c r="J190"/>
  <c r="I190"/>
  <c r="H190"/>
  <c r="G190"/>
  <c r="F190"/>
  <c r="E190"/>
  <c r="D190"/>
  <c r="P187"/>
  <c r="O187"/>
  <c r="N187"/>
  <c r="M187"/>
  <c r="L187"/>
  <c r="K187"/>
  <c r="J187"/>
  <c r="I187"/>
  <c r="H187"/>
  <c r="G187"/>
  <c r="F187"/>
  <c r="E187"/>
  <c r="D187"/>
  <c r="P184"/>
  <c r="O184"/>
  <c r="N184"/>
  <c r="M184"/>
  <c r="L184"/>
  <c r="K184"/>
  <c r="J184"/>
  <c r="I184"/>
  <c r="H184"/>
  <c r="G184"/>
  <c r="F184"/>
  <c r="E184"/>
  <c r="D184"/>
  <c r="P181"/>
  <c r="O181"/>
  <c r="N181"/>
  <c r="M181"/>
  <c r="L181"/>
  <c r="K181"/>
  <c r="J181"/>
  <c r="I181"/>
  <c r="H181"/>
  <c r="G181"/>
  <c r="F181"/>
  <c r="E181"/>
  <c r="D181"/>
  <c r="P178"/>
  <c r="O178"/>
  <c r="N178"/>
  <c r="M178"/>
  <c r="L178"/>
  <c r="K178"/>
  <c r="J178"/>
  <c r="I178"/>
  <c r="H178"/>
  <c r="G178"/>
  <c r="F178"/>
  <c r="E178"/>
  <c r="D178"/>
  <c r="P175"/>
  <c r="O175"/>
  <c r="N175"/>
  <c r="M175"/>
  <c r="L175"/>
  <c r="K175"/>
  <c r="J175"/>
  <c r="I175"/>
  <c r="H175"/>
  <c r="G175"/>
  <c r="F175"/>
  <c r="E175"/>
  <c r="D175"/>
  <c r="P172"/>
  <c r="O172"/>
  <c r="N172"/>
  <c r="M172"/>
  <c r="L172"/>
  <c r="K172"/>
  <c r="J172"/>
  <c r="I172"/>
  <c r="H172"/>
  <c r="G172"/>
  <c r="F172"/>
  <c r="E172"/>
  <c r="D172"/>
  <c r="P169"/>
  <c r="O169"/>
  <c r="N169"/>
  <c r="M169"/>
  <c r="L169"/>
  <c r="K169"/>
  <c r="J169"/>
  <c r="I169"/>
  <c r="H169"/>
  <c r="G169"/>
  <c r="F169"/>
  <c r="E169"/>
  <c r="D169"/>
  <c r="P166"/>
  <c r="O166"/>
  <c r="N166"/>
  <c r="M166"/>
  <c r="L166"/>
  <c r="K166"/>
  <c r="J166"/>
  <c r="I166"/>
  <c r="H166"/>
  <c r="G166"/>
  <c r="F166"/>
  <c r="E166"/>
  <c r="D166"/>
  <c r="P163"/>
  <c r="O163"/>
  <c r="N163"/>
  <c r="M163"/>
  <c r="L163"/>
  <c r="K163"/>
  <c r="J163"/>
  <c r="I163"/>
  <c r="H163"/>
  <c r="G163"/>
  <c r="F163"/>
  <c r="E163"/>
  <c r="D163"/>
  <c r="P160"/>
  <c r="O160"/>
  <c r="N160"/>
  <c r="M160"/>
  <c r="L160"/>
  <c r="K160"/>
  <c r="J160"/>
  <c r="I160"/>
  <c r="H160"/>
  <c r="G160"/>
  <c r="F160"/>
  <c r="E160"/>
  <c r="D160"/>
  <c r="P157"/>
  <c r="O157"/>
  <c r="N157"/>
  <c r="M157"/>
  <c r="L157"/>
  <c r="K157"/>
  <c r="J157"/>
  <c r="I157"/>
  <c r="H157"/>
  <c r="G157"/>
  <c r="F157"/>
  <c r="E157"/>
  <c r="D157"/>
  <c r="P154"/>
  <c r="O154"/>
  <c r="N154"/>
  <c r="M154"/>
  <c r="L154"/>
  <c r="K154"/>
  <c r="J154"/>
  <c r="I154"/>
  <c r="H154"/>
  <c r="G154"/>
  <c r="F154"/>
  <c r="E154"/>
  <c r="D154"/>
  <c r="P151"/>
  <c r="O151"/>
  <c r="N151"/>
  <c r="M151"/>
  <c r="L151"/>
  <c r="K151"/>
  <c r="J151"/>
  <c r="I151"/>
  <c r="H151"/>
  <c r="G151"/>
  <c r="F151"/>
  <c r="E151"/>
  <c r="D151"/>
  <c r="P148"/>
  <c r="O148"/>
  <c r="N148"/>
  <c r="M148"/>
  <c r="L148"/>
  <c r="K148"/>
  <c r="J148"/>
  <c r="I148"/>
  <c r="H148"/>
  <c r="G148"/>
  <c r="F148"/>
  <c r="E148"/>
  <c r="D148"/>
  <c r="P145"/>
  <c r="O145"/>
  <c r="N145"/>
  <c r="M145"/>
  <c r="L145"/>
  <c r="K145"/>
  <c r="J145"/>
  <c r="I145"/>
  <c r="H145"/>
  <c r="G145"/>
  <c r="F145"/>
  <c r="E145"/>
  <c r="T143" s="1"/>
  <c r="D145"/>
  <c r="P142"/>
  <c r="O142"/>
  <c r="N142"/>
  <c r="M142"/>
  <c r="L142"/>
  <c r="K142"/>
  <c r="J142"/>
  <c r="I142"/>
  <c r="H142"/>
  <c r="G142"/>
  <c r="F142"/>
  <c r="E142"/>
  <c r="D142"/>
  <c r="P139"/>
  <c r="O139"/>
  <c r="N139"/>
  <c r="M139"/>
  <c r="L139"/>
  <c r="K139"/>
  <c r="J139"/>
  <c r="I139"/>
  <c r="H139"/>
  <c r="G139"/>
  <c r="F139"/>
  <c r="E139"/>
  <c r="D139"/>
  <c r="P136"/>
  <c r="O136"/>
  <c r="N136"/>
  <c r="M136"/>
  <c r="L136"/>
  <c r="K136"/>
  <c r="J136"/>
  <c r="I136"/>
  <c r="H136"/>
  <c r="G136"/>
  <c r="F136"/>
  <c r="E136"/>
  <c r="D136"/>
  <c r="P133"/>
  <c r="O133"/>
  <c r="N133"/>
  <c r="M133"/>
  <c r="L133"/>
  <c r="K133"/>
  <c r="J133"/>
  <c r="I133"/>
  <c r="H133"/>
  <c r="G133"/>
  <c r="F133"/>
  <c r="E133"/>
  <c r="D133"/>
  <c r="P130"/>
  <c r="O130"/>
  <c r="N130"/>
  <c r="M130"/>
  <c r="L130"/>
  <c r="K130"/>
  <c r="J130"/>
  <c r="I130"/>
  <c r="H130"/>
  <c r="G130"/>
  <c r="F130"/>
  <c r="E130"/>
  <c r="D130"/>
  <c r="P127"/>
  <c r="O127"/>
  <c r="N127"/>
  <c r="M127"/>
  <c r="L127"/>
  <c r="K127"/>
  <c r="J127"/>
  <c r="I127"/>
  <c r="H127"/>
  <c r="G127"/>
  <c r="F127"/>
  <c r="E127"/>
  <c r="D127"/>
  <c r="P124"/>
  <c r="O124"/>
  <c r="N124"/>
  <c r="M124"/>
  <c r="L124"/>
  <c r="K124"/>
  <c r="J124"/>
  <c r="I124"/>
  <c r="H124"/>
  <c r="G124"/>
  <c r="F124"/>
  <c r="E124"/>
  <c r="D124"/>
  <c r="P121"/>
  <c r="O121"/>
  <c r="N121"/>
  <c r="M121"/>
  <c r="L121"/>
  <c r="K121"/>
  <c r="J121"/>
  <c r="I121"/>
  <c r="H121"/>
  <c r="G121"/>
  <c r="F121"/>
  <c r="E121"/>
  <c r="D121"/>
  <c r="P118"/>
  <c r="O118"/>
  <c r="N118"/>
  <c r="M118"/>
  <c r="L118"/>
  <c r="K118"/>
  <c r="J118"/>
  <c r="I118"/>
  <c r="H118"/>
  <c r="G118"/>
  <c r="F118"/>
  <c r="E118"/>
  <c r="D118"/>
  <c r="P115"/>
  <c r="O115"/>
  <c r="N115"/>
  <c r="M115"/>
  <c r="L115"/>
  <c r="K115"/>
  <c r="J115"/>
  <c r="I115"/>
  <c r="H115"/>
  <c r="G115"/>
  <c r="F115"/>
  <c r="E115"/>
  <c r="D115"/>
  <c r="P112"/>
  <c r="O112"/>
  <c r="N112"/>
  <c r="M112"/>
  <c r="L112"/>
  <c r="K112"/>
  <c r="J112"/>
  <c r="I112"/>
  <c r="H112"/>
  <c r="G112"/>
  <c r="F112"/>
  <c r="E112"/>
  <c r="D112"/>
  <c r="P109"/>
  <c r="O109"/>
  <c r="N109"/>
  <c r="M109"/>
  <c r="L109"/>
  <c r="K109"/>
  <c r="J109"/>
  <c r="I109"/>
  <c r="H109"/>
  <c r="G109"/>
  <c r="F109"/>
  <c r="E109"/>
  <c r="D109"/>
  <c r="P106"/>
  <c r="O106"/>
  <c r="N106"/>
  <c r="M106"/>
  <c r="L106"/>
  <c r="K106"/>
  <c r="J106"/>
  <c r="I106"/>
  <c r="H106"/>
  <c r="G106"/>
  <c r="F106"/>
  <c r="E106"/>
  <c r="D106"/>
  <c r="P103"/>
  <c r="O103"/>
  <c r="N103"/>
  <c r="M103"/>
  <c r="L103"/>
  <c r="K103"/>
  <c r="J103"/>
  <c r="I103"/>
  <c r="H103"/>
  <c r="G103"/>
  <c r="F103"/>
  <c r="E103"/>
  <c r="D103"/>
  <c r="P100"/>
  <c r="O100"/>
  <c r="N100"/>
  <c r="M100"/>
  <c r="L100"/>
  <c r="K100"/>
  <c r="J100"/>
  <c r="I100"/>
  <c r="H100"/>
  <c r="G100"/>
  <c r="F100"/>
  <c r="E100"/>
  <c r="D100"/>
  <c r="P97"/>
  <c r="O97"/>
  <c r="N97"/>
  <c r="M97"/>
  <c r="L97"/>
  <c r="K97"/>
  <c r="J97"/>
  <c r="I97"/>
  <c r="H97"/>
  <c r="G97"/>
  <c r="F97"/>
  <c r="E97"/>
  <c r="D97"/>
  <c r="P94"/>
  <c r="O94"/>
  <c r="N94"/>
  <c r="M94"/>
  <c r="L94"/>
  <c r="K94"/>
  <c r="J94"/>
  <c r="I94"/>
  <c r="H94"/>
  <c r="G94"/>
  <c r="F94"/>
  <c r="E94"/>
  <c r="D94"/>
  <c r="P91"/>
  <c r="O91"/>
  <c r="N91"/>
  <c r="M91"/>
  <c r="L91"/>
  <c r="K91"/>
  <c r="J91"/>
  <c r="I91"/>
  <c r="H91"/>
  <c r="G91"/>
  <c r="F91"/>
  <c r="E91"/>
  <c r="D91"/>
  <c r="P88"/>
  <c r="O88"/>
  <c r="N88"/>
  <c r="M88"/>
  <c r="L88"/>
  <c r="K88"/>
  <c r="J88"/>
  <c r="I88"/>
  <c r="H88"/>
  <c r="G88"/>
  <c r="F88"/>
  <c r="E88"/>
  <c r="D88"/>
  <c r="P85"/>
  <c r="O85"/>
  <c r="N85"/>
  <c r="M85"/>
  <c r="L85"/>
  <c r="K85"/>
  <c r="J85"/>
  <c r="I85"/>
  <c r="H85"/>
  <c r="G85"/>
  <c r="F85"/>
  <c r="E85"/>
  <c r="D85"/>
  <c r="P82"/>
  <c r="O82"/>
  <c r="N82"/>
  <c r="M82"/>
  <c r="L82"/>
  <c r="K82"/>
  <c r="J82"/>
  <c r="I82"/>
  <c r="H82"/>
  <c r="G82"/>
  <c r="F82"/>
  <c r="E82"/>
  <c r="D82"/>
  <c r="P79"/>
  <c r="O79"/>
  <c r="N79"/>
  <c r="M79"/>
  <c r="L79"/>
  <c r="K79"/>
  <c r="J79"/>
  <c r="I79"/>
  <c r="H79"/>
  <c r="G79"/>
  <c r="F79"/>
  <c r="E79"/>
  <c r="D79"/>
  <c r="P76"/>
  <c r="O76"/>
  <c r="N76"/>
  <c r="M76"/>
  <c r="L76"/>
  <c r="K76"/>
  <c r="J76"/>
  <c r="I76"/>
  <c r="H76"/>
  <c r="G76"/>
  <c r="F76"/>
  <c r="E76"/>
  <c r="D76"/>
  <c r="P73"/>
  <c r="O73"/>
  <c r="N73"/>
  <c r="M73"/>
  <c r="L73"/>
  <c r="K73"/>
  <c r="J73"/>
  <c r="I73"/>
  <c r="H73"/>
  <c r="G73"/>
  <c r="F73"/>
  <c r="E73"/>
  <c r="D73"/>
  <c r="P70"/>
  <c r="O70"/>
  <c r="N70"/>
  <c r="M70"/>
  <c r="L70"/>
  <c r="K70"/>
  <c r="J70"/>
  <c r="I70"/>
  <c r="H70"/>
  <c r="G70"/>
  <c r="F70"/>
  <c r="E70"/>
  <c r="D70"/>
  <c r="P67"/>
  <c r="O67"/>
  <c r="N67"/>
  <c r="M67"/>
  <c r="L67"/>
  <c r="K67"/>
  <c r="J67"/>
  <c r="I67"/>
  <c r="H67"/>
  <c r="G67"/>
  <c r="F67"/>
  <c r="E67"/>
  <c r="D67"/>
  <c r="P64"/>
  <c r="O64"/>
  <c r="N64"/>
  <c r="M64"/>
  <c r="L64"/>
  <c r="K64"/>
  <c r="J64"/>
  <c r="I64"/>
  <c r="H64"/>
  <c r="G64"/>
  <c r="F64"/>
  <c r="E64"/>
  <c r="D64"/>
  <c r="P61"/>
  <c r="O61"/>
  <c r="N61"/>
  <c r="M61"/>
  <c r="L61"/>
  <c r="K61"/>
  <c r="J61"/>
  <c r="I61"/>
  <c r="H61"/>
  <c r="G61"/>
  <c r="F61"/>
  <c r="E61"/>
  <c r="D61"/>
  <c r="P58"/>
  <c r="O58"/>
  <c r="N58"/>
  <c r="M58"/>
  <c r="L58"/>
  <c r="K58"/>
  <c r="J58"/>
  <c r="I58"/>
  <c r="H58"/>
  <c r="G58"/>
  <c r="F58"/>
  <c r="E58"/>
  <c r="D58"/>
  <c r="P55"/>
  <c r="O55"/>
  <c r="N55"/>
  <c r="M55"/>
  <c r="L55"/>
  <c r="K55"/>
  <c r="J55"/>
  <c r="I55"/>
  <c r="H55"/>
  <c r="G55"/>
  <c r="F55"/>
  <c r="E55"/>
  <c r="D55"/>
  <c r="P52"/>
  <c r="O52"/>
  <c r="N52"/>
  <c r="M52"/>
  <c r="L52"/>
  <c r="K52"/>
  <c r="J52"/>
  <c r="I52"/>
  <c r="H52"/>
  <c r="G52"/>
  <c r="F52"/>
  <c r="E52"/>
  <c r="D52"/>
  <c r="P49"/>
  <c r="O49"/>
  <c r="N49"/>
  <c r="M49"/>
  <c r="L49"/>
  <c r="K49"/>
  <c r="J49"/>
  <c r="I49"/>
  <c r="H49"/>
  <c r="G49"/>
  <c r="F49"/>
  <c r="E49"/>
  <c r="D49"/>
  <c r="P46"/>
  <c r="O46"/>
  <c r="N46"/>
  <c r="M46"/>
  <c r="L46"/>
  <c r="K46"/>
  <c r="J46"/>
  <c r="I46"/>
  <c r="H46"/>
  <c r="G46"/>
  <c r="F46"/>
  <c r="E46"/>
  <c r="D46"/>
  <c r="P43"/>
  <c r="O43"/>
  <c r="N43"/>
  <c r="M43"/>
  <c r="L43"/>
  <c r="K43"/>
  <c r="J43"/>
  <c r="I43"/>
  <c r="H43"/>
  <c r="G43"/>
  <c r="F43"/>
  <c r="E43"/>
  <c r="D43"/>
  <c r="P40"/>
  <c r="O40"/>
  <c r="N40"/>
  <c r="M40"/>
  <c r="L40"/>
  <c r="K40"/>
  <c r="J40"/>
  <c r="I40"/>
  <c r="H40"/>
  <c r="G40"/>
  <c r="F40"/>
  <c r="E40"/>
  <c r="D40"/>
  <c r="P37"/>
  <c r="O37"/>
  <c r="N37"/>
  <c r="M37"/>
  <c r="L37"/>
  <c r="K37"/>
  <c r="J37"/>
  <c r="I37"/>
  <c r="H37"/>
  <c r="G37"/>
  <c r="F37"/>
  <c r="E37"/>
  <c r="D37"/>
  <c r="P34"/>
  <c r="O34"/>
  <c r="N34"/>
  <c r="M34"/>
  <c r="L34"/>
  <c r="K34"/>
  <c r="J34"/>
  <c r="I34"/>
  <c r="H34"/>
  <c r="G34"/>
  <c r="F34"/>
  <c r="E34"/>
  <c r="D34"/>
  <c r="P31"/>
  <c r="O31"/>
  <c r="N31"/>
  <c r="M31"/>
  <c r="L31"/>
  <c r="K31"/>
  <c r="J31"/>
  <c r="I31"/>
  <c r="H31"/>
  <c r="G31"/>
  <c r="F31"/>
  <c r="E31"/>
  <c r="D31"/>
  <c r="P28"/>
  <c r="O28"/>
  <c r="N28"/>
  <c r="M28"/>
  <c r="L28"/>
  <c r="K28"/>
  <c r="J28"/>
  <c r="I28"/>
  <c r="H28"/>
  <c r="G28"/>
  <c r="F28"/>
  <c r="E28"/>
  <c r="D28"/>
  <c r="P25"/>
  <c r="O25"/>
  <c r="N25"/>
  <c r="M25"/>
  <c r="L25"/>
  <c r="K25"/>
  <c r="J25"/>
  <c r="I25"/>
  <c r="H25"/>
  <c r="G25"/>
  <c r="F25"/>
  <c r="E25"/>
  <c r="D25"/>
  <c r="P22"/>
  <c r="O22"/>
  <c r="N22"/>
  <c r="M22"/>
  <c r="L22"/>
  <c r="K22"/>
  <c r="J22"/>
  <c r="I22"/>
  <c r="H22"/>
  <c r="G22"/>
  <c r="F22"/>
  <c r="E22"/>
  <c r="D22"/>
  <c r="P19"/>
  <c r="O19"/>
  <c r="N19"/>
  <c r="M19"/>
  <c r="L19"/>
  <c r="K19"/>
  <c r="J19"/>
  <c r="I19"/>
  <c r="H19"/>
  <c r="G19"/>
  <c r="F19"/>
  <c r="E19"/>
  <c r="D19"/>
  <c r="P16"/>
  <c r="O16"/>
  <c r="N16"/>
  <c r="M16"/>
  <c r="L16"/>
  <c r="K16"/>
  <c r="J16"/>
  <c r="I16"/>
  <c r="H16"/>
  <c r="G16"/>
  <c r="F16"/>
  <c r="E16"/>
  <c r="D16"/>
  <c r="P13"/>
  <c r="O13"/>
  <c r="N13"/>
  <c r="M13"/>
  <c r="L13"/>
  <c r="K13"/>
  <c r="J13"/>
  <c r="I13"/>
  <c r="H13"/>
  <c r="G13"/>
  <c r="F13"/>
  <c r="E13"/>
  <c r="D13"/>
  <c r="D107" i="4"/>
  <c r="E107"/>
  <c r="D106"/>
  <c r="E106"/>
  <c r="D105"/>
  <c r="E105"/>
  <c r="D104"/>
  <c r="E104"/>
  <c r="D103"/>
  <c r="E103"/>
  <c r="D102"/>
  <c r="E102"/>
  <c r="D101"/>
  <c r="E101"/>
  <c r="D100"/>
  <c r="E100"/>
  <c r="D99"/>
  <c r="E99"/>
  <c r="D98"/>
  <c r="E98"/>
  <c r="D97"/>
  <c r="E97"/>
  <c r="D96"/>
  <c r="E96"/>
  <c r="D95"/>
  <c r="E95"/>
  <c r="D94"/>
  <c r="E94"/>
  <c r="D93"/>
  <c r="E93"/>
  <c r="D92"/>
  <c r="E92"/>
  <c r="D91"/>
  <c r="E91"/>
  <c r="D90"/>
  <c r="E90"/>
  <c r="D89"/>
  <c r="E89"/>
  <c r="D88"/>
  <c r="E88"/>
  <c r="D87"/>
  <c r="E87"/>
  <c r="D86"/>
  <c r="E86"/>
  <c r="D85"/>
  <c r="E85"/>
  <c r="D84"/>
  <c r="E84"/>
  <c r="D83"/>
  <c r="E83"/>
  <c r="D82"/>
  <c r="E82"/>
  <c r="D81"/>
  <c r="E81"/>
  <c r="D80"/>
  <c r="E80"/>
  <c r="D79"/>
  <c r="E79"/>
  <c r="D78"/>
  <c r="E78"/>
  <c r="D77"/>
  <c r="E77"/>
  <c r="D76"/>
  <c r="E76"/>
  <c r="D75"/>
  <c r="E75"/>
  <c r="D74"/>
  <c r="E74"/>
  <c r="D73"/>
  <c r="E73"/>
  <c r="D72"/>
  <c r="E72"/>
  <c r="D71"/>
  <c r="E71"/>
  <c r="D70"/>
  <c r="E70"/>
  <c r="D69"/>
  <c r="E69"/>
  <c r="D68"/>
  <c r="E68"/>
  <c r="D67"/>
  <c r="E67"/>
  <c r="D66"/>
  <c r="E66"/>
  <c r="D65"/>
  <c r="E65"/>
  <c r="D64"/>
  <c r="E64"/>
  <c r="D63"/>
  <c r="E63"/>
  <c r="D62"/>
  <c r="E62"/>
  <c r="D61"/>
  <c r="E61"/>
  <c r="D60"/>
  <c r="E60"/>
  <c r="D59"/>
  <c r="E59"/>
  <c r="D58"/>
  <c r="E58"/>
  <c r="D57"/>
  <c r="E57"/>
  <c r="D56"/>
  <c r="E56"/>
  <c r="D55"/>
  <c r="E55"/>
  <c r="D54"/>
  <c r="E54"/>
  <c r="D53"/>
  <c r="E53"/>
  <c r="D52"/>
  <c r="E52"/>
  <c r="D51"/>
  <c r="E51"/>
  <c r="D50"/>
  <c r="E50"/>
  <c r="D49"/>
  <c r="E49"/>
  <c r="D48"/>
  <c r="E48"/>
  <c r="D47"/>
  <c r="E47"/>
  <c r="D46"/>
  <c r="E46"/>
  <c r="D45"/>
  <c r="E45"/>
  <c r="D44"/>
  <c r="E44"/>
  <c r="D43"/>
  <c r="E43"/>
  <c r="D42"/>
  <c r="E42"/>
  <c r="D41"/>
  <c r="E41"/>
  <c r="D40"/>
  <c r="E40"/>
  <c r="D39"/>
  <c r="E39"/>
  <c r="D38"/>
  <c r="E38"/>
  <c r="D37"/>
  <c r="E37"/>
  <c r="D36"/>
  <c r="E36"/>
  <c r="D35"/>
  <c r="E35"/>
  <c r="D34"/>
  <c r="E34"/>
  <c r="D33"/>
  <c r="E33"/>
  <c r="D32"/>
  <c r="E32"/>
  <c r="D31"/>
  <c r="E31"/>
  <c r="D30"/>
  <c r="E30"/>
  <c r="D29"/>
  <c r="E29"/>
  <c r="D28"/>
  <c r="E28"/>
  <c r="D27"/>
  <c r="E27"/>
  <c r="D26"/>
  <c r="E26"/>
  <c r="D25"/>
  <c r="E25"/>
  <c r="D24"/>
  <c r="E24"/>
  <c r="D23"/>
  <c r="E23"/>
  <c r="D22"/>
  <c r="E22"/>
  <c r="D21"/>
  <c r="E21"/>
  <c r="D20"/>
  <c r="E20"/>
  <c r="D19"/>
  <c r="E19"/>
  <c r="D18"/>
  <c r="E18"/>
  <c r="D17"/>
  <c r="E17"/>
  <c r="D16"/>
  <c r="E16"/>
  <c r="D15"/>
  <c r="E15"/>
  <c r="D14"/>
  <c r="E14"/>
  <c r="D13"/>
  <c r="E13"/>
  <c r="D12"/>
  <c r="E12"/>
  <c r="D11"/>
  <c r="E11"/>
  <c r="X68" i="6" l="1"/>
  <c r="T131"/>
  <c r="V32"/>
  <c r="U71"/>
  <c r="U80"/>
  <c r="U86"/>
  <c r="T95"/>
  <c r="X95" s="1"/>
  <c r="Y95" s="1"/>
  <c r="V95"/>
  <c r="U101"/>
  <c r="T104"/>
  <c r="X104" s="1"/>
  <c r="U107"/>
  <c r="X107" s="1"/>
  <c r="Y107" s="1"/>
  <c r="U113"/>
  <c r="U122"/>
  <c r="T143"/>
  <c r="X143" s="1"/>
  <c r="V143"/>
  <c r="U149"/>
  <c r="T152"/>
  <c r="X152" s="1"/>
  <c r="U155"/>
  <c r="U167"/>
  <c r="U176"/>
  <c r="U182"/>
  <c r="V206"/>
  <c r="U218"/>
  <c r="U227"/>
  <c r="U236"/>
  <c r="U242"/>
  <c r="Y293"/>
  <c r="X278"/>
  <c r="Y278" s="1"/>
  <c r="X299"/>
  <c r="Y299" s="1"/>
  <c r="X266"/>
  <c r="Y266" s="1"/>
  <c r="Y308"/>
  <c r="X140"/>
  <c r="T215"/>
  <c r="X224"/>
  <c r="V11"/>
  <c r="U14"/>
  <c r="V20"/>
  <c r="U26"/>
  <c r="U35"/>
  <c r="U41"/>
  <c r="U50"/>
  <c r="T56"/>
  <c r="V62"/>
  <c r="V71"/>
  <c r="U77"/>
  <c r="T80"/>
  <c r="U83"/>
  <c r="V107"/>
  <c r="T116"/>
  <c r="U128"/>
  <c r="V134"/>
  <c r="V155"/>
  <c r="U161"/>
  <c r="V167"/>
  <c r="U173"/>
  <c r="T176"/>
  <c r="X176" s="1"/>
  <c r="U188"/>
  <c r="V194"/>
  <c r="T200"/>
  <c r="U203"/>
  <c r="U212"/>
  <c r="V227"/>
  <c r="U233"/>
  <c r="T236"/>
  <c r="U239"/>
  <c r="X245"/>
  <c r="Y245" s="1"/>
  <c r="X296"/>
  <c r="Y296" s="1"/>
  <c r="W68"/>
  <c r="U11"/>
  <c r="X11" s="1"/>
  <c r="Y11" s="1"/>
  <c r="U23"/>
  <c r="T32"/>
  <c r="V35"/>
  <c r="T44"/>
  <c r="U47"/>
  <c r="U59"/>
  <c r="T83"/>
  <c r="V83"/>
  <c r="U89"/>
  <c r="V98"/>
  <c r="U110"/>
  <c r="U119"/>
  <c r="U125"/>
  <c r="T128"/>
  <c r="X128" s="1"/>
  <c r="U131"/>
  <c r="V146"/>
  <c r="U179"/>
  <c r="U185"/>
  <c r="T188"/>
  <c r="U191"/>
  <c r="X191" s="1"/>
  <c r="Y191" s="1"/>
  <c r="T203"/>
  <c r="V203"/>
  <c r="U209"/>
  <c r="T212"/>
  <c r="X212" s="1"/>
  <c r="U215"/>
  <c r="U221"/>
  <c r="T239"/>
  <c r="V239"/>
  <c r="Y311"/>
  <c r="X284"/>
  <c r="Y284" s="1"/>
  <c r="X47"/>
  <c r="Y47" s="1"/>
  <c r="X131"/>
  <c r="Y131" s="1"/>
  <c r="X215"/>
  <c r="Y215" s="1"/>
  <c r="X155"/>
  <c r="Y155" s="1"/>
  <c r="V14"/>
  <c r="U20"/>
  <c r="X20" s="1"/>
  <c r="Y20" s="1"/>
  <c r="V26"/>
  <c r="V86"/>
  <c r="U164"/>
  <c r="X164" s="1"/>
  <c r="V170"/>
  <c r="U200"/>
  <c r="W224"/>
  <c r="V242"/>
  <c r="W11"/>
  <c r="T14"/>
  <c r="X14" s="1"/>
  <c r="V17"/>
  <c r="W23"/>
  <c r="T26"/>
  <c r="X26" s="1"/>
  <c r="V29"/>
  <c r="W35"/>
  <c r="T38"/>
  <c r="X38" s="1"/>
  <c r="Y38" s="1"/>
  <c r="V41"/>
  <c r="W47"/>
  <c r="T50"/>
  <c r="X50" s="1"/>
  <c r="V53"/>
  <c r="W59"/>
  <c r="T62"/>
  <c r="V65"/>
  <c r="W71"/>
  <c r="T74"/>
  <c r="X74" s="1"/>
  <c r="V77"/>
  <c r="W83"/>
  <c r="T86"/>
  <c r="X86" s="1"/>
  <c r="V89"/>
  <c r="W95"/>
  <c r="T98"/>
  <c r="V101"/>
  <c r="W107"/>
  <c r="T110"/>
  <c r="X110" s="1"/>
  <c r="Y110" s="1"/>
  <c r="V113"/>
  <c r="W119"/>
  <c r="T122"/>
  <c r="X122" s="1"/>
  <c r="Y122" s="1"/>
  <c r="V125"/>
  <c r="W131"/>
  <c r="T134"/>
  <c r="V137"/>
  <c r="W143"/>
  <c r="T146"/>
  <c r="V149"/>
  <c r="W155"/>
  <c r="T158"/>
  <c r="X158" s="1"/>
  <c r="V161"/>
  <c r="W167"/>
  <c r="T170"/>
  <c r="X170" s="1"/>
  <c r="Y170" s="1"/>
  <c r="V173"/>
  <c r="W179"/>
  <c r="T182"/>
  <c r="V185"/>
  <c r="W191"/>
  <c r="T194"/>
  <c r="V197"/>
  <c r="W203"/>
  <c r="T206"/>
  <c r="V209"/>
  <c r="W215"/>
  <c r="T218"/>
  <c r="X218" s="1"/>
  <c r="Y218" s="1"/>
  <c r="V221"/>
  <c r="W227"/>
  <c r="T230"/>
  <c r="X230" s="1"/>
  <c r="V233"/>
  <c r="W239"/>
  <c r="T242"/>
  <c r="X242" s="1"/>
  <c r="X260"/>
  <c r="Y260" s="1"/>
  <c r="Y281"/>
  <c r="X314"/>
  <c r="Y314" s="1"/>
  <c r="W20"/>
  <c r="T23"/>
  <c r="X23" s="1"/>
  <c r="Y23" s="1"/>
  <c r="U32"/>
  <c r="X32" s="1"/>
  <c r="Y32" s="1"/>
  <c r="T35"/>
  <c r="X35" s="1"/>
  <c r="Y35" s="1"/>
  <c r="V50"/>
  <c r="U56"/>
  <c r="X56" s="1"/>
  <c r="T59"/>
  <c r="X59" s="1"/>
  <c r="Y59" s="1"/>
  <c r="V74"/>
  <c r="U116"/>
  <c r="X116" s="1"/>
  <c r="V158"/>
  <c r="T167"/>
  <c r="X167" s="1"/>
  <c r="Y167" s="1"/>
  <c r="T179"/>
  <c r="X179" s="1"/>
  <c r="Y179" s="1"/>
  <c r="W200"/>
  <c r="V230"/>
  <c r="W14"/>
  <c r="T17"/>
  <c r="X17" s="1"/>
  <c r="W26"/>
  <c r="T29"/>
  <c r="X29" s="1"/>
  <c r="W38"/>
  <c r="T41"/>
  <c r="X41" s="1"/>
  <c r="V44"/>
  <c r="W50"/>
  <c r="T53"/>
  <c r="X53" s="1"/>
  <c r="V56"/>
  <c r="W62"/>
  <c r="U62"/>
  <c r="T65"/>
  <c r="X65" s="1"/>
  <c r="Y65" s="1"/>
  <c r="V68"/>
  <c r="Y68" s="1"/>
  <c r="W74"/>
  <c r="T77"/>
  <c r="V80"/>
  <c r="W86"/>
  <c r="T89"/>
  <c r="X89" s="1"/>
  <c r="V92"/>
  <c r="W98"/>
  <c r="U98"/>
  <c r="T101"/>
  <c r="X101" s="1"/>
  <c r="V104"/>
  <c r="Y104" s="1"/>
  <c r="W110"/>
  <c r="T113"/>
  <c r="X113" s="1"/>
  <c r="V116"/>
  <c r="W122"/>
  <c r="T125"/>
  <c r="X125" s="1"/>
  <c r="Y125" s="1"/>
  <c r="V128"/>
  <c r="Y128" s="1"/>
  <c r="W134"/>
  <c r="U134"/>
  <c r="T137"/>
  <c r="X137" s="1"/>
  <c r="Y137" s="1"/>
  <c r="V140"/>
  <c r="Y140" s="1"/>
  <c r="W146"/>
  <c r="U146"/>
  <c r="T149"/>
  <c r="X149" s="1"/>
  <c r="Y149" s="1"/>
  <c r="V152"/>
  <c r="Y152" s="1"/>
  <c r="W158"/>
  <c r="T161"/>
  <c r="V164"/>
  <c r="W170"/>
  <c r="T173"/>
  <c r="X173" s="1"/>
  <c r="V176"/>
  <c r="W182"/>
  <c r="T185"/>
  <c r="X185" s="1"/>
  <c r="V188"/>
  <c r="W194"/>
  <c r="U194"/>
  <c r="T197"/>
  <c r="X197" s="1"/>
  <c r="Y197" s="1"/>
  <c r="V200"/>
  <c r="W206"/>
  <c r="U206"/>
  <c r="T209"/>
  <c r="X209" s="1"/>
  <c r="V212"/>
  <c r="Y212" s="1"/>
  <c r="W218"/>
  <c r="T221"/>
  <c r="X221" s="1"/>
  <c r="Y221" s="1"/>
  <c r="V224"/>
  <c r="Y224" s="1"/>
  <c r="W230"/>
  <c r="T233"/>
  <c r="V236"/>
  <c r="W242"/>
  <c r="X302"/>
  <c r="Y302" s="1"/>
  <c r="X287"/>
  <c r="Y287" s="1"/>
  <c r="U44"/>
  <c r="X44" s="1"/>
  <c r="Y44" s="1"/>
  <c r="W56"/>
  <c r="T71"/>
  <c r="X71" s="1"/>
  <c r="Y71" s="1"/>
  <c r="U92"/>
  <c r="X92" s="1"/>
  <c r="Y92" s="1"/>
  <c r="T119"/>
  <c r="X119" s="1"/>
  <c r="Y119" s="1"/>
  <c r="W164"/>
  <c r="T227"/>
  <c r="X227" s="1"/>
  <c r="Y227" s="1"/>
  <c r="W17"/>
  <c r="W29"/>
  <c r="W41"/>
  <c r="W53"/>
  <c r="W65"/>
  <c r="W77"/>
  <c r="W89"/>
  <c r="W101"/>
  <c r="W113"/>
  <c r="W125"/>
  <c r="W137"/>
  <c r="W149"/>
  <c r="W161"/>
  <c r="W173"/>
  <c r="W185"/>
  <c r="W197"/>
  <c r="W209"/>
  <c r="W221"/>
  <c r="W233"/>
  <c r="Y290"/>
  <c r="X248"/>
  <c r="Y248" s="1"/>
  <c r="Y263"/>
  <c r="X251"/>
  <c r="Y251" s="1"/>
  <c r="S149" i="5"/>
  <c r="S35"/>
  <c r="S41"/>
  <c r="T95"/>
  <c r="T179"/>
  <c r="Q191"/>
  <c r="Q203"/>
  <c r="Q206"/>
  <c r="V302"/>
  <c r="U254"/>
  <c r="V254" s="1"/>
  <c r="V236"/>
  <c r="V305"/>
  <c r="T167"/>
  <c r="R170"/>
  <c r="R71"/>
  <c r="T107"/>
  <c r="Q119"/>
  <c r="R140"/>
  <c r="U284"/>
  <c r="T23"/>
  <c r="R104"/>
  <c r="T155"/>
  <c r="R179"/>
  <c r="T59"/>
  <c r="Q83"/>
  <c r="U83" s="1"/>
  <c r="V83" s="1"/>
  <c r="Q86"/>
  <c r="S143"/>
  <c r="S209"/>
  <c r="U233"/>
  <c r="V233" s="1"/>
  <c r="S29"/>
  <c r="T71"/>
  <c r="S146"/>
  <c r="T11"/>
  <c r="S14"/>
  <c r="R32"/>
  <c r="Q47"/>
  <c r="T50"/>
  <c r="S89"/>
  <c r="S107"/>
  <c r="S110"/>
  <c r="S137"/>
  <c r="R155"/>
  <c r="R185"/>
  <c r="S185"/>
  <c r="R197"/>
  <c r="S197"/>
  <c r="S215"/>
  <c r="S221"/>
  <c r="V293"/>
  <c r="U278"/>
  <c r="V278" s="1"/>
  <c r="U227"/>
  <c r="V227" s="1"/>
  <c r="S17"/>
  <c r="R20"/>
  <c r="S53"/>
  <c r="R77"/>
  <c r="S77"/>
  <c r="S101"/>
  <c r="S113"/>
  <c r="Q122"/>
  <c r="T131"/>
  <c r="R134"/>
  <c r="R218"/>
  <c r="U266"/>
  <c r="U251"/>
  <c r="V251" s="1"/>
  <c r="U296"/>
  <c r="V296" s="1"/>
  <c r="U242"/>
  <c r="T35"/>
  <c r="R224"/>
  <c r="R11"/>
  <c r="R17"/>
  <c r="S26"/>
  <c r="R38"/>
  <c r="R47"/>
  <c r="R53"/>
  <c r="Q59"/>
  <c r="Q62"/>
  <c r="T68"/>
  <c r="S71"/>
  <c r="S74"/>
  <c r="R83"/>
  <c r="R89"/>
  <c r="Q95"/>
  <c r="Q98"/>
  <c r="R110"/>
  <c r="T116"/>
  <c r="T119"/>
  <c r="S122"/>
  <c r="R125"/>
  <c r="Q131"/>
  <c r="Q134"/>
  <c r="R146"/>
  <c r="R152"/>
  <c r="S155"/>
  <c r="S158"/>
  <c r="R161"/>
  <c r="Q167"/>
  <c r="Q170"/>
  <c r="U170" s="1"/>
  <c r="R176"/>
  <c r="S179"/>
  <c r="S182"/>
  <c r="R191"/>
  <c r="U191" s="1"/>
  <c r="V191" s="1"/>
  <c r="S194"/>
  <c r="R203"/>
  <c r="R209"/>
  <c r="Q218"/>
  <c r="U218" s="1"/>
  <c r="U257"/>
  <c r="V257" s="1"/>
  <c r="Q11"/>
  <c r="U11" s="1"/>
  <c r="R23"/>
  <c r="R29"/>
  <c r="Q35"/>
  <c r="S38"/>
  <c r="T44"/>
  <c r="T47"/>
  <c r="S47"/>
  <c r="S50"/>
  <c r="R59"/>
  <c r="R68"/>
  <c r="R80"/>
  <c r="T83"/>
  <c r="S83"/>
  <c r="S86"/>
  <c r="R95"/>
  <c r="R101"/>
  <c r="Q107"/>
  <c r="Q110"/>
  <c r="R116"/>
  <c r="S119"/>
  <c r="R131"/>
  <c r="R137"/>
  <c r="Q143"/>
  <c r="Q146"/>
  <c r="R158"/>
  <c r="R167"/>
  <c r="R182"/>
  <c r="R188"/>
  <c r="T191"/>
  <c r="S191"/>
  <c r="R194"/>
  <c r="R200"/>
  <c r="T203"/>
  <c r="S203"/>
  <c r="S206"/>
  <c r="Q215"/>
  <c r="R221"/>
  <c r="U203"/>
  <c r="T20"/>
  <c r="Q23"/>
  <c r="U23" s="1"/>
  <c r="R35"/>
  <c r="R44"/>
  <c r="R56"/>
  <c r="S59"/>
  <c r="S62"/>
  <c r="R65"/>
  <c r="S65"/>
  <c r="Q71"/>
  <c r="U71" s="1"/>
  <c r="V71" s="1"/>
  <c r="Q74"/>
  <c r="U74" s="1"/>
  <c r="V74" s="1"/>
  <c r="R92"/>
  <c r="S95"/>
  <c r="S98"/>
  <c r="R107"/>
  <c r="R113"/>
  <c r="R128"/>
  <c r="S131"/>
  <c r="S134"/>
  <c r="R143"/>
  <c r="R149"/>
  <c r="Q155"/>
  <c r="U155" s="1"/>
  <c r="V155" s="1"/>
  <c r="Q158"/>
  <c r="U158" s="1"/>
  <c r="V158" s="1"/>
  <c r="R164"/>
  <c r="S167"/>
  <c r="S170"/>
  <c r="R173"/>
  <c r="Q179"/>
  <c r="U179" s="1"/>
  <c r="V179" s="1"/>
  <c r="Q182"/>
  <c r="Q194"/>
  <c r="U194" s="1"/>
  <c r="V194" s="1"/>
  <c r="R206"/>
  <c r="U206" s="1"/>
  <c r="V206" s="1"/>
  <c r="R212"/>
  <c r="T215"/>
  <c r="S218"/>
  <c r="V266"/>
  <c r="U182"/>
  <c r="V203"/>
  <c r="U134"/>
  <c r="V134" s="1"/>
  <c r="Q26"/>
  <c r="Q38"/>
  <c r="Q50"/>
  <c r="S161"/>
  <c r="T14"/>
  <c r="R14"/>
  <c r="Q17"/>
  <c r="U17" s="1"/>
  <c r="V17" s="1"/>
  <c r="S20"/>
  <c r="T26"/>
  <c r="R26"/>
  <c r="Q29"/>
  <c r="S32"/>
  <c r="T38"/>
  <c r="Q41"/>
  <c r="S44"/>
  <c r="R50"/>
  <c r="Q53"/>
  <c r="U53" s="1"/>
  <c r="V53" s="1"/>
  <c r="S56"/>
  <c r="T62"/>
  <c r="R62"/>
  <c r="T65"/>
  <c r="Q65"/>
  <c r="S68"/>
  <c r="T74"/>
  <c r="R74"/>
  <c r="Q77"/>
  <c r="U77" s="1"/>
  <c r="S80"/>
  <c r="T86"/>
  <c r="R86"/>
  <c r="U86" s="1"/>
  <c r="Q89"/>
  <c r="S92"/>
  <c r="T98"/>
  <c r="R98"/>
  <c r="U98" s="1"/>
  <c r="Q101"/>
  <c r="S104"/>
  <c r="T110"/>
  <c r="Q113"/>
  <c r="S116"/>
  <c r="T122"/>
  <c r="R122"/>
  <c r="Q125"/>
  <c r="S128"/>
  <c r="T134"/>
  <c r="Q137"/>
  <c r="S140"/>
  <c r="T146"/>
  <c r="Q149"/>
  <c r="S152"/>
  <c r="T158"/>
  <c r="Q161"/>
  <c r="U161" s="1"/>
  <c r="S164"/>
  <c r="T170"/>
  <c r="Q173"/>
  <c r="S176"/>
  <c r="T182"/>
  <c r="Q185"/>
  <c r="S188"/>
  <c r="T194"/>
  <c r="Q197"/>
  <c r="U197" s="1"/>
  <c r="V197" s="1"/>
  <c r="S200"/>
  <c r="T206"/>
  <c r="Q209"/>
  <c r="S212"/>
  <c r="T218"/>
  <c r="Q221"/>
  <c r="S224"/>
  <c r="U248"/>
  <c r="V248" s="1"/>
  <c r="U290"/>
  <c r="V290" s="1"/>
  <c r="V287"/>
  <c r="U263"/>
  <c r="V263" s="1"/>
  <c r="U239"/>
  <c r="V239" s="1"/>
  <c r="V260"/>
  <c r="V230"/>
  <c r="U272"/>
  <c r="V272" s="1"/>
  <c r="R119"/>
  <c r="U119" s="1"/>
  <c r="S125"/>
  <c r="S173"/>
  <c r="R215"/>
  <c r="U215" s="1"/>
  <c r="V215" s="1"/>
  <c r="S11"/>
  <c r="T17"/>
  <c r="Q20"/>
  <c r="S23"/>
  <c r="T29"/>
  <c r="Q32"/>
  <c r="U32" s="1"/>
  <c r="T41"/>
  <c r="R41"/>
  <c r="Q44"/>
  <c r="T53"/>
  <c r="Q56"/>
  <c r="U56" s="1"/>
  <c r="V56" s="1"/>
  <c r="Q68"/>
  <c r="T77"/>
  <c r="Q80"/>
  <c r="U80" s="1"/>
  <c r="T89"/>
  <c r="Q92"/>
  <c r="T101"/>
  <c r="Q104"/>
  <c r="T113"/>
  <c r="Q116"/>
  <c r="T125"/>
  <c r="Q128"/>
  <c r="U128" s="1"/>
  <c r="V128" s="1"/>
  <c r="T137"/>
  <c r="Q140"/>
  <c r="U140" s="1"/>
  <c r="T149"/>
  <c r="Q152"/>
  <c r="T161"/>
  <c r="Q164"/>
  <c r="T173"/>
  <c r="Q176"/>
  <c r="U176" s="1"/>
  <c r="V176" s="1"/>
  <c r="T185"/>
  <c r="Q188"/>
  <c r="T197"/>
  <c r="Q200"/>
  <c r="T209"/>
  <c r="Q212"/>
  <c r="T221"/>
  <c r="Q224"/>
  <c r="V284"/>
  <c r="V245"/>
  <c r="Q14"/>
  <c r="T32"/>
  <c r="T56"/>
  <c r="T80"/>
  <c r="T92"/>
  <c r="T104"/>
  <c r="T128"/>
  <c r="T140"/>
  <c r="T152"/>
  <c r="T164"/>
  <c r="T176"/>
  <c r="T188"/>
  <c r="T200"/>
  <c r="T212"/>
  <c r="T224"/>
  <c r="U299"/>
  <c r="V299" s="1"/>
  <c r="U275"/>
  <c r="V275" s="1"/>
  <c r="V242"/>
  <c r="Y116" i="6" l="1"/>
  <c r="X233"/>
  <c r="Y233" s="1"/>
  <c r="Y176"/>
  <c r="X161"/>
  <c r="Y161" s="1"/>
  <c r="X77"/>
  <c r="Y77" s="1"/>
  <c r="Y29"/>
  <c r="Y56"/>
  <c r="X182"/>
  <c r="Y182" s="1"/>
  <c r="Y86"/>
  <c r="Y164"/>
  <c r="X203"/>
  <c r="Y203" s="1"/>
  <c r="X80"/>
  <c r="Y143"/>
  <c r="Y80"/>
  <c r="Y209"/>
  <c r="Y185"/>
  <c r="Y113"/>
  <c r="Y41"/>
  <c r="Y17"/>
  <c r="X200"/>
  <c r="Y200" s="1"/>
  <c r="X239"/>
  <c r="Y239" s="1"/>
  <c r="X188"/>
  <c r="Y188" s="1"/>
  <c r="X83"/>
  <c r="Y83" s="1"/>
  <c r="X236"/>
  <c r="Y236" s="1"/>
  <c r="X206"/>
  <c r="Y206" s="1"/>
  <c r="Y158"/>
  <c r="X62"/>
  <c r="Y62" s="1"/>
  <c r="Y14"/>
  <c r="Y173"/>
  <c r="Y101"/>
  <c r="Y89"/>
  <c r="Y242"/>
  <c r="X194"/>
  <c r="Y194" s="1"/>
  <c r="X146"/>
  <c r="Y146" s="1"/>
  <c r="X98"/>
  <c r="Y98" s="1"/>
  <c r="Y50"/>
  <c r="Y230"/>
  <c r="X134"/>
  <c r="Y134" s="1"/>
  <c r="Y53"/>
  <c r="Y74"/>
  <c r="Y26"/>
  <c r="V218" i="5"/>
  <c r="U131"/>
  <c r="U47"/>
  <c r="V47" s="1"/>
  <c r="U200"/>
  <c r="V200" s="1"/>
  <c r="U152"/>
  <c r="V152" s="1"/>
  <c r="U104"/>
  <c r="V104" s="1"/>
  <c r="V80"/>
  <c r="U221"/>
  <c r="V221" s="1"/>
  <c r="U173"/>
  <c r="U125"/>
  <c r="V98"/>
  <c r="U110"/>
  <c r="V110" s="1"/>
  <c r="V23"/>
  <c r="U62"/>
  <c r="U224"/>
  <c r="V224" s="1"/>
  <c r="U20"/>
  <c r="V20" s="1"/>
  <c r="U209"/>
  <c r="V209" s="1"/>
  <c r="U89"/>
  <c r="V89" s="1"/>
  <c r="V77"/>
  <c r="U38"/>
  <c r="V182"/>
  <c r="U59"/>
  <c r="U14"/>
  <c r="V14" s="1"/>
  <c r="U44"/>
  <c r="V44" s="1"/>
  <c r="V11"/>
  <c r="V119"/>
  <c r="U185"/>
  <c r="V185" s="1"/>
  <c r="U137"/>
  <c r="V137" s="1"/>
  <c r="U122"/>
  <c r="V122" s="1"/>
  <c r="V62"/>
  <c r="U35"/>
  <c r="V35" s="1"/>
  <c r="V170"/>
  <c r="U101"/>
  <c r="V101" s="1"/>
  <c r="U65"/>
  <c r="V65" s="1"/>
  <c r="U41"/>
  <c r="V41" s="1"/>
  <c r="V38"/>
  <c r="U146"/>
  <c r="V146" s="1"/>
  <c r="V131"/>
  <c r="U212"/>
  <c r="V212" s="1"/>
  <c r="U188"/>
  <c r="V188" s="1"/>
  <c r="U164"/>
  <c r="V164" s="1"/>
  <c r="U116"/>
  <c r="V116" s="1"/>
  <c r="U92"/>
  <c r="V92" s="1"/>
  <c r="U68"/>
  <c r="V68" s="1"/>
  <c r="U149"/>
  <c r="V149" s="1"/>
  <c r="U29"/>
  <c r="V29" s="1"/>
  <c r="U107"/>
  <c r="V107" s="1"/>
  <c r="U95"/>
  <c r="V95" s="1"/>
  <c r="V59"/>
  <c r="V32"/>
  <c r="U113"/>
  <c r="V113" s="1"/>
  <c r="V86"/>
  <c r="U143"/>
  <c r="V143" s="1"/>
  <c r="U167"/>
  <c r="V167" s="1"/>
  <c r="V161"/>
  <c r="V140"/>
  <c r="U50"/>
  <c r="V50" s="1"/>
  <c r="V173"/>
  <c r="V125"/>
  <c r="U26"/>
  <c r="V26" s="1"/>
</calcChain>
</file>

<file path=xl/sharedStrings.xml><?xml version="1.0" encoding="utf-8"?>
<sst xmlns="http://schemas.openxmlformats.org/spreadsheetml/2006/main" count="1199" uniqueCount="181">
  <si>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</si>
  <si>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</si>
  <si>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</si>
  <si>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</si>
  <si>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</si>
  <si>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</si>
  <si>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</si>
  <si>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</si>
  <si>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</si>
  <si>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</si>
  <si>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</si>
  <si>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</si>
  <si>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</si>
  <si>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</si>
  <si>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</si>
  <si>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</si>
  <si>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</si>
  <si>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</si>
  <si>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</si>
  <si>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</si>
  <si>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</si>
  <si>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</si>
  <si>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</si>
  <si>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</si>
  <si>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</si>
  <si>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</si>
  <si>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</si>
  <si>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</si>
  <si>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</si>
  <si>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</si>
  <si>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</si>
  <si>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</si>
  <si>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</si>
  <si>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</si>
  <si>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</si>
  <si>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</si>
  <si>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</si>
  <si>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</si>
  <si>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</si>
  <si>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</si>
  <si>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</si>
  <si>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</si>
  <si>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</si>
  <si>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</si>
  <si>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</si>
  <si>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</si>
  <si>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</si>
  <si>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</si>
  <si>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</si>
  <si>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</si>
  <si>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</si>
  <si>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</si>
  <si>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</si>
  <si>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</si>
  <si>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</si>
  <si>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</si>
  <si>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</si>
  <si>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</si>
  <si>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</si>
  <si>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</si>
  <si>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</si>
  <si>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</si>
  <si>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</si>
  <si>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</si>
  <si>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</si>
  <si>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</si>
  <si>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</si>
  <si>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</si>
  <si>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</si>
  <si>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</si>
  <si>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</si>
  <si>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</si>
  <si>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</si>
  <si>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</si>
  <si>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</si>
  <si>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</si>
  <si>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</si>
  <si>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</si>
  <si>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</si>
  <si>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</si>
  <si>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</si>
  <si>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</si>
  <si>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</si>
  <si>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</si>
  <si>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</si>
  <si>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</si>
  <si>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</si>
  <si>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</si>
  <si>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</si>
  <si>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</si>
  <si>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</si>
  <si>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</si>
  <si>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</si>
  <si>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</si>
  <si>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</si>
  <si>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</si>
  <si>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</si>
  <si>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</si>
  <si>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</si>
  <si>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</si>
  <si>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r>
      <t>Area</t>
    </r>
    <r>
      <rPr>
        <b/>
        <sz val="11"/>
        <rFont val="Calibri"/>
        <family val="2"/>
        <scheme val="minor"/>
      </rPr>
      <t>: Dry Etch</t>
    </r>
  </si>
  <si>
    <r>
      <t>Tool</t>
    </r>
    <r>
      <rPr>
        <b/>
        <sz val="11"/>
        <rFont val="Calibri"/>
        <family val="2"/>
        <scheme val="minor"/>
      </rPr>
      <t>: REPL1A</t>
    </r>
  </si>
  <si>
    <r>
      <t>QC Name</t>
    </r>
    <r>
      <rPr>
        <sz val="11"/>
        <color theme="1"/>
        <rFont val="Calibri"/>
        <family val="2"/>
        <scheme val="minor"/>
      </rPr>
      <t>: ER</t>
    </r>
  </si>
  <si>
    <r>
      <rPr>
        <b/>
        <u/>
        <sz val="11"/>
        <rFont val="Calibri"/>
        <family val="2"/>
        <scheme val="minor"/>
      </rPr>
      <t>Frequency:</t>
    </r>
    <r>
      <rPr>
        <b/>
        <sz val="11"/>
        <rFont val="Calibri"/>
        <family val="2"/>
        <scheme val="minor"/>
      </rPr>
      <t xml:space="preserve"> 72hrs or 500 production wfs   </t>
    </r>
  </si>
  <si>
    <r>
      <t>Wafer Type</t>
    </r>
    <r>
      <rPr>
        <b/>
        <sz val="11"/>
        <rFont val="Calibri"/>
        <family val="2"/>
        <scheme val="minor"/>
      </rPr>
      <t xml:space="preserve">: NIT 2800 </t>
    </r>
  </si>
  <si>
    <r>
      <rPr>
        <b/>
        <u/>
        <sz val="11"/>
        <rFont val="Calibri"/>
        <family val="2"/>
        <scheme val="minor"/>
      </rPr>
      <t xml:space="preserve">Measurment Tool (MTOP1) Recipe: </t>
    </r>
    <r>
      <rPr>
        <b/>
        <sz val="11"/>
        <rFont val="Calibri"/>
        <family val="2"/>
        <scheme val="minor"/>
      </rPr>
      <t>ETCH/QC/CS-B-RIE-NEW</t>
    </r>
  </si>
  <si>
    <r>
      <t>Recipe;</t>
    </r>
    <r>
      <rPr>
        <b/>
        <sz val="11"/>
        <rFont val="Calibri"/>
        <family val="2"/>
        <scheme val="minor"/>
      </rPr>
      <t xml:space="preserve"> SiN ER </t>
    </r>
  </si>
  <si>
    <r>
      <t>Pass Criteria for Etch rate</t>
    </r>
    <r>
      <rPr>
        <b/>
        <sz val="11"/>
        <rFont val="Calibri"/>
        <family val="2"/>
        <scheme val="minor"/>
      </rPr>
      <t xml:space="preserve">: LSL:1600 USL:2600 Å /Min </t>
    </r>
  </si>
  <si>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</si>
  <si>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</si>
  <si>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</si>
  <si>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</si>
  <si>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</si>
  <si>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</si>
  <si>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</si>
  <si>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</si>
  <si>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</si>
  <si>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</si>
  <si>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</si>
  <si>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r>
      <t>QC Name</t>
    </r>
    <r>
      <rPr>
        <b/>
        <sz val="11"/>
        <rFont val="Calibri"/>
        <family val="2"/>
        <scheme val="minor"/>
      </rPr>
      <t>: ER</t>
    </r>
  </si>
  <si>
    <r>
      <rPr>
        <b/>
        <u/>
        <sz val="11"/>
        <rFont val="Calibri"/>
        <family val="2"/>
        <scheme val="minor"/>
      </rPr>
      <t xml:space="preserve">Frequency: </t>
    </r>
    <r>
      <rPr>
        <b/>
        <sz val="11"/>
        <rFont val="Calibri"/>
        <family val="2"/>
        <scheme val="minor"/>
      </rPr>
      <t>72hrs or 500 production wfs</t>
    </r>
    <r>
      <rPr>
        <b/>
        <sz val="11"/>
        <color indexed="22"/>
        <rFont val="Calibri"/>
        <family val="2"/>
        <scheme val="minor"/>
      </rPr>
      <t xml:space="preserve">   </t>
    </r>
  </si>
  <si>
    <r>
      <t>Wafer Type</t>
    </r>
    <r>
      <rPr>
        <b/>
        <sz val="11"/>
        <rFont val="Calibri"/>
        <family val="2"/>
        <scheme val="minor"/>
      </rPr>
      <t>:  POLY 6300</t>
    </r>
  </si>
  <si>
    <r>
      <rPr>
        <b/>
        <u/>
        <sz val="11"/>
        <rFont val="Calibri"/>
        <family val="2"/>
        <scheme val="minor"/>
      </rPr>
      <t xml:space="preserve">Measurment Tool (MTOP1) Recipe: </t>
    </r>
    <r>
      <rPr>
        <b/>
        <sz val="11"/>
        <rFont val="Calibri"/>
        <family val="2"/>
        <scheme val="minor"/>
      </rPr>
      <t>ETCH/QC/17_POLY-3mm</t>
    </r>
  </si>
  <si>
    <r>
      <t>Recipe;</t>
    </r>
    <r>
      <rPr>
        <b/>
        <sz val="11"/>
        <rFont val="Calibri"/>
        <family val="2"/>
        <scheme val="minor"/>
      </rPr>
      <t xml:space="preserve">  Poly ER</t>
    </r>
  </si>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</sst>
</file>

<file path=xl/styles.xml><?xml version="1.0" encoding="utf-8"?>
<styleSheet xmlns="http://schemas.openxmlformats.org/spreadsheetml/2006/main">
  <numFmts count="3">
    <numFmt numFmtId="164" formatCode="mm\/dd\/yyyy"/>
    <numFmt numFmtId="165" formatCode="m/d/yyyy;@"/>
    <numFmt numFmtId="166" formatCode="m/d;@"/>
  </numFmts>
  <fonts count="39">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u/>
      <sz val="11"/>
      <name val="Calibri"/>
      <family val="2"/>
      <scheme val="minor"/>
    </font>
    <font>
      <u/>
      <sz val="11"/>
      <color rgb="FF00B050"/>
      <name val="Calibri"/>
      <family val="2"/>
      <scheme val="minor"/>
    </font>
    <font>
      <b/>
      <sz val="11"/>
      <name val="Calibri"/>
      <family val="2"/>
      <scheme val="minor"/>
    </font>
    <font>
      <sz val="11"/>
      <name val="Calibri"/>
      <family val="2"/>
      <scheme val="minor"/>
    </font>
    <font>
      <sz val="11"/>
      <color indexed="12"/>
      <name val="Calibri"/>
      <family val="2"/>
      <scheme val="minor"/>
    </font>
    <font>
      <sz val="11"/>
      <color rgb="FF00B050"/>
      <name val="Calibri"/>
      <family val="2"/>
      <scheme val="minor"/>
    </font>
    <font>
      <b/>
      <u/>
      <sz val="11"/>
      <color rgb="FF00B050"/>
      <name val="Calibri"/>
      <family val="2"/>
      <scheme val="minor"/>
    </font>
    <font>
      <b/>
      <sz val="11"/>
      <color rgb="FF00B050"/>
      <name val="Calibri"/>
      <family val="2"/>
      <scheme val="minor"/>
    </font>
    <font>
      <b/>
      <sz val="11"/>
      <color indexed="22"/>
      <name val="Calibri"/>
      <family val="2"/>
      <scheme val="minor"/>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36"/>
      <color rgb="FF000000"/>
      <name val="Calibri"/>
      <family val="2"/>
      <scheme val="minor"/>
    </font>
    <font>
      <sz val="11"/>
      <name val="Arial"/>
      <family val="2"/>
    </font>
    <font>
      <sz val="10"/>
      <color rgb="FFFF0000"/>
      <name val="Arial"/>
      <family val="2"/>
    </font>
    <font>
      <u/>
      <sz val="10"/>
      <color rgb="FF00B050"/>
      <name val="Arial"/>
      <family val="2"/>
    </font>
    <font>
      <sz val="11"/>
      <color rgb="FF00B050"/>
      <name val="Arial"/>
      <family val="2"/>
    </font>
    <font>
      <sz val="10"/>
      <color rgb="FF00B050"/>
      <name val="Calibri"/>
      <family val="2"/>
      <scheme val="minor"/>
    </font>
  </fonts>
  <fills count="12">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s>
  <borders count="41">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s>
  <cellStyleXfs count="2">
    <xf numFmtId="0" fontId="0" fillId="0" borderId="0"/>
    <xf numFmtId="0" fontId="10" fillId="0" borderId="0"/>
  </cellStyleXfs>
  <cellXfs count="446">
    <xf numFmtId="0" fontId="0" fillId="0" borderId="0" xfId="0"/>
    <xf numFmtId="0" fontId="4" fillId="0" borderId="0" xfId="0" applyFont="1"/>
    <xf numFmtId="0" fontId="7" fillId="2" borderId="0" xfId="0" applyFont="1" applyFill="1" applyAlignment="1"/>
    <xf numFmtId="0" fontId="6" fillId="2" borderId="4" xfId="0" applyFont="1" applyFill="1" applyBorder="1" applyAlignment="1"/>
    <xf numFmtId="0" fontId="9" fillId="0" borderId="0" xfId="0" applyFont="1" applyBorder="1"/>
    <xf numFmtId="0" fontId="6" fillId="2" borderId="0" xfId="0" applyFont="1" applyFill="1" applyBorder="1" applyAlignment="1"/>
    <xf numFmtId="0" fontId="8" fillId="2" borderId="0" xfId="0" applyFont="1" applyFill="1" applyBorder="1" applyAlignment="1"/>
    <xf numFmtId="0" fontId="6" fillId="2" borderId="5" xfId="0" applyFont="1" applyFill="1" applyBorder="1" applyAlignment="1">
      <alignment horizontal="right"/>
    </xf>
    <xf numFmtId="0" fontId="10" fillId="2" borderId="0" xfId="0" applyFont="1" applyFill="1" applyAlignment="1"/>
    <xf numFmtId="0" fontId="11" fillId="2" borderId="0" xfId="0" applyFont="1" applyFill="1" applyAlignment="1"/>
    <xf numFmtId="0" fontId="6" fillId="2" borderId="4" xfId="0" applyFont="1" applyFill="1" applyBorder="1" applyAlignment="1">
      <alignment horizontal="left"/>
    </xf>
    <xf numFmtId="0" fontId="9" fillId="2" borderId="0" xfId="0" applyFont="1" applyFill="1" applyBorder="1"/>
    <xf numFmtId="0" fontId="11" fillId="0" borderId="0" xfId="0" applyFont="1" applyBorder="1" applyAlignment="1"/>
    <xf numFmtId="0" fontId="13" fillId="0" borderId="0" xfId="0" applyFont="1" applyBorder="1" applyAlignment="1">
      <alignment wrapText="1"/>
    </xf>
    <xf numFmtId="0" fontId="8" fillId="2" borderId="5" xfId="0" applyFont="1" applyFill="1" applyBorder="1" applyAlignment="1"/>
    <xf numFmtId="0" fontId="8" fillId="2" borderId="4" xfId="0" applyFont="1" applyFill="1" applyBorder="1" applyAlignment="1"/>
    <xf numFmtId="0" fontId="8" fillId="2" borderId="0" xfId="0" applyFont="1" applyFill="1" applyAlignment="1">
      <alignment horizontal="left"/>
    </xf>
    <xf numFmtId="0" fontId="8" fillId="2" borderId="6" xfId="0" applyFont="1" applyFill="1" applyBorder="1" applyAlignment="1"/>
    <xf numFmtId="0" fontId="8" fillId="2" borderId="7" xfId="0" applyFont="1" applyFill="1" applyBorder="1" applyAlignment="1"/>
    <xf numFmtId="0" fontId="8" fillId="2" borderId="8" xfId="0" applyFont="1" applyFill="1" applyBorder="1" applyAlignment="1"/>
    <xf numFmtId="0" fontId="14" fillId="0" borderId="9" xfId="0" applyFont="1" applyBorder="1" applyAlignment="1">
      <alignment horizontal="center" vertical="center" wrapText="1"/>
    </xf>
    <xf numFmtId="0" fontId="9" fillId="0" borderId="9" xfId="0" applyFont="1" applyBorder="1" applyAlignment="1">
      <alignment horizontal="center" vertical="center" wrapText="1"/>
    </xf>
    <xf numFmtId="0" fontId="9" fillId="0" borderId="9" xfId="0" applyFont="1" applyBorder="1" applyAlignment="1">
      <alignment horizontal="center" vertical="center"/>
    </xf>
    <xf numFmtId="0" fontId="11" fillId="0" borderId="0" xfId="0" applyFont="1" applyBorder="1"/>
    <xf numFmtId="0" fontId="9" fillId="0" borderId="9" xfId="0" applyFont="1" applyBorder="1" applyAlignment="1">
      <alignment horizontal="center"/>
    </xf>
    <xf numFmtId="0" fontId="9" fillId="0" borderId="9" xfId="0" applyFont="1" applyBorder="1" applyAlignment="1">
      <alignment horizontal="center" wrapText="1"/>
    </xf>
    <xf numFmtId="0" fontId="15" fillId="0" borderId="9" xfId="0" applyFont="1" applyBorder="1" applyAlignment="1"/>
    <xf numFmtId="0" fontId="10" fillId="0" borderId="9" xfId="0" applyFont="1" applyBorder="1" applyAlignment="1"/>
    <xf numFmtId="0" fontId="10" fillId="0" borderId="0" xfId="0" applyFont="1" applyBorder="1" applyAlignment="1"/>
    <xf numFmtId="0" fontId="10" fillId="0" borderId="0" xfId="0" applyFont="1" applyBorder="1"/>
    <xf numFmtId="0" fontId="15" fillId="0" borderId="9" xfId="0" applyFont="1" applyFill="1" applyBorder="1" applyAlignment="1"/>
    <xf numFmtId="0" fontId="16" fillId="0" borderId="0" xfId="0" applyFont="1"/>
    <xf numFmtId="165" fontId="17" fillId="2" borderId="1" xfId="0" applyNumberFormat="1" applyFont="1" applyFill="1" applyBorder="1" applyAlignment="1">
      <alignment horizontal="left" vertical="center"/>
    </xf>
    <xf numFmtId="0" fontId="17" fillId="2" borderId="2" xfId="0" applyFont="1" applyFill="1" applyBorder="1" applyAlignment="1">
      <alignment horizontal="left"/>
    </xf>
    <xf numFmtId="0" fontId="17" fillId="2" borderId="3" xfId="0" applyFont="1" applyFill="1" applyBorder="1" applyAlignment="1">
      <alignment horizontal="left"/>
    </xf>
    <xf numFmtId="0" fontId="17" fillId="2" borderId="2" xfId="0" applyFont="1" applyFill="1" applyBorder="1" applyAlignment="1">
      <alignment horizontal="left" vertical="center"/>
    </xf>
    <xf numFmtId="0" fontId="18" fillId="2" borderId="2" xfId="0" applyFont="1" applyFill="1" applyBorder="1" applyAlignment="1">
      <alignment vertical="center"/>
    </xf>
    <xf numFmtId="0" fontId="18" fillId="2" borderId="2" xfId="0" applyFont="1" applyFill="1" applyBorder="1" applyAlignment="1">
      <alignment horizontal="center" vertical="center"/>
    </xf>
    <xf numFmtId="0" fontId="18" fillId="2" borderId="3" xfId="0" applyFont="1" applyFill="1" applyBorder="1" applyAlignment="1">
      <alignment horizontal="center" vertical="center"/>
    </xf>
    <xf numFmtId="0" fontId="17" fillId="2" borderId="0" xfId="0" applyFont="1" applyFill="1" applyAlignment="1"/>
    <xf numFmtId="165" fontId="17" fillId="2" borderId="4" xfId="0" applyNumberFormat="1" applyFont="1" applyFill="1" applyBorder="1" applyAlignment="1">
      <alignment horizontal="left" vertical="center"/>
    </xf>
    <xf numFmtId="0" fontId="17" fillId="2" borderId="0" xfId="0" applyFont="1" applyFill="1" applyBorder="1" applyAlignment="1">
      <alignment horizontal="left"/>
    </xf>
    <xf numFmtId="0" fontId="20" fillId="0" borderId="0" xfId="0" applyFont="1" applyBorder="1" applyAlignment="1">
      <alignment horizontal="left"/>
    </xf>
    <xf numFmtId="0" fontId="20" fillId="2" borderId="0" xfId="0" applyFont="1" applyFill="1" applyBorder="1" applyAlignment="1">
      <alignment horizontal="left"/>
    </xf>
    <xf numFmtId="0" fontId="19" fillId="2" borderId="0" xfId="0" applyFont="1" applyFill="1" applyBorder="1" applyAlignment="1">
      <alignment horizontal="left"/>
    </xf>
    <xf numFmtId="0" fontId="20" fillId="0" borderId="0" xfId="0" applyFont="1" applyBorder="1" applyAlignment="1">
      <alignment horizontal="left" vertical="center"/>
    </xf>
    <xf numFmtId="0" fontId="18" fillId="2" borderId="0" xfId="0" applyFont="1" applyFill="1" applyBorder="1" applyAlignment="1">
      <alignment vertical="center"/>
    </xf>
    <xf numFmtId="0" fontId="18" fillId="2" borderId="0" xfId="0" applyFont="1" applyFill="1" applyBorder="1" applyAlignment="1">
      <alignment horizontal="center" vertical="center"/>
    </xf>
    <xf numFmtId="0" fontId="18" fillId="2" borderId="5" xfId="0" applyFont="1" applyFill="1" applyBorder="1" applyAlignment="1">
      <alignment horizontal="center" vertical="center"/>
    </xf>
    <xf numFmtId="0" fontId="3" fillId="0" borderId="0" xfId="0" applyFont="1"/>
    <xf numFmtId="0" fontId="19" fillId="2" borderId="5" xfId="0" applyFont="1" applyFill="1" applyBorder="1" applyAlignment="1">
      <alignment horizontal="left"/>
    </xf>
    <xf numFmtId="0" fontId="19" fillId="2" borderId="0" xfId="0" applyFont="1" applyFill="1" applyBorder="1" applyAlignment="1">
      <alignment horizontal="left" vertical="center"/>
    </xf>
    <xf numFmtId="0" fontId="3" fillId="0" borderId="0" xfId="0" applyFont="1" applyBorder="1" applyAlignment="1">
      <alignment horizontal="left"/>
    </xf>
    <xf numFmtId="0" fontId="21" fillId="2" borderId="0" xfId="0" applyFont="1" applyFill="1" applyBorder="1" applyAlignment="1">
      <alignment horizontal="left" vertical="center"/>
    </xf>
    <xf numFmtId="0" fontId="3" fillId="2" borderId="0" xfId="0" applyFont="1" applyFill="1" applyBorder="1" applyAlignment="1">
      <alignment horizontal="left" vertical="center"/>
    </xf>
    <xf numFmtId="165" fontId="19" fillId="2" borderId="4" xfId="0" applyNumberFormat="1" applyFont="1" applyFill="1" applyBorder="1" applyAlignment="1">
      <alignment horizontal="left" vertical="center"/>
    </xf>
    <xf numFmtId="165" fontId="19" fillId="2" borderId="6" xfId="0" applyNumberFormat="1" applyFont="1" applyFill="1" applyBorder="1" applyAlignment="1">
      <alignment horizontal="left" vertical="center"/>
    </xf>
    <xf numFmtId="0" fontId="19" fillId="2" borderId="7" xfId="0" applyFont="1" applyFill="1" applyBorder="1" applyAlignment="1">
      <alignment horizontal="left"/>
    </xf>
    <xf numFmtId="0" fontId="20" fillId="2" borderId="7" xfId="0" applyFont="1" applyFill="1" applyBorder="1" applyAlignment="1">
      <alignment horizontal="left"/>
    </xf>
    <xf numFmtId="0" fontId="19" fillId="2" borderId="7" xfId="0" applyFont="1" applyFill="1" applyBorder="1" applyAlignment="1">
      <alignment horizontal="left" vertical="center"/>
    </xf>
    <xf numFmtId="0" fontId="18" fillId="2" borderId="7" xfId="0" applyFont="1" applyFill="1" applyBorder="1" applyAlignment="1">
      <alignment vertical="center"/>
    </xf>
    <xf numFmtId="0" fontId="18" fillId="2" borderId="7" xfId="0" applyFont="1" applyFill="1" applyBorder="1" applyAlignment="1">
      <alignment horizontal="center" vertical="center"/>
    </xf>
    <xf numFmtId="0" fontId="18" fillId="2" borderId="8" xfId="0" applyFont="1" applyFill="1" applyBorder="1" applyAlignment="1">
      <alignment horizontal="center" vertical="center"/>
    </xf>
    <xf numFmtId="0" fontId="22" fillId="2" borderId="12" xfId="0" applyFont="1" applyFill="1" applyBorder="1" applyAlignment="1">
      <alignment horizontal="center" vertical="center"/>
    </xf>
    <xf numFmtId="0" fontId="20" fillId="0" borderId="9" xfId="0" applyFont="1" applyBorder="1" applyAlignment="1">
      <alignment vertical="top" wrapText="1"/>
    </xf>
    <xf numFmtId="0" fontId="18" fillId="2" borderId="9" xfId="0" applyFont="1" applyFill="1" applyBorder="1" applyAlignment="1">
      <alignment vertical="center"/>
    </xf>
    <xf numFmtId="0" fontId="18" fillId="2" borderId="9" xfId="0" applyFont="1" applyFill="1" applyBorder="1" applyAlignment="1">
      <alignment horizontal="center" vertical="center"/>
    </xf>
    <xf numFmtId="0" fontId="22" fillId="2" borderId="9" xfId="0" applyFont="1" applyFill="1" applyBorder="1" applyAlignment="1">
      <alignment horizontal="center" vertical="center"/>
    </xf>
    <xf numFmtId="164" fontId="3" fillId="0" borderId="9" xfId="0" applyNumberFormat="1" applyFont="1" applyBorder="1" applyAlignment="1">
      <alignment horizontal="center" vertical="center"/>
    </xf>
    <xf numFmtId="0" fontId="20" fillId="0" borderId="16" xfId="0" applyFont="1" applyBorder="1" applyAlignment="1">
      <alignment horizontal="center" vertical="top" wrapText="1"/>
    </xf>
    <xf numFmtId="0" fontId="20" fillId="0" borderId="16" xfId="0" applyFont="1" applyBorder="1" applyAlignment="1">
      <alignment vertical="top" wrapText="1"/>
    </xf>
    <xf numFmtId="0" fontId="20" fillId="0" borderId="16" xfId="0" applyFont="1" applyBorder="1" applyAlignment="1">
      <alignment vertical="top"/>
    </xf>
    <xf numFmtId="0" fontId="3" fillId="0" borderId="17" xfId="0" applyFont="1" applyBorder="1" applyAlignment="1">
      <alignment horizontal="right" vertical="center"/>
    </xf>
    <xf numFmtId="0" fontId="22" fillId="2" borderId="10" xfId="0" applyFont="1" applyFill="1" applyBorder="1" applyAlignment="1">
      <alignment vertical="center"/>
    </xf>
    <xf numFmtId="0" fontId="22" fillId="2" borderId="9" xfId="0" applyNumberFormat="1" applyFont="1" applyFill="1" applyBorder="1" applyAlignment="1">
      <alignment vertical="center"/>
    </xf>
    <xf numFmtId="0" fontId="20" fillId="0" borderId="9" xfId="0" applyFont="1" applyBorder="1" applyAlignment="1">
      <alignment vertical="top"/>
    </xf>
    <xf numFmtId="0" fontId="3" fillId="0" borderId="18" xfId="0" applyFont="1" applyBorder="1" applyAlignment="1">
      <alignment horizontal="right" vertical="center"/>
    </xf>
    <xf numFmtId="0" fontId="20" fillId="0" borderId="19" xfId="0" applyFont="1" applyBorder="1" applyAlignment="1">
      <alignment vertical="top" wrapText="1"/>
    </xf>
    <xf numFmtId="0" fontId="20" fillId="0" borderId="19" xfId="0" applyFont="1" applyBorder="1" applyAlignment="1">
      <alignment horizontal="center" wrapText="1"/>
    </xf>
    <xf numFmtId="0" fontId="20" fillId="0" borderId="19" xfId="0" applyFont="1" applyBorder="1" applyAlignment="1">
      <alignment vertical="top"/>
    </xf>
    <xf numFmtId="0" fontId="3" fillId="0" borderId="20" xfId="0" applyFont="1" applyBorder="1" applyAlignment="1">
      <alignment horizontal="right" vertical="center"/>
    </xf>
    <xf numFmtId="165" fontId="3" fillId="0" borderId="0" xfId="0" applyNumberFormat="1" applyFont="1" applyAlignment="1">
      <alignment horizontal="center" vertical="center"/>
    </xf>
    <xf numFmtId="0" fontId="3" fillId="0" borderId="9" xfId="0" applyFont="1" applyBorder="1" applyAlignment="1">
      <alignment horizontal="right" vertical="center"/>
    </xf>
    <xf numFmtId="0" fontId="3" fillId="0" borderId="19" xfId="0" applyFont="1" applyBorder="1" applyAlignment="1">
      <alignment horizontal="right" vertical="center"/>
    </xf>
    <xf numFmtId="0" fontId="3" fillId="0" borderId="0" xfId="0" applyFont="1" applyAlignment="1">
      <alignment horizontal="center" vertical="center"/>
    </xf>
    <xf numFmtId="164" fontId="3" fillId="0" borderId="21" xfId="0" applyNumberFormat="1" applyFont="1" applyBorder="1" applyAlignment="1">
      <alignment horizontal="center" vertical="center"/>
    </xf>
    <xf numFmtId="0" fontId="3" fillId="0" borderId="22" xfId="0" applyFont="1" applyBorder="1"/>
    <xf numFmtId="0" fontId="3" fillId="0" borderId="15" xfId="0" applyFont="1" applyBorder="1"/>
    <xf numFmtId="0" fontId="3" fillId="0" borderId="24" xfId="0" applyFont="1" applyBorder="1"/>
    <xf numFmtId="0" fontId="3" fillId="0" borderId="0" xfId="0" applyFont="1" applyAlignment="1">
      <alignment horizontal="right" vertical="center"/>
    </xf>
    <xf numFmtId="0" fontId="3" fillId="0" borderId="0" xfId="0" applyFont="1" applyAlignment="1">
      <alignment horizontal="center"/>
    </xf>
    <xf numFmtId="2" fontId="17" fillId="2" borderId="2" xfId="0" applyNumberFormat="1" applyFont="1" applyFill="1" applyBorder="1" applyAlignment="1">
      <alignment horizontal="left"/>
    </xf>
    <xf numFmtId="2" fontId="17" fillId="2" borderId="0" xfId="0" applyNumberFormat="1" applyFont="1" applyFill="1" applyBorder="1" applyAlignment="1">
      <alignment horizontal="left"/>
    </xf>
    <xf numFmtId="2" fontId="19" fillId="2" borderId="0" xfId="0" applyNumberFormat="1" applyFont="1" applyFill="1" applyBorder="1" applyAlignment="1">
      <alignment horizontal="left"/>
    </xf>
    <xf numFmtId="2" fontId="21" fillId="2" borderId="0" xfId="0" applyNumberFormat="1" applyFont="1" applyFill="1" applyBorder="1" applyAlignment="1">
      <alignment horizontal="left" vertical="center"/>
    </xf>
    <xf numFmtId="2" fontId="19" fillId="2" borderId="7" xfId="0" applyNumberFormat="1" applyFont="1" applyFill="1" applyBorder="1" applyAlignment="1">
      <alignment horizontal="left"/>
    </xf>
    <xf numFmtId="2" fontId="3" fillId="0" borderId="0" xfId="0" applyNumberFormat="1" applyFont="1"/>
    <xf numFmtId="2" fontId="20" fillId="0" borderId="16" xfId="0" applyNumberFormat="1" applyFont="1" applyBorder="1" applyAlignment="1">
      <alignment vertical="top" wrapText="1"/>
    </xf>
    <xf numFmtId="2" fontId="20" fillId="0" borderId="9" xfId="0" applyNumberFormat="1" applyFont="1" applyBorder="1" applyAlignment="1">
      <alignment vertical="top" wrapText="1"/>
    </xf>
    <xf numFmtId="2" fontId="20" fillId="0" borderId="19" xfId="0" applyNumberFormat="1" applyFont="1" applyBorder="1" applyAlignment="1">
      <alignment vertical="top" wrapText="1"/>
    </xf>
    <xf numFmtId="0" fontId="5" fillId="0" borderId="0" xfId="0" applyFont="1" applyAlignment="1">
      <alignment horizontal="center" vertical="top"/>
    </xf>
    <xf numFmtId="0" fontId="20" fillId="0" borderId="26" xfId="0" applyFont="1" applyBorder="1" applyAlignment="1">
      <alignment vertical="top" wrapText="1"/>
    </xf>
    <xf numFmtId="165" fontId="20" fillId="0" borderId="10" xfId="0" applyNumberFormat="1" applyFont="1" applyBorder="1" applyAlignment="1">
      <alignment horizontal="center" vertical="center" wrapText="1"/>
    </xf>
    <xf numFmtId="0" fontId="20" fillId="0" borderId="1" xfId="0" applyFont="1" applyBorder="1" applyAlignment="1">
      <alignment horizontal="center" vertical="top" wrapText="1"/>
    </xf>
    <xf numFmtId="0" fontId="20" fillId="0" borderId="10" xfId="0" applyFont="1" applyBorder="1" applyAlignment="1">
      <alignment horizontal="center" vertical="center" wrapText="1"/>
    </xf>
    <xf numFmtId="0" fontId="18" fillId="2" borderId="10" xfId="0" applyFont="1" applyFill="1" applyBorder="1" applyAlignment="1">
      <alignment vertical="center"/>
    </xf>
    <xf numFmtId="0" fontId="18" fillId="2" borderId="10" xfId="0" applyFont="1" applyFill="1" applyBorder="1" applyAlignment="1">
      <alignment horizontal="center" vertical="center"/>
    </xf>
    <xf numFmtId="164" fontId="3" fillId="0" borderId="12" xfId="0" applyNumberFormat="1" applyFont="1" applyBorder="1" applyAlignment="1">
      <alignment horizontal="center" vertical="center"/>
    </xf>
    <xf numFmtId="0" fontId="20" fillId="0" borderId="12" xfId="0" applyFont="1" applyBorder="1" applyAlignment="1">
      <alignment horizontal="center" vertical="top" wrapText="1"/>
    </xf>
    <xf numFmtId="0" fontId="20" fillId="0" borderId="12" xfId="0" applyFont="1" applyBorder="1" applyAlignment="1">
      <alignment vertical="top" wrapText="1"/>
    </xf>
    <xf numFmtId="2" fontId="20" fillId="0" borderId="12" xfId="0" applyNumberFormat="1" applyFont="1" applyBorder="1" applyAlignment="1">
      <alignment vertical="top" wrapText="1"/>
    </xf>
    <xf numFmtId="0" fontId="20" fillId="0" borderId="12" xfId="0" applyFont="1" applyBorder="1" applyAlignment="1">
      <alignment vertical="top"/>
    </xf>
    <xf numFmtId="0" fontId="3" fillId="0" borderId="27" xfId="0" applyFont="1" applyBorder="1" applyAlignment="1">
      <alignment horizontal="right" vertical="center"/>
    </xf>
    <xf numFmtId="0" fontId="22" fillId="2" borderId="11" xfId="0" applyFont="1" applyFill="1" applyBorder="1" applyAlignment="1">
      <alignment vertical="center"/>
    </xf>
    <xf numFmtId="0" fontId="22" fillId="2" borderId="12" xfId="0" applyNumberFormat="1" applyFont="1" applyFill="1" applyBorder="1" applyAlignment="1">
      <alignment vertical="center"/>
    </xf>
    <xf numFmtId="0" fontId="19" fillId="0" borderId="29" xfId="0" applyFont="1" applyBorder="1" applyAlignment="1">
      <alignment horizontal="center" vertical="top" wrapText="1"/>
    </xf>
    <xf numFmtId="0" fontId="19" fillId="0" borderId="30" xfId="0" applyFont="1" applyBorder="1" applyAlignment="1">
      <alignment horizontal="center" vertical="top" wrapText="1"/>
    </xf>
    <xf numFmtId="2" fontId="19" fillId="0" borderId="29" xfId="0" applyNumberFormat="1" applyFont="1" applyBorder="1" applyAlignment="1">
      <alignment horizontal="center" vertical="top" wrapText="1"/>
    </xf>
    <xf numFmtId="0" fontId="19" fillId="0" borderId="29" xfId="0" applyFont="1" applyBorder="1" applyAlignment="1">
      <alignment horizontal="center" vertical="top"/>
    </xf>
    <xf numFmtId="0" fontId="19" fillId="0" borderId="31" xfId="0" applyFont="1" applyBorder="1" applyAlignment="1">
      <alignment horizontal="center" vertical="top" wrapText="1"/>
    </xf>
    <xf numFmtId="0" fontId="24" fillId="2" borderId="29" xfId="0" applyFont="1" applyFill="1" applyBorder="1" applyAlignment="1">
      <alignment horizontal="center" vertical="top"/>
    </xf>
    <xf numFmtId="0" fontId="24" fillId="2" borderId="32" xfId="0" applyFont="1" applyFill="1" applyBorder="1" applyAlignment="1">
      <alignment horizontal="center" vertical="top"/>
    </xf>
    <xf numFmtId="0" fontId="17" fillId="2" borderId="2" xfId="0" applyFont="1" applyFill="1" applyBorder="1" applyAlignment="1">
      <alignment horizontal="left" vertical="top" wrapText="1"/>
    </xf>
    <xf numFmtId="0" fontId="17" fillId="2" borderId="0" xfId="0" applyFont="1" applyFill="1" applyBorder="1" applyAlignment="1">
      <alignment horizontal="left" vertical="top" wrapText="1"/>
    </xf>
    <xf numFmtId="0" fontId="19" fillId="2" borderId="0" xfId="0" applyFont="1" applyFill="1" applyBorder="1" applyAlignment="1">
      <alignment horizontal="left" vertical="top" wrapText="1"/>
    </xf>
    <xf numFmtId="0" fontId="3" fillId="0" borderId="0" xfId="0" applyFont="1" applyBorder="1" applyAlignment="1">
      <alignment horizontal="left" vertical="top" wrapText="1"/>
    </xf>
    <xf numFmtId="0" fontId="19" fillId="2" borderId="7" xfId="0" applyFont="1" applyFill="1" applyBorder="1" applyAlignment="1">
      <alignment horizontal="left" vertical="top" wrapText="1"/>
    </xf>
    <xf numFmtId="14" fontId="17" fillId="2" borderId="1" xfId="0" applyNumberFormat="1" applyFont="1" applyFill="1" applyBorder="1" applyAlignment="1"/>
    <xf numFmtId="0" fontId="17" fillId="2" borderId="2" xfId="0" applyFont="1" applyFill="1" applyBorder="1" applyAlignment="1"/>
    <xf numFmtId="0" fontId="17" fillId="2" borderId="3" xfId="0" applyFont="1" applyFill="1" applyBorder="1" applyAlignment="1"/>
    <xf numFmtId="0" fontId="3" fillId="0" borderId="0" xfId="0" applyFont="1" applyBorder="1" applyAlignment="1">
      <alignment horizontal="center" vertical="center"/>
    </xf>
    <xf numFmtId="0" fontId="17" fillId="2" borderId="2" xfId="0" applyFont="1" applyFill="1" applyBorder="1" applyAlignment="1">
      <alignment horizontal="center"/>
    </xf>
    <xf numFmtId="0" fontId="22" fillId="0" borderId="0" xfId="0" applyFont="1" applyAlignment="1">
      <alignment vertical="center"/>
    </xf>
    <xf numFmtId="0" fontId="23" fillId="2" borderId="0" xfId="0" applyFont="1" applyFill="1" applyAlignment="1">
      <alignment vertical="center"/>
    </xf>
    <xf numFmtId="0" fontId="17" fillId="2" borderId="0" xfId="0" applyFont="1" applyFill="1" applyAlignment="1">
      <alignment horizontal="center" vertical="center"/>
    </xf>
    <xf numFmtId="14" fontId="17" fillId="2" borderId="4" xfId="0" applyNumberFormat="1" applyFont="1" applyFill="1" applyBorder="1" applyAlignment="1"/>
    <xf numFmtId="0" fontId="20" fillId="0" borderId="0" xfId="0" applyFont="1" applyBorder="1"/>
    <xf numFmtId="0" fontId="20" fillId="2" borderId="0" xfId="0" applyFont="1" applyFill="1" applyBorder="1"/>
    <xf numFmtId="0" fontId="17" fillId="2" borderId="0" xfId="0" applyFont="1" applyFill="1" applyBorder="1" applyAlignment="1"/>
    <xf numFmtId="0" fontId="17" fillId="2" borderId="5" xfId="0" applyFont="1" applyFill="1" applyBorder="1" applyAlignment="1"/>
    <xf numFmtId="0" fontId="19" fillId="2" borderId="0" xfId="0" applyFont="1" applyFill="1" applyBorder="1" applyAlignment="1"/>
    <xf numFmtId="0" fontId="20" fillId="0" borderId="0" xfId="0" applyFont="1" applyBorder="1" applyAlignment="1">
      <alignment horizontal="center"/>
    </xf>
    <xf numFmtId="14" fontId="17" fillId="2" borderId="4" xfId="0" applyNumberFormat="1" applyFont="1" applyFill="1" applyBorder="1" applyAlignment="1">
      <alignment horizontal="left"/>
    </xf>
    <xf numFmtId="0" fontId="19" fillId="2" borderId="0" xfId="0" applyFont="1" applyFill="1" applyBorder="1"/>
    <xf numFmtId="0" fontId="19" fillId="2" borderId="5" xfId="0" applyFont="1" applyFill="1" applyBorder="1" applyAlignment="1"/>
    <xf numFmtId="0" fontId="19" fillId="2" borderId="0" xfId="0" applyFont="1" applyFill="1" applyBorder="1" applyAlignment="1">
      <alignment horizontal="center"/>
    </xf>
    <xf numFmtId="0" fontId="3" fillId="0" borderId="0" xfId="0" applyFont="1" applyBorder="1" applyAlignment="1"/>
    <xf numFmtId="0" fontId="3" fillId="2" borderId="0" xfId="0" applyFont="1" applyFill="1" applyBorder="1" applyAlignment="1">
      <alignment horizontal="center" vertical="center"/>
    </xf>
    <xf numFmtId="14" fontId="19" fillId="2" borderId="4" xfId="0" applyNumberFormat="1" applyFont="1" applyFill="1" applyBorder="1" applyAlignment="1"/>
    <xf numFmtId="14" fontId="19" fillId="2" borderId="6" xfId="0" applyNumberFormat="1" applyFont="1" applyFill="1" applyBorder="1" applyAlignment="1"/>
    <xf numFmtId="0" fontId="19" fillId="2" borderId="7" xfId="0" applyFont="1" applyFill="1" applyBorder="1" applyAlignment="1"/>
    <xf numFmtId="0" fontId="20" fillId="2" borderId="7" xfId="0" applyFont="1" applyFill="1" applyBorder="1"/>
    <xf numFmtId="0" fontId="20" fillId="2" borderId="8" xfId="0" applyFont="1" applyFill="1" applyBorder="1"/>
    <xf numFmtId="0" fontId="19" fillId="2" borderId="7" xfId="0" applyFont="1" applyFill="1" applyBorder="1" applyAlignment="1">
      <alignment horizontal="center"/>
    </xf>
    <xf numFmtId="0" fontId="22" fillId="0" borderId="0" xfId="0" applyFont="1" applyAlignment="1">
      <alignment horizontal="center" vertical="center"/>
    </xf>
    <xf numFmtId="0" fontId="20" fillId="0" borderId="33" xfId="0" applyFont="1" applyBorder="1" applyAlignment="1">
      <alignment vertical="top" wrapText="1"/>
    </xf>
    <xf numFmtId="0" fontId="3" fillId="0" borderId="0" xfId="0" applyFont="1" applyBorder="1" applyAlignment="1">
      <alignment vertical="center"/>
    </xf>
    <xf numFmtId="0" fontId="3" fillId="0" borderId="9" xfId="0" applyFont="1" applyBorder="1" applyAlignment="1">
      <alignment horizontal="right"/>
    </xf>
    <xf numFmtId="0" fontId="22" fillId="0" borderId="0" xfId="0" applyNumberFormat="1" applyFont="1" applyAlignment="1">
      <alignment vertical="center"/>
    </xf>
    <xf numFmtId="14" fontId="3" fillId="0" borderId="0" xfId="0" applyNumberFormat="1" applyFont="1"/>
    <xf numFmtId="0" fontId="3" fillId="0" borderId="33" xfId="0" applyFont="1" applyBorder="1"/>
    <xf numFmtId="0" fontId="3" fillId="0" borderId="9" xfId="0" applyFont="1" applyBorder="1"/>
    <xf numFmtId="0" fontId="3" fillId="0" borderId="19" xfId="0" applyFont="1" applyBorder="1"/>
    <xf numFmtId="0" fontId="3" fillId="0" borderId="34" xfId="0" applyFont="1" applyBorder="1"/>
    <xf numFmtId="0" fontId="3" fillId="0" borderId="25" xfId="0" applyFont="1" applyBorder="1"/>
    <xf numFmtId="0" fontId="3" fillId="0" borderId="35" xfId="0" applyFont="1" applyBorder="1" applyAlignment="1">
      <alignment horizontal="center" vertical="center"/>
    </xf>
    <xf numFmtId="0" fontId="3" fillId="0" borderId="19" xfId="0" applyFont="1" applyBorder="1" applyAlignment="1">
      <alignment horizontal="right"/>
    </xf>
    <xf numFmtId="0" fontId="3" fillId="0" borderId="9" xfId="0" applyFont="1" applyBorder="1" applyAlignment="1">
      <alignment horizontal="center"/>
    </xf>
    <xf numFmtId="0" fontId="3" fillId="0" borderId="19" xfId="0" applyFont="1" applyBorder="1" applyAlignment="1">
      <alignment horizontal="center"/>
    </xf>
    <xf numFmtId="0" fontId="3" fillId="0" borderId="4" xfId="0" applyFont="1" applyFill="1" applyBorder="1"/>
    <xf numFmtId="0" fontId="3" fillId="0" borderId="0" xfId="0" applyFont="1" applyFill="1" applyBorder="1"/>
    <xf numFmtId="0" fontId="20" fillId="0" borderId="10" xfId="0" applyFont="1" applyBorder="1" applyAlignment="1">
      <alignment vertical="top" wrapText="1"/>
    </xf>
    <xf numFmtId="0" fontId="3" fillId="0" borderId="10" xfId="0" applyFont="1" applyBorder="1"/>
    <xf numFmtId="0" fontId="3" fillId="0" borderId="1" xfId="0" applyFont="1" applyBorder="1"/>
    <xf numFmtId="0" fontId="3" fillId="0" borderId="36" xfId="0" applyFont="1" applyBorder="1"/>
    <xf numFmtId="0" fontId="3" fillId="0" borderId="10" xfId="0" applyFont="1" applyBorder="1" applyAlignment="1">
      <alignment horizontal="right"/>
    </xf>
    <xf numFmtId="0" fontId="3" fillId="0" borderId="9" xfId="0" applyFont="1" applyBorder="1" applyAlignment="1">
      <alignment vertical="center"/>
    </xf>
    <xf numFmtId="0" fontId="3" fillId="0" borderId="18" xfId="0" applyFont="1" applyBorder="1" applyAlignment="1">
      <alignment horizontal="right"/>
    </xf>
    <xf numFmtId="0" fontId="3" fillId="0" borderId="10" xfId="0" applyFont="1" applyBorder="1" applyAlignment="1">
      <alignment horizontal="center" vertical="center"/>
    </xf>
    <xf numFmtId="0" fontId="3" fillId="0" borderId="37" xfId="0" applyFont="1" applyBorder="1" applyAlignment="1">
      <alignment horizontal="right"/>
    </xf>
    <xf numFmtId="0" fontId="3" fillId="0" borderId="19" xfId="0" applyFont="1" applyBorder="1" applyAlignment="1">
      <alignment horizontal="center" vertical="center"/>
    </xf>
    <xf numFmtId="0" fontId="3" fillId="0" borderId="20" xfId="0" applyFont="1" applyBorder="1" applyAlignment="1">
      <alignment horizontal="right"/>
    </xf>
    <xf numFmtId="0" fontId="3" fillId="0" borderId="5" xfId="0" applyFont="1" applyFill="1" applyBorder="1"/>
    <xf numFmtId="0" fontId="3" fillId="0" borderId="9" xfId="0" applyFont="1" applyBorder="1" applyAlignment="1">
      <alignment horizontal="center" vertical="center"/>
    </xf>
    <xf numFmtId="0" fontId="3" fillId="0" borderId="2" xfId="0" applyFont="1" applyBorder="1" applyAlignment="1">
      <alignment horizontal="center" vertical="center"/>
    </xf>
    <xf numFmtId="0" fontId="3" fillId="0" borderId="2" xfId="0" applyFont="1" applyBorder="1"/>
    <xf numFmtId="0" fontId="3" fillId="0" borderId="0" xfId="0" applyFont="1" applyAlignment="1">
      <alignment horizontal="left" vertical="top"/>
    </xf>
    <xf numFmtId="0" fontId="9" fillId="0" borderId="16" xfId="0" applyFont="1" applyBorder="1" applyAlignment="1">
      <alignment vertical="top" wrapText="1"/>
    </xf>
    <xf numFmtId="0" fontId="9" fillId="0" borderId="9" xfId="0" applyFont="1" applyBorder="1" applyAlignment="1">
      <alignment vertical="top" wrapText="1"/>
    </xf>
    <xf numFmtId="0" fontId="15" fillId="0" borderId="10" xfId="0" applyFont="1" applyFill="1" applyBorder="1" applyAlignment="1"/>
    <xf numFmtId="14" fontId="0" fillId="0" borderId="0" xfId="0" applyNumberFormat="1"/>
    <xf numFmtId="0" fontId="10" fillId="3" borderId="9" xfId="0" applyFont="1" applyFill="1" applyBorder="1" applyAlignment="1">
      <alignment horizontal="center" vertical="center"/>
    </xf>
    <xf numFmtId="0" fontId="10" fillId="6" borderId="9" xfId="0" applyFont="1" applyFill="1" applyBorder="1" applyAlignment="1">
      <alignment horizontal="center" vertical="center"/>
    </xf>
    <xf numFmtId="0" fontId="10" fillId="9" borderId="9" xfId="0" applyFont="1" applyFill="1" applyBorder="1" applyAlignment="1">
      <alignment horizontal="center" vertical="center"/>
    </xf>
    <xf numFmtId="0" fontId="16" fillId="3" borderId="15" xfId="0" applyFont="1" applyFill="1" applyBorder="1" applyAlignment="1">
      <alignment vertical="center"/>
    </xf>
    <xf numFmtId="0" fontId="16" fillId="3" borderId="14" xfId="0" applyFont="1" applyFill="1" applyBorder="1" applyAlignment="1">
      <alignment vertical="center"/>
    </xf>
    <xf numFmtId="0" fontId="10" fillId="3" borderId="14" xfId="0" applyFont="1" applyFill="1" applyBorder="1" applyAlignment="1">
      <alignment horizontal="center" vertical="center" wrapText="1"/>
    </xf>
    <xf numFmtId="0" fontId="10" fillId="3" borderId="9" xfId="0" applyFont="1" applyFill="1" applyBorder="1" applyAlignment="1">
      <alignment horizontal="center" vertical="center" wrapText="1"/>
    </xf>
    <xf numFmtId="0" fontId="10" fillId="3" borderId="12" xfId="0" applyFont="1" applyFill="1" applyBorder="1" applyAlignment="1">
      <alignment vertical="center" wrapText="1"/>
    </xf>
    <xf numFmtId="0" fontId="10" fillId="4" borderId="12" xfId="0" applyFont="1" applyFill="1" applyBorder="1" applyAlignment="1">
      <alignment vertical="center"/>
    </xf>
    <xf numFmtId="0" fontId="10" fillId="4" borderId="9" xfId="0" applyFont="1" applyFill="1" applyBorder="1" applyAlignment="1">
      <alignment vertical="center" wrapText="1"/>
    </xf>
    <xf numFmtId="0" fontId="10" fillId="4" borderId="9" xfId="0" applyFont="1" applyFill="1" applyBorder="1" applyAlignment="1">
      <alignment vertical="center"/>
    </xf>
    <xf numFmtId="0" fontId="10" fillId="3" borderId="9" xfId="0" applyFont="1" applyFill="1" applyBorder="1" applyAlignment="1">
      <alignment vertical="center" wrapText="1"/>
    </xf>
    <xf numFmtId="0" fontId="10" fillId="0" borderId="9" xfId="0" applyFont="1" applyBorder="1" applyAlignment="1">
      <alignment vertical="center"/>
    </xf>
    <xf numFmtId="0" fontId="10" fillId="5" borderId="9" xfId="0" applyFont="1" applyFill="1" applyBorder="1" applyAlignment="1">
      <alignment vertical="center"/>
    </xf>
    <xf numFmtId="0" fontId="10" fillId="0" borderId="9" xfId="0" applyFont="1" applyBorder="1" applyAlignment="1">
      <alignment horizontal="center" vertical="center"/>
    </xf>
    <xf numFmtId="0" fontId="16" fillId="0" borderId="0" xfId="0" applyFont="1" applyAlignment="1">
      <alignment vertical="center"/>
    </xf>
    <xf numFmtId="0" fontId="16" fillId="6" borderId="15" xfId="0" applyFont="1" applyFill="1" applyBorder="1" applyAlignment="1">
      <alignment vertical="center"/>
    </xf>
    <xf numFmtId="0" fontId="16" fillId="6" borderId="14" xfId="0" applyFont="1" applyFill="1" applyBorder="1" applyAlignment="1">
      <alignment vertical="center"/>
    </xf>
    <xf numFmtId="0" fontId="10" fillId="6" borderId="15" xfId="0" applyFont="1" applyFill="1" applyBorder="1" applyAlignment="1">
      <alignment horizontal="center" vertical="center" wrapText="1"/>
    </xf>
    <xf numFmtId="0" fontId="10" fillId="6" borderId="9" xfId="0" applyFont="1" applyFill="1" applyBorder="1" applyAlignment="1">
      <alignment horizontal="center" vertical="center" wrapText="1"/>
    </xf>
    <xf numFmtId="0" fontId="10" fillId="6" borderId="12" xfId="0" applyFont="1" applyFill="1" applyBorder="1" applyAlignment="1">
      <alignment vertical="center" wrapText="1"/>
    </xf>
    <xf numFmtId="0" fontId="10" fillId="7" borderId="9" xfId="0" applyFont="1" applyFill="1" applyBorder="1" applyAlignment="1">
      <alignment vertical="center"/>
    </xf>
    <xf numFmtId="0" fontId="10" fillId="7" borderId="9" xfId="0" applyFont="1" applyFill="1" applyBorder="1" applyAlignment="1">
      <alignment vertical="center" wrapText="1"/>
    </xf>
    <xf numFmtId="0" fontId="10" fillId="6" borderId="9" xfId="0" applyFont="1" applyFill="1" applyBorder="1" applyAlignment="1">
      <alignment vertical="center" wrapText="1"/>
    </xf>
    <xf numFmtId="0" fontId="10" fillId="8" borderId="9" xfId="0" applyFont="1" applyFill="1" applyBorder="1" applyAlignment="1">
      <alignment vertical="center"/>
    </xf>
    <xf numFmtId="0" fontId="16" fillId="9" borderId="15" xfId="0" applyFont="1" applyFill="1" applyBorder="1" applyAlignment="1">
      <alignment vertical="center"/>
    </xf>
    <xf numFmtId="0" fontId="16" fillId="9" borderId="14" xfId="0" applyFont="1" applyFill="1" applyBorder="1" applyAlignment="1">
      <alignment vertical="center"/>
    </xf>
    <xf numFmtId="0" fontId="10" fillId="9" borderId="9" xfId="0" applyFont="1" applyFill="1" applyBorder="1" applyAlignment="1">
      <alignment horizontal="center" vertical="center" wrapText="1"/>
    </xf>
    <xf numFmtId="0" fontId="10" fillId="9" borderId="12" xfId="0" applyFont="1" applyFill="1" applyBorder="1" applyAlignment="1">
      <alignment vertical="center" wrapText="1"/>
    </xf>
    <xf numFmtId="0" fontId="10" fillId="10" borderId="9" xfId="0" applyFont="1" applyFill="1" applyBorder="1" applyAlignment="1">
      <alignment vertical="center"/>
    </xf>
    <xf numFmtId="0" fontId="10" fillId="10" borderId="9" xfId="0" applyFont="1" applyFill="1" applyBorder="1" applyAlignment="1">
      <alignment vertical="center" wrapText="1"/>
    </xf>
    <xf numFmtId="0" fontId="10" fillId="9" borderId="9" xfId="0" applyFont="1" applyFill="1" applyBorder="1" applyAlignment="1">
      <alignment vertical="center" wrapText="1"/>
    </xf>
    <xf numFmtId="0" fontId="10" fillId="11" borderId="9" xfId="0" applyFont="1" applyFill="1" applyBorder="1" applyAlignment="1">
      <alignment vertical="center"/>
    </xf>
    <xf numFmtId="0" fontId="17" fillId="2" borderId="5" xfId="0" applyFont="1" applyFill="1" applyBorder="1" applyAlignment="1">
      <alignment horizontal="left" vertical="top"/>
    </xf>
    <xf numFmtId="0" fontId="27" fillId="2" borderId="5" xfId="0" applyFont="1" applyFill="1" applyBorder="1" applyAlignment="1"/>
    <xf numFmtId="0" fontId="27" fillId="2" borderId="0" xfId="0" applyFont="1" applyFill="1" applyAlignment="1"/>
    <xf numFmtId="164" fontId="27" fillId="2" borderId="0" xfId="0" applyNumberFormat="1" applyFont="1" applyFill="1" applyBorder="1" applyAlignment="1">
      <alignment horizontal="left" vertical="center"/>
    </xf>
    <xf numFmtId="0" fontId="27" fillId="2" borderId="0" xfId="0" applyFont="1" applyFill="1" applyAlignment="1">
      <alignment horizontal="left" vertical="center"/>
    </xf>
    <xf numFmtId="0" fontId="28" fillId="2" borderId="0" xfId="0" applyFont="1" applyFill="1" applyAlignment="1">
      <alignment horizontal="left" vertical="center"/>
    </xf>
    <xf numFmtId="0" fontId="29" fillId="0" borderId="0" xfId="0" applyFont="1" applyAlignment="1">
      <alignment horizontal="left" vertical="center"/>
    </xf>
    <xf numFmtId="0" fontId="30" fillId="0" borderId="5" xfId="0" applyFont="1" applyBorder="1"/>
    <xf numFmtId="0" fontId="30" fillId="0" borderId="0" xfId="0" applyFont="1"/>
    <xf numFmtId="0" fontId="28" fillId="2" borderId="0" xfId="0" applyFont="1" applyFill="1" applyBorder="1" applyAlignment="1">
      <alignment horizontal="left" vertical="center"/>
    </xf>
    <xf numFmtId="0" fontId="28" fillId="2" borderId="0" xfId="0" applyFont="1" applyFill="1" applyBorder="1" applyAlignment="1">
      <alignment vertical="center"/>
    </xf>
    <xf numFmtId="164" fontId="28" fillId="2" borderId="7" xfId="0" applyNumberFormat="1" applyFont="1" applyFill="1" applyBorder="1" applyAlignment="1">
      <alignment horizontal="left" vertical="center"/>
    </xf>
    <xf numFmtId="0" fontId="31" fillId="0" borderId="0" xfId="0" applyFont="1" applyAlignment="1">
      <alignment horizontal="center" vertical="top"/>
    </xf>
    <xf numFmtId="0" fontId="30" fillId="0" borderId="9" xfId="0" applyFont="1" applyBorder="1"/>
    <xf numFmtId="0" fontId="32" fillId="0" borderId="9" xfId="0" applyFont="1" applyFill="1" applyBorder="1" applyAlignment="1"/>
    <xf numFmtId="0" fontId="29" fillId="0" borderId="9" xfId="0" applyFont="1" applyFill="1" applyBorder="1" applyAlignment="1"/>
    <xf numFmtId="0" fontId="30" fillId="0" borderId="9" xfId="0" applyFont="1" applyBorder="1" applyAlignment="1">
      <alignment horizontal="center" vertical="center"/>
    </xf>
    <xf numFmtId="0" fontId="30" fillId="0" borderId="9" xfId="0" applyFont="1" applyFill="1" applyBorder="1"/>
    <xf numFmtId="0" fontId="30" fillId="0" borderId="9" xfId="0" applyFont="1" applyFill="1" applyBorder="1" applyAlignment="1">
      <alignment horizontal="center"/>
    </xf>
    <xf numFmtId="0" fontId="29" fillId="0" borderId="9" xfId="0" applyFont="1" applyFill="1" applyBorder="1" applyAlignment="1">
      <alignment horizontal="center"/>
    </xf>
    <xf numFmtId="0" fontId="30" fillId="0" borderId="9" xfId="0" applyFont="1" applyBorder="1" applyAlignment="1">
      <alignment horizontal="center"/>
    </xf>
    <xf numFmtId="0" fontId="29" fillId="0" borderId="9" xfId="0" applyFont="1" applyFill="1" applyBorder="1" applyAlignment="1">
      <alignment wrapText="1"/>
    </xf>
    <xf numFmtId="0" fontId="29" fillId="0" borderId="9" xfId="0" applyFont="1" applyBorder="1" applyAlignment="1">
      <alignment wrapText="1"/>
    </xf>
    <xf numFmtId="0" fontId="32" fillId="0" borderId="9" xfId="0" applyFont="1" applyBorder="1" applyAlignment="1"/>
    <xf numFmtId="0" fontId="29" fillId="0" borderId="9" xfId="0" applyFont="1" applyBorder="1" applyAlignment="1">
      <alignment horizontal="center"/>
    </xf>
    <xf numFmtId="0" fontId="30" fillId="0" borderId="9" xfId="0" applyFont="1" applyFill="1" applyBorder="1" applyAlignment="1">
      <alignment horizontal="center" vertical="center"/>
    </xf>
    <xf numFmtId="0" fontId="29" fillId="0" borderId="9" xfId="0" applyFont="1" applyBorder="1"/>
    <xf numFmtId="0" fontId="30" fillId="0" borderId="9" xfId="0" applyFont="1" applyBorder="1" applyAlignment="1">
      <alignment wrapText="1"/>
    </xf>
    <xf numFmtId="0" fontId="30" fillId="0" borderId="0" xfId="0" applyFont="1" applyAlignment="1">
      <alignment horizontal="center"/>
    </xf>
    <xf numFmtId="0" fontId="30" fillId="0" borderId="0" xfId="0" applyFont="1" applyAlignment="1">
      <alignment horizontal="center" vertical="center"/>
    </xf>
    <xf numFmtId="0" fontId="29" fillId="0" borderId="0" xfId="0" applyFont="1" applyAlignment="1">
      <alignment horizontal="center" vertical="center"/>
    </xf>
    <xf numFmtId="0" fontId="28" fillId="2" borderId="0" xfId="0" applyFont="1" applyFill="1" applyBorder="1" applyAlignment="1">
      <alignment horizontal="center" vertical="center"/>
    </xf>
    <xf numFmtId="0" fontId="29" fillId="0" borderId="2" xfId="0" applyFont="1" applyBorder="1" applyAlignment="1">
      <alignment horizontal="center" vertical="top"/>
    </xf>
    <xf numFmtId="0" fontId="29" fillId="0" borderId="2" xfId="0" applyFont="1" applyBorder="1" applyAlignment="1">
      <alignment horizontal="center" vertical="top" wrapText="1"/>
    </xf>
    <xf numFmtId="0" fontId="30" fillId="0" borderId="2" xfId="0" applyFont="1" applyBorder="1" applyAlignment="1">
      <alignment horizontal="center" vertical="center"/>
    </xf>
    <xf numFmtId="0" fontId="29" fillId="0" borderId="3" xfId="0" applyFont="1" applyFill="1" applyBorder="1" applyAlignment="1">
      <alignment horizontal="center" vertical="top"/>
    </xf>
    <xf numFmtId="0" fontId="30" fillId="0" borderId="12" xfId="0" applyFont="1" applyBorder="1"/>
    <xf numFmtId="0" fontId="32" fillId="0" borderId="12" xfId="0" applyFont="1" applyFill="1" applyBorder="1" applyAlignment="1"/>
    <xf numFmtId="0" fontId="30" fillId="0" borderId="12" xfId="0" applyFont="1" applyBorder="1" applyAlignment="1">
      <alignment horizontal="center"/>
    </xf>
    <xf numFmtId="0" fontId="29" fillId="0" borderId="12" xfId="0" applyFont="1" applyFill="1" applyBorder="1" applyAlignment="1"/>
    <xf numFmtId="0" fontId="30" fillId="0" borderId="12" xfId="0" applyFont="1" applyBorder="1" applyAlignment="1">
      <alignment horizontal="center" vertical="center"/>
    </xf>
    <xf numFmtId="164" fontId="28" fillId="0" borderId="28" xfId="0" applyNumberFormat="1" applyFont="1" applyBorder="1" applyAlignment="1">
      <alignment horizontal="center" vertical="top" wrapText="1"/>
    </xf>
    <xf numFmtId="0" fontId="28" fillId="0" borderId="29" xfId="0" applyFont="1" applyBorder="1" applyAlignment="1">
      <alignment horizontal="center" vertical="top" wrapText="1"/>
    </xf>
    <xf numFmtId="0" fontId="28" fillId="0" borderId="29" xfId="0" applyFont="1" applyBorder="1" applyAlignment="1">
      <alignment horizontal="center" vertical="top"/>
    </xf>
    <xf numFmtId="0" fontId="31" fillId="0" borderId="29" xfId="0" applyFont="1" applyBorder="1" applyAlignment="1">
      <alignment horizontal="center" vertical="top"/>
    </xf>
    <xf numFmtId="0" fontId="31" fillId="0" borderId="32" xfId="0" applyFont="1" applyBorder="1" applyAlignment="1">
      <alignment horizontal="center" vertical="top"/>
    </xf>
    <xf numFmtId="14" fontId="20" fillId="0" borderId="10" xfId="0" applyNumberFormat="1" applyFont="1" applyBorder="1" applyAlignment="1">
      <alignment horizontal="center" vertical="top" wrapText="1"/>
    </xf>
    <xf numFmtId="164" fontId="20" fillId="0" borderId="12" xfId="0" applyNumberFormat="1" applyFont="1" applyBorder="1" applyAlignment="1">
      <alignment horizontal="center" vertical="center"/>
    </xf>
    <xf numFmtId="0" fontId="20" fillId="0" borderId="38" xfId="0" applyFont="1" applyBorder="1" applyAlignment="1">
      <alignment vertical="top" wrapText="1"/>
    </xf>
    <xf numFmtId="0" fontId="3" fillId="0" borderId="12" xfId="0" applyFont="1" applyBorder="1" applyAlignment="1">
      <alignment horizontal="right"/>
    </xf>
    <xf numFmtId="165" fontId="19" fillId="0" borderId="28" xfId="0" applyNumberFormat="1" applyFont="1" applyBorder="1" applyAlignment="1">
      <alignment horizontal="center" vertical="top" wrapText="1"/>
    </xf>
    <xf numFmtId="0" fontId="24" fillId="0" borderId="30" xfId="0" applyFont="1" applyFill="1" applyBorder="1" applyAlignment="1">
      <alignment horizontal="center" vertical="top"/>
    </xf>
    <xf numFmtId="0" fontId="24" fillId="0" borderId="30" xfId="0" applyFont="1" applyBorder="1" applyAlignment="1">
      <alignment horizontal="center" vertical="top"/>
    </xf>
    <xf numFmtId="0" fontId="24" fillId="0" borderId="39" xfId="0" applyFont="1" applyBorder="1" applyAlignment="1">
      <alignment horizontal="center" vertical="top"/>
    </xf>
    <xf numFmtId="164" fontId="20" fillId="0" borderId="13" xfId="0" applyNumberFormat="1" applyFont="1" applyBorder="1" applyAlignment="1">
      <alignment horizontal="center" vertical="center"/>
    </xf>
    <xf numFmtId="164" fontId="3" fillId="0" borderId="13" xfId="0" applyNumberFormat="1" applyFont="1" applyBorder="1" applyAlignment="1">
      <alignment horizontal="center" vertical="center"/>
    </xf>
    <xf numFmtId="164" fontId="20" fillId="0" borderId="23" xfId="0" applyNumberFormat="1" applyFont="1" applyBorder="1" applyAlignment="1">
      <alignment horizontal="center" vertical="center"/>
    </xf>
    <xf numFmtId="0" fontId="3" fillId="0" borderId="13" xfId="0" applyFont="1" applyBorder="1"/>
    <xf numFmtId="0" fontId="3" fillId="0" borderId="7" xfId="0" applyFont="1" applyBorder="1" applyAlignment="1">
      <alignment horizontal="center" vertical="center"/>
    </xf>
    <xf numFmtId="166" fontId="19" fillId="0" borderId="28" xfId="0" applyNumberFormat="1" applyFont="1" applyBorder="1" applyAlignment="1">
      <alignment horizontal="center" vertical="top" wrapText="1"/>
    </xf>
    <xf numFmtId="2" fontId="17" fillId="2" borderId="2" xfId="0" applyNumberFormat="1" applyFont="1" applyFill="1" applyBorder="1" applyAlignment="1"/>
    <xf numFmtId="2" fontId="17" fillId="2" borderId="0" xfId="0" applyNumberFormat="1" applyFont="1" applyFill="1" applyBorder="1" applyAlignment="1"/>
    <xf numFmtId="2" fontId="19" fillId="2" borderId="0" xfId="0" applyNumberFormat="1" applyFont="1" applyFill="1" applyBorder="1" applyAlignment="1"/>
    <xf numFmtId="2" fontId="19" fillId="2" borderId="7" xfId="0" applyNumberFormat="1" applyFont="1" applyFill="1" applyBorder="1" applyAlignment="1"/>
    <xf numFmtId="2" fontId="3" fillId="0" borderId="9" xfId="0" applyNumberFormat="1" applyFont="1" applyBorder="1"/>
    <xf numFmtId="2" fontId="3" fillId="0" borderId="19" xfId="0" applyNumberFormat="1" applyFont="1" applyBorder="1"/>
    <xf numFmtId="2" fontId="3" fillId="0" borderId="10" xfId="0" applyNumberFormat="1" applyFont="1" applyBorder="1"/>
    <xf numFmtId="0" fontId="20" fillId="0" borderId="1" xfId="0" applyFont="1" applyBorder="1" applyAlignment="1">
      <alignment horizontal="left" vertical="top" wrapText="1"/>
    </xf>
    <xf numFmtId="0" fontId="3" fillId="0" borderId="0" xfId="0" applyFont="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left" vertical="top"/>
    </xf>
    <xf numFmtId="0" fontId="10" fillId="0" borderId="9" xfId="0" applyFont="1" applyFill="1" applyBorder="1" applyAlignment="1"/>
    <xf numFmtId="0" fontId="10" fillId="0" borderId="9" xfId="0" applyFont="1" applyBorder="1"/>
    <xf numFmtId="0" fontId="20" fillId="0" borderId="1" xfId="0" applyFont="1" applyBorder="1" applyAlignment="1">
      <alignment horizontal="center" vertical="center" wrapText="1"/>
    </xf>
    <xf numFmtId="0" fontId="3" fillId="0" borderId="0" xfId="0" applyFont="1" applyBorder="1" applyAlignment="1">
      <alignment horizontal="right" vertical="center"/>
    </xf>
    <xf numFmtId="0" fontId="2" fillId="0" borderId="0" xfId="0" applyFont="1" applyAlignment="1">
      <alignment horizontal="left" vertical="top" wrapText="1"/>
    </xf>
    <xf numFmtId="0" fontId="2" fillId="0" borderId="0" xfId="0" applyFont="1" applyAlignment="1">
      <alignment horizontal="left" vertical="top"/>
    </xf>
    <xf numFmtId="0" fontId="3" fillId="0" borderId="0" xfId="0" applyFont="1" applyBorder="1" applyAlignment="1">
      <alignment horizontal="right"/>
    </xf>
    <xf numFmtId="0" fontId="3" fillId="0" borderId="0" xfId="0" applyFont="1" applyBorder="1" applyAlignment="1">
      <alignment horizontal="center"/>
    </xf>
    <xf numFmtId="0" fontId="10" fillId="0" borderId="9" xfId="0" applyFont="1" applyBorder="1" applyAlignment="1">
      <alignment horizontal="center"/>
    </xf>
    <xf numFmtId="164" fontId="29" fillId="0" borderId="0" xfId="0" applyNumberFormat="1" applyFont="1" applyBorder="1" applyAlignment="1">
      <alignment horizontal="center" vertical="center" wrapText="1"/>
    </xf>
    <xf numFmtId="164" fontId="30" fillId="0" borderId="12" xfId="0" applyNumberFormat="1" applyFont="1" applyBorder="1" applyAlignment="1">
      <alignment horizontal="center" vertical="center"/>
    </xf>
    <xf numFmtId="164" fontId="30" fillId="0" borderId="9" xfId="0" applyNumberFormat="1" applyFont="1" applyBorder="1" applyAlignment="1">
      <alignment horizontal="center" vertical="center"/>
    </xf>
    <xf numFmtId="164" fontId="30" fillId="0" borderId="0" xfId="0" applyNumberFormat="1" applyFont="1" applyAlignment="1">
      <alignment horizontal="center" vertical="center"/>
    </xf>
    <xf numFmtId="0" fontId="15" fillId="2" borderId="10" xfId="0" applyFont="1" applyFill="1" applyBorder="1" applyAlignment="1">
      <alignment horizontal="center" vertical="top"/>
    </xf>
    <xf numFmtId="0" fontId="15" fillId="2" borderId="11" xfId="0" applyFont="1" applyFill="1" applyBorder="1" applyAlignment="1">
      <alignment horizontal="center" vertical="top"/>
    </xf>
    <xf numFmtId="0" fontId="15" fillId="2" borderId="12" xfId="0" applyFont="1" applyFill="1" applyBorder="1" applyAlignment="1">
      <alignment horizontal="center" vertical="top"/>
    </xf>
    <xf numFmtId="0" fontId="10" fillId="0" borderId="9" xfId="0" applyFont="1" applyBorder="1" applyAlignment="1">
      <alignment horizontal="center"/>
    </xf>
    <xf numFmtId="0" fontId="6" fillId="2" borderId="1" xfId="0" applyFont="1" applyFill="1" applyBorder="1" applyAlignment="1">
      <alignment horizontal="center"/>
    </xf>
    <xf numFmtId="0" fontId="6" fillId="2" borderId="2" xfId="0" applyFont="1" applyFill="1" applyBorder="1" applyAlignment="1">
      <alignment horizontal="center"/>
    </xf>
    <xf numFmtId="0" fontId="6" fillId="2" borderId="3" xfId="0" applyFont="1" applyFill="1" applyBorder="1" applyAlignment="1">
      <alignment horizontal="center"/>
    </xf>
    <xf numFmtId="0" fontId="8" fillId="2" borderId="0" xfId="0" applyFont="1" applyFill="1" applyBorder="1" applyAlignment="1">
      <alignment horizontal="center"/>
    </xf>
    <xf numFmtId="0" fontId="8" fillId="2" borderId="5" xfId="0" applyFont="1" applyFill="1" applyBorder="1" applyAlignment="1">
      <alignment horizontal="center"/>
    </xf>
    <xf numFmtId="0" fontId="27" fillId="2" borderId="0" xfId="0" applyFont="1" applyFill="1" applyAlignment="1">
      <alignment horizontal="left" vertical="center"/>
    </xf>
    <xf numFmtId="0" fontId="29" fillId="0" borderId="1" xfId="0" applyFont="1" applyBorder="1" applyAlignment="1">
      <alignment horizontal="center" vertical="top"/>
    </xf>
    <xf numFmtId="0" fontId="29" fillId="0" borderId="3" xfId="0" applyFont="1" applyBorder="1" applyAlignment="1">
      <alignment horizontal="center" vertical="top"/>
    </xf>
    <xf numFmtId="0" fontId="20" fillId="0" borderId="34" xfId="0" applyFont="1" applyBorder="1" applyAlignment="1">
      <alignment horizontal="center" vertical="top" wrapText="1"/>
    </xf>
    <xf numFmtId="0" fontId="20" fillId="0" borderId="24" xfId="0" applyFont="1" applyBorder="1" applyAlignment="1">
      <alignment horizontal="center" vertical="top" wrapText="1"/>
    </xf>
    <xf numFmtId="14" fontId="20" fillId="0" borderId="34" xfId="0" applyNumberFormat="1" applyFont="1" applyBorder="1" applyAlignment="1">
      <alignment horizontal="center" vertical="top" wrapText="1"/>
    </xf>
    <xf numFmtId="14" fontId="20" fillId="0" borderId="24" xfId="0" applyNumberFormat="1" applyFont="1" applyBorder="1" applyAlignment="1">
      <alignment horizontal="center" vertical="top" wrapText="1"/>
    </xf>
    <xf numFmtId="14" fontId="20" fillId="0" borderId="26" xfId="0" applyNumberFormat="1" applyFont="1" applyBorder="1" applyAlignment="1">
      <alignment horizontal="center" vertical="top" wrapText="1"/>
    </xf>
    <xf numFmtId="0" fontId="10" fillId="3" borderId="13" xfId="0" applyFont="1" applyFill="1" applyBorder="1" applyAlignment="1">
      <alignment horizontal="center" vertical="center"/>
    </xf>
    <xf numFmtId="0" fontId="10" fillId="3" borderId="15" xfId="0" applyFont="1" applyFill="1" applyBorder="1" applyAlignment="1">
      <alignment horizontal="center" vertical="center"/>
    </xf>
    <xf numFmtId="0" fontId="10" fillId="6" borderId="13" xfId="0" applyFont="1" applyFill="1" applyBorder="1" applyAlignment="1">
      <alignment horizontal="center" vertical="center" wrapText="1"/>
    </xf>
    <xf numFmtId="0" fontId="10" fillId="6" borderId="15" xfId="0" applyFont="1" applyFill="1" applyBorder="1" applyAlignment="1">
      <alignment horizontal="center" vertical="center" wrapText="1"/>
    </xf>
    <xf numFmtId="0" fontId="10" fillId="6" borderId="15" xfId="0" applyFont="1" applyFill="1" applyBorder="1" applyAlignment="1">
      <alignment horizontal="center" vertical="center"/>
    </xf>
    <xf numFmtId="0" fontId="10" fillId="9" borderId="13" xfId="0" applyFont="1" applyFill="1" applyBorder="1" applyAlignment="1">
      <alignment horizontal="center" vertical="center" wrapText="1"/>
    </xf>
    <xf numFmtId="0" fontId="10" fillId="9" borderId="15" xfId="0" applyFont="1" applyFill="1" applyBorder="1" applyAlignment="1">
      <alignment horizontal="center" vertical="center" wrapText="1"/>
    </xf>
    <xf numFmtId="0" fontId="1" fillId="0" borderId="9" xfId="0" applyFont="1" applyBorder="1"/>
    <xf numFmtId="0" fontId="1" fillId="0" borderId="9" xfId="0" applyFont="1" applyBorder="1" applyAlignment="1">
      <alignment horizontal="center" vertical="center"/>
    </xf>
    <xf numFmtId="0" fontId="1" fillId="0" borderId="9" xfId="0" applyFont="1" applyFill="1" applyBorder="1"/>
    <xf numFmtId="0" fontId="30" fillId="0" borderId="11" xfId="0" applyFont="1" applyFill="1" applyBorder="1"/>
    <xf numFmtId="0" fontId="30" fillId="0" borderId="10" xfId="0" applyFont="1" applyBorder="1"/>
    <xf numFmtId="0" fontId="30" fillId="0" borderId="10" xfId="0" applyFont="1" applyBorder="1" applyAlignment="1">
      <alignment horizontal="center"/>
    </xf>
    <xf numFmtId="0" fontId="30" fillId="0" borderId="11" xfId="0" applyFont="1" applyFill="1" applyBorder="1" applyAlignment="1">
      <alignment horizontal="center"/>
    </xf>
    <xf numFmtId="0" fontId="35" fillId="0" borderId="9" xfId="0" applyFont="1" applyBorder="1"/>
    <xf numFmtId="164" fontId="1" fillId="0" borderId="9" xfId="0" applyNumberFormat="1" applyFont="1" applyBorder="1" applyAlignment="1">
      <alignment horizontal="center" vertical="center"/>
    </xf>
    <xf numFmtId="0" fontId="9" fillId="0" borderId="16" xfId="0" applyFont="1" applyBorder="1" applyAlignment="1">
      <alignment horizontal="center" vertical="top" wrapText="1"/>
    </xf>
    <xf numFmtId="0" fontId="7" fillId="2" borderId="9" xfId="0" applyFont="1" applyFill="1" applyBorder="1" applyAlignment="1">
      <alignment horizontal="center" vertical="center"/>
    </xf>
    <xf numFmtId="165" fontId="0" fillId="0" borderId="23" xfId="0" applyNumberFormat="1" applyBorder="1" applyAlignment="1">
      <alignment horizontal="center" vertical="center"/>
    </xf>
    <xf numFmtId="0" fontId="36" fillId="2" borderId="9" xfId="0" applyFont="1" applyFill="1" applyBorder="1" applyAlignment="1">
      <alignment vertical="center"/>
    </xf>
    <xf numFmtId="0" fontId="36" fillId="2" borderId="9" xfId="0" applyFont="1" applyFill="1" applyBorder="1" applyAlignment="1">
      <alignment horizontal="center" vertical="center"/>
    </xf>
    <xf numFmtId="165" fontId="0" fillId="0" borderId="40" xfId="0" applyNumberFormat="1" applyBorder="1" applyAlignment="1">
      <alignment horizontal="center" vertical="center"/>
    </xf>
    <xf numFmtId="0" fontId="9" fillId="0" borderId="19" xfId="0" applyFont="1" applyBorder="1" applyAlignment="1">
      <alignment vertical="top" wrapText="1"/>
    </xf>
    <xf numFmtId="0" fontId="1" fillId="0" borderId="0" xfId="0" applyFont="1"/>
    <xf numFmtId="0" fontId="34" fillId="0" borderId="16" xfId="0" applyFont="1" applyBorder="1" applyAlignment="1">
      <alignment vertical="top" wrapText="1"/>
    </xf>
    <xf numFmtId="0" fontId="34" fillId="0" borderId="16" xfId="0" applyFont="1" applyBorder="1" applyAlignment="1">
      <alignment vertical="top"/>
    </xf>
    <xf numFmtId="0" fontId="1" fillId="0" borderId="17" xfId="0" applyFont="1" applyBorder="1" applyAlignment="1">
      <alignment horizontal="right" vertical="center"/>
    </xf>
    <xf numFmtId="0" fontId="1" fillId="0" borderId="0" xfId="0" applyFont="1" applyAlignment="1">
      <alignment horizontal="center" wrapText="1"/>
    </xf>
    <xf numFmtId="0" fontId="34" fillId="0" borderId="9" xfId="0" applyFont="1" applyBorder="1" applyAlignment="1">
      <alignment vertical="top" wrapText="1"/>
    </xf>
    <xf numFmtId="0" fontId="34" fillId="0" borderId="9" xfId="0" applyFont="1" applyBorder="1" applyAlignment="1">
      <alignment vertical="top"/>
    </xf>
    <xf numFmtId="0" fontId="1" fillId="0" borderId="18" xfId="0" applyFont="1" applyBorder="1" applyAlignment="1">
      <alignment horizontal="right" vertical="center"/>
    </xf>
    <xf numFmtId="0" fontId="34" fillId="0" borderId="19" xfId="0" applyFont="1" applyBorder="1" applyAlignment="1">
      <alignment horizontal="center" wrapText="1"/>
    </xf>
    <xf numFmtId="0" fontId="1" fillId="0" borderId="24" xfId="0" applyFont="1" applyBorder="1"/>
    <xf numFmtId="0" fontId="34" fillId="0" borderId="19" xfId="0" applyFont="1" applyBorder="1" applyAlignment="1">
      <alignment vertical="top" wrapText="1"/>
    </xf>
    <xf numFmtId="0" fontId="34" fillId="0" borderId="19" xfId="0" applyFont="1" applyBorder="1" applyAlignment="1">
      <alignment vertical="top"/>
    </xf>
    <xf numFmtId="0" fontId="1" fillId="0" borderId="20" xfId="0" applyFont="1" applyBorder="1" applyAlignment="1">
      <alignment horizontal="right" vertical="center"/>
    </xf>
    <xf numFmtId="0" fontId="34" fillId="0" borderId="17" xfId="0" applyFont="1" applyBorder="1" applyAlignment="1">
      <alignment horizontal="right" vertical="center"/>
    </xf>
    <xf numFmtId="0" fontId="1" fillId="0" borderId="0" xfId="0" applyFont="1" applyAlignment="1">
      <alignment horizontal="center" vertical="top" wrapText="1"/>
    </xf>
    <xf numFmtId="0" fontId="34" fillId="0" borderId="0" xfId="0" applyFont="1" applyAlignment="1">
      <alignment horizontal="center" wrapText="1"/>
    </xf>
    <xf numFmtId="0" fontId="34" fillId="0" borderId="0" xfId="0" applyFont="1" applyAlignment="1">
      <alignment horizontal="center" vertical="center"/>
    </xf>
    <xf numFmtId="0" fontId="1" fillId="0" borderId="0" xfId="0" applyFont="1" applyProtection="1">
      <protection locked="0"/>
    </xf>
    <xf numFmtId="0" fontId="1" fillId="0" borderId="4" xfId="0" applyFont="1" applyFill="1" applyBorder="1"/>
    <xf numFmtId="0" fontId="1" fillId="0" borderId="0" xfId="0" applyFont="1" applyFill="1" applyBorder="1"/>
    <xf numFmtId="0" fontId="1" fillId="0" borderId="0" xfId="0" applyFont="1" applyAlignment="1">
      <alignment horizontal="center" vertical="center"/>
    </xf>
    <xf numFmtId="0" fontId="17" fillId="2" borderId="2" xfId="0" applyFont="1" applyFill="1" applyBorder="1" applyAlignment="1">
      <alignment horizontal="center" vertical="center"/>
    </xf>
    <xf numFmtId="0" fontId="20" fillId="0" borderId="0" xfId="0" applyFont="1" applyBorder="1" applyAlignment="1">
      <alignment horizontal="center" vertical="center"/>
    </xf>
    <xf numFmtId="0" fontId="19" fillId="2" borderId="0" xfId="0" applyFont="1" applyFill="1" applyBorder="1" applyAlignment="1">
      <alignment horizontal="center" vertical="center"/>
    </xf>
    <xf numFmtId="0" fontId="19" fillId="2" borderId="7" xfId="0" applyFont="1" applyFill="1" applyBorder="1" applyAlignment="1">
      <alignment horizontal="center" vertical="center"/>
    </xf>
    <xf numFmtId="0" fontId="20" fillId="0" borderId="0" xfId="0" applyFont="1" applyAlignment="1">
      <alignment horizontal="center" vertical="top" wrapText="1"/>
    </xf>
    <xf numFmtId="0" fontId="3" fillId="0" borderId="0" xfId="0" applyFont="1" applyAlignment="1">
      <alignment horizontal="center" vertical="top" wrapText="1"/>
    </xf>
    <xf numFmtId="0" fontId="3" fillId="0" borderId="0" xfId="0" applyFont="1" applyAlignment="1">
      <alignment horizontal="center" vertical="top"/>
    </xf>
    <xf numFmtId="0" fontId="37" fillId="2" borderId="10" xfId="0" applyFont="1" applyFill="1" applyBorder="1" applyAlignment="1">
      <alignment vertical="center"/>
    </xf>
    <xf numFmtId="0" fontId="37" fillId="2" borderId="9" xfId="0" applyNumberFormat="1" applyFont="1" applyFill="1" applyBorder="1" applyAlignment="1">
      <alignment vertical="center"/>
    </xf>
    <xf numFmtId="0" fontId="37" fillId="2" borderId="9" xfId="0" applyFont="1" applyFill="1" applyBorder="1" applyAlignment="1">
      <alignment horizontal="center" vertical="center"/>
    </xf>
    <xf numFmtId="0" fontId="0" fillId="0" borderId="0" xfId="0" applyFont="1" applyAlignment="1">
      <alignment horizontal="center" vertical="center"/>
    </xf>
    <xf numFmtId="0" fontId="0" fillId="0" borderId="0" xfId="0" applyFont="1"/>
    <xf numFmtId="0" fontId="38" fillId="0" borderId="0" xfId="0" applyFont="1" applyAlignment="1">
      <alignment vertical="center"/>
    </xf>
    <xf numFmtId="164" fontId="20" fillId="0" borderId="9" xfId="0" applyNumberFormat="1" applyFont="1" applyBorder="1" applyAlignment="1">
      <alignment horizontal="center" vertical="center"/>
    </xf>
    <xf numFmtId="0" fontId="1" fillId="0" borderId="9" xfId="0" applyFont="1" applyBorder="1" applyAlignment="1">
      <alignment vertical="center"/>
    </xf>
    <xf numFmtId="0" fontId="1" fillId="0" borderId="9" xfId="0" applyFont="1" applyBorder="1" applyAlignment="1">
      <alignment horizontal="right"/>
    </xf>
    <xf numFmtId="14" fontId="1" fillId="0" borderId="9" xfId="0" applyNumberFormat="1" applyFont="1" applyBorder="1"/>
    <xf numFmtId="165" fontId="1" fillId="0" borderId="9" xfId="0" applyNumberFormat="1" applyFont="1" applyBorder="1" applyAlignment="1">
      <alignment horizontal="right"/>
    </xf>
    <xf numFmtId="0" fontId="20" fillId="0" borderId="9" xfId="0" applyFont="1" applyBorder="1" applyAlignment="1">
      <alignment horizontal="right"/>
    </xf>
    <xf numFmtId="0" fontId="1" fillId="0" borderId="5" xfId="0" applyFont="1" applyFill="1" applyBorder="1"/>
    <xf numFmtId="0" fontId="1" fillId="0" borderId="4" xfId="0" applyFont="1" applyFill="1" applyBorder="1" applyProtection="1">
      <protection locked="0"/>
    </xf>
    <xf numFmtId="0" fontId="1" fillId="0" borderId="0" xfId="0" applyFont="1" applyFill="1" applyBorder="1" applyProtection="1">
      <protection locked="0"/>
    </xf>
    <xf numFmtId="0" fontId="20" fillId="0" borderId="0" xfId="0" applyFont="1" applyAlignment="1">
      <alignment horizontal="center" vertical="center"/>
    </xf>
    <xf numFmtId="0" fontId="1" fillId="0" borderId="0" xfId="0" applyFont="1" applyAlignment="1"/>
    <xf numFmtId="0" fontId="3" fillId="0" borderId="5" xfId="0" applyFont="1" applyBorder="1" applyAlignment="1"/>
    <xf numFmtId="0" fontId="19" fillId="2" borderId="8" xfId="0" applyFont="1" applyFill="1" applyBorder="1" applyAlignment="1"/>
    <xf numFmtId="0" fontId="3" fillId="0" borderId="0" xfId="0" applyFont="1" applyAlignment="1"/>
    <xf numFmtId="0" fontId="19" fillId="0" borderId="29" xfId="0" applyFont="1" applyBorder="1" applyAlignment="1"/>
    <xf numFmtId="0" fontId="10" fillId="0" borderId="0" xfId="1" applyFont="1"/>
    <xf numFmtId="0" fontId="10" fillId="0" borderId="0" xfId="1"/>
    <xf numFmtId="0" fontId="9" fillId="0" borderId="16" xfId="1" applyFont="1" applyBorder="1" applyAlignment="1">
      <alignment vertical="top" wrapText="1"/>
    </xf>
    <xf numFmtId="0" fontId="10" fillId="0" borderId="0" xfId="1" applyBorder="1" applyAlignment="1">
      <alignment vertical="center"/>
    </xf>
    <xf numFmtId="0" fontId="9" fillId="0" borderId="9" xfId="1" applyFont="1" applyBorder="1" applyAlignment="1">
      <alignment vertical="top" wrapText="1"/>
    </xf>
    <xf numFmtId="0" fontId="26" fillId="0" borderId="0" xfId="1" applyFont="1"/>
    <xf numFmtId="164" fontId="9" fillId="0" borderId="9" xfId="1" applyNumberFormat="1" applyFont="1" applyBorder="1" applyAlignment="1">
      <alignment horizontal="center" vertical="center" wrapText="1"/>
    </xf>
    <xf numFmtId="0" fontId="9" fillId="0" borderId="13" xfId="1" applyFont="1" applyBorder="1" applyAlignment="1">
      <alignment horizontal="center" vertical="center"/>
    </xf>
    <xf numFmtId="0" fontId="9" fillId="0" borderId="14" xfId="1" applyFont="1" applyBorder="1" applyAlignment="1">
      <alignment horizontal="center" vertical="center"/>
    </xf>
    <xf numFmtId="0" fontId="9" fillId="0" borderId="9" xfId="1" applyFont="1" applyBorder="1" applyAlignment="1">
      <alignment horizontal="center" vertical="center"/>
    </xf>
    <xf numFmtId="0" fontId="9" fillId="0" borderId="13" xfId="1" applyFont="1" applyBorder="1" applyAlignment="1">
      <alignment horizontal="center" vertical="center" wrapText="1"/>
    </xf>
    <xf numFmtId="0" fontId="9" fillId="0" borderId="4" xfId="1" applyFont="1" applyBorder="1" applyAlignment="1">
      <alignment horizontal="center" vertical="top"/>
    </xf>
    <xf numFmtId="0" fontId="10" fillId="0" borderId="0" xfId="1" applyBorder="1" applyAlignment="1">
      <alignment horizontal="center" vertical="center"/>
    </xf>
    <xf numFmtId="0" fontId="9" fillId="0" borderId="9" xfId="1" applyFont="1" applyBorder="1" applyAlignment="1">
      <alignment horizontal="center" vertical="top" wrapText="1"/>
    </xf>
    <xf numFmtId="0" fontId="9" fillId="0" borderId="9" xfId="1" applyFont="1" applyBorder="1" applyAlignment="1">
      <alignment horizontal="center" vertical="top"/>
    </xf>
    <xf numFmtId="164" fontId="10" fillId="0" borderId="9" xfId="1" applyNumberFormat="1" applyBorder="1" applyAlignment="1">
      <alignment horizontal="center" vertical="center"/>
    </xf>
    <xf numFmtId="0" fontId="10" fillId="0" borderId="9" xfId="1" applyFont="1" applyFill="1" applyBorder="1" applyAlignment="1">
      <alignment wrapText="1"/>
    </xf>
    <xf numFmtId="0" fontId="10" fillId="0" borderId="9" xfId="1" applyFill="1" applyBorder="1"/>
    <xf numFmtId="0" fontId="15" fillId="0" borderId="9" xfId="1" applyFont="1" applyFill="1" applyBorder="1" applyAlignment="1"/>
    <xf numFmtId="0" fontId="10" fillId="0" borderId="13" xfId="1" applyFill="1" applyBorder="1" applyAlignment="1">
      <alignment horizontal="center" vertical="center"/>
    </xf>
    <xf numFmtId="0" fontId="10" fillId="0" borderId="4" xfId="1" applyFill="1" applyBorder="1"/>
    <xf numFmtId="0" fontId="14" fillId="0" borderId="0" xfId="1" applyFont="1" applyBorder="1" applyAlignment="1">
      <alignment horizontal="center" wrapText="1"/>
    </xf>
    <xf numFmtId="0" fontId="10" fillId="0" borderId="9" xfId="1" applyFont="1" applyBorder="1" applyAlignment="1">
      <alignment wrapText="1"/>
    </xf>
    <xf numFmtId="0" fontId="15" fillId="0" borderId="9" xfId="1" applyFont="1" applyBorder="1" applyAlignment="1"/>
    <xf numFmtId="0" fontId="10" fillId="0" borderId="9" xfId="1" applyFont="1" applyBorder="1" applyAlignment="1">
      <alignment horizontal="center"/>
    </xf>
    <xf numFmtId="0" fontId="10" fillId="0" borderId="9" xfId="1" applyBorder="1"/>
    <xf numFmtId="0" fontId="10" fillId="0" borderId="9" xfId="1" applyBorder="1" applyAlignment="1">
      <alignment horizontal="center" vertical="center"/>
    </xf>
    <xf numFmtId="164" fontId="10" fillId="0" borderId="0" xfId="1" applyNumberFormat="1" applyAlignment="1">
      <alignment horizontal="center" vertical="center"/>
    </xf>
    <xf numFmtId="0" fontId="10" fillId="0" borderId="0" xfId="1" applyFont="1" applyFill="1" applyBorder="1" applyAlignment="1">
      <alignment wrapText="1"/>
    </xf>
    <xf numFmtId="0" fontId="10" fillId="0" borderId="4" xfId="1" applyFill="1" applyBorder="1" applyAlignment="1">
      <alignment horizontal="center" vertical="center"/>
    </xf>
    <xf numFmtId="0" fontId="10" fillId="0" borderId="0" xfId="1" applyFill="1" applyBorder="1" applyAlignment="1">
      <alignment horizontal="center" vertical="center"/>
    </xf>
    <xf numFmtId="164" fontId="10" fillId="0" borderId="0" xfId="1" applyNumberFormat="1" applyFont="1" applyAlignment="1">
      <alignment horizontal="center" vertical="center"/>
    </xf>
    <xf numFmtId="0" fontId="10" fillId="0" borderId="4" xfId="1" applyFont="1" applyFill="1" applyBorder="1"/>
    <xf numFmtId="164" fontId="10" fillId="0" borderId="9" xfId="1" applyNumberFormat="1" applyFont="1" applyBorder="1" applyAlignment="1">
      <alignment horizontal="center" vertical="center"/>
    </xf>
    <xf numFmtId="0" fontId="10" fillId="0" borderId="11" xfId="1" applyFill="1" applyBorder="1"/>
    <xf numFmtId="0" fontId="15" fillId="0" borderId="11" xfId="1" applyFont="1" applyFill="1" applyBorder="1" applyAlignment="1"/>
    <xf numFmtId="0" fontId="10" fillId="0" borderId="13" xfId="1" applyFont="1" applyBorder="1" applyAlignment="1">
      <alignment horizontal="center" vertical="center"/>
    </xf>
    <xf numFmtId="0" fontId="10" fillId="0" borderId="4" xfId="1" applyFont="1" applyBorder="1" applyAlignment="1"/>
    <xf numFmtId="0" fontId="10" fillId="0" borderId="4" xfId="1" applyFont="1" applyFill="1" applyBorder="1" applyAlignment="1"/>
    <xf numFmtId="0" fontId="10" fillId="0" borderId="13" xfId="1" applyFont="1" applyFill="1" applyBorder="1" applyAlignment="1">
      <alignment horizontal="center" vertical="center"/>
    </xf>
    <xf numFmtId="0" fontId="10" fillId="0" borderId="13" xfId="1" applyBorder="1" applyAlignment="1">
      <alignment horizontal="center" vertical="center"/>
    </xf>
    <xf numFmtId="164" fontId="10" fillId="0" borderId="10" xfId="1" applyNumberFormat="1" applyBorder="1" applyAlignment="1">
      <alignment horizontal="center" vertical="center"/>
    </xf>
    <xf numFmtId="0" fontId="10" fillId="0" borderId="10" xfId="1" applyBorder="1"/>
    <xf numFmtId="0" fontId="15" fillId="0" borderId="10" xfId="1" applyFont="1" applyFill="1" applyBorder="1" applyAlignment="1"/>
    <xf numFmtId="0" fontId="10" fillId="0" borderId="1" xfId="1" applyBorder="1" applyAlignment="1">
      <alignment horizontal="center" vertical="center"/>
    </xf>
    <xf numFmtId="164" fontId="10" fillId="0" borderId="13" xfId="1" applyNumberFormat="1" applyBorder="1" applyAlignment="1">
      <alignment horizontal="center" vertical="center"/>
    </xf>
    <xf numFmtId="0" fontId="10" fillId="0" borderId="4" xfId="1" applyBorder="1"/>
    <xf numFmtId="0" fontId="10" fillId="0" borderId="0" xfId="1" applyAlignment="1">
      <alignment horizontal="center" vertical="center"/>
    </xf>
    <xf numFmtId="0" fontId="10" fillId="0" borderId="0" xfId="1" applyBorder="1"/>
  </cellXfs>
  <cellStyles count="2">
    <cellStyle name="Normal" xfId="0" builtinId="0"/>
    <cellStyle name="Normal 2" xfId="1"/>
  </cellStyles>
  <dxfs count="1150">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F13" sqref="F13:F17"/>
    </sheetView>
  </sheetViews>
  <sheetFormatPr defaultColWidth="11" defaultRowHeight="15.75"/>
  <sheetData>
    <row r="1" spans="1:20" s="2" customFormat="1" ht="12.75">
      <c r="A1" s="312" t="s">
        <v>11</v>
      </c>
      <c r="B1" s="313"/>
      <c r="C1" s="313"/>
      <c r="D1" s="313"/>
      <c r="E1" s="313"/>
      <c r="F1" s="313"/>
      <c r="G1" s="314"/>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315" t="s">
        <v>15</v>
      </c>
      <c r="G3" s="316"/>
      <c r="H3" s="12"/>
      <c r="I3" s="12"/>
      <c r="J3" s="12"/>
      <c r="K3" s="12"/>
      <c r="L3" s="12"/>
      <c r="M3" s="12"/>
      <c r="N3" s="12"/>
      <c r="O3" s="12"/>
      <c r="P3" s="12"/>
      <c r="Q3" s="12"/>
      <c r="R3" s="12"/>
      <c r="S3" s="12"/>
      <c r="T3" s="13"/>
    </row>
    <row r="4" spans="1:20">
      <c r="A4" s="10" t="s">
        <v>16</v>
      </c>
      <c r="B4" s="11"/>
      <c r="C4" s="6"/>
      <c r="D4" s="6"/>
      <c r="E4" s="6"/>
      <c r="F4" s="315" t="s">
        <v>17</v>
      </c>
      <c r="G4" s="316"/>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308"/>
      <c r="B13" s="24" t="s">
        <v>32</v>
      </c>
      <c r="C13" s="25"/>
      <c r="D13" s="24" t="s">
        <v>33</v>
      </c>
      <c r="E13" s="26"/>
      <c r="F13" s="311"/>
      <c r="G13" s="27"/>
      <c r="H13" s="28"/>
      <c r="I13" s="29"/>
      <c r="J13" s="28"/>
      <c r="K13" s="28"/>
      <c r="L13" s="28"/>
      <c r="M13" s="28"/>
      <c r="N13" s="28"/>
      <c r="O13" s="28"/>
      <c r="P13" s="28"/>
      <c r="Q13" s="28"/>
      <c r="R13" s="28"/>
      <c r="S13" s="28"/>
      <c r="T13" s="13"/>
    </row>
    <row r="14" spans="1:20">
      <c r="A14" s="309"/>
      <c r="B14" s="24" t="s">
        <v>34</v>
      </c>
      <c r="C14" s="25"/>
      <c r="D14" s="24" t="s">
        <v>33</v>
      </c>
      <c r="E14" s="26"/>
      <c r="F14" s="311"/>
      <c r="G14" s="27"/>
      <c r="H14" s="28"/>
      <c r="I14" s="29"/>
      <c r="J14" s="28"/>
      <c r="K14" s="28"/>
      <c r="L14" s="28"/>
      <c r="M14" s="28"/>
      <c r="N14" s="28"/>
      <c r="O14" s="28"/>
      <c r="P14" s="28"/>
      <c r="Q14" s="28"/>
      <c r="R14" s="28"/>
      <c r="S14" s="28"/>
      <c r="T14" s="13"/>
    </row>
    <row r="15" spans="1:20">
      <c r="A15" s="309"/>
      <c r="B15" s="24" t="s">
        <v>35</v>
      </c>
      <c r="C15" s="25"/>
      <c r="D15" s="24" t="s">
        <v>33</v>
      </c>
      <c r="E15" s="26"/>
      <c r="F15" s="311"/>
      <c r="G15" s="27"/>
      <c r="H15" s="28"/>
      <c r="I15" s="29"/>
      <c r="J15" s="28"/>
      <c r="K15" s="28"/>
      <c r="L15" s="28"/>
      <c r="M15" s="28"/>
      <c r="N15" s="28"/>
      <c r="O15" s="28"/>
      <c r="P15" s="28"/>
      <c r="Q15" s="28"/>
      <c r="R15" s="28"/>
      <c r="S15" s="28"/>
      <c r="T15" s="13"/>
    </row>
    <row r="16" spans="1:20">
      <c r="A16" s="309"/>
      <c r="B16" s="24" t="s">
        <v>36</v>
      </c>
      <c r="C16" s="25"/>
      <c r="D16" s="24" t="s">
        <v>33</v>
      </c>
      <c r="E16" s="26"/>
      <c r="F16" s="311"/>
      <c r="G16" s="27"/>
      <c r="H16" s="28"/>
      <c r="I16" s="29"/>
      <c r="J16" s="28"/>
      <c r="K16" s="28"/>
      <c r="L16" s="28"/>
      <c r="M16" s="28"/>
      <c r="N16" s="28"/>
      <c r="O16" s="28"/>
      <c r="P16" s="28"/>
      <c r="Q16" s="28"/>
      <c r="R16" s="28"/>
      <c r="S16" s="28"/>
      <c r="T16" s="13"/>
    </row>
    <row r="17" spans="1:20">
      <c r="A17" s="310"/>
      <c r="B17" s="24" t="s">
        <v>37</v>
      </c>
      <c r="C17" s="25"/>
      <c r="D17" s="24" t="s">
        <v>33</v>
      </c>
      <c r="E17" s="26"/>
      <c r="F17" s="311"/>
      <c r="G17" s="27"/>
      <c r="H17" s="28"/>
      <c r="I17" s="29"/>
      <c r="J17" s="28"/>
      <c r="K17" s="28"/>
      <c r="L17" s="28"/>
      <c r="M17" s="28"/>
      <c r="N17" s="28"/>
      <c r="O17" s="28"/>
      <c r="P17" s="28"/>
      <c r="Q17" s="28"/>
      <c r="R17" s="28"/>
      <c r="S17" s="28"/>
      <c r="T17" s="13"/>
    </row>
    <row r="18" spans="1:20">
      <c r="A18" s="308"/>
      <c r="B18" s="24" t="s">
        <v>32</v>
      </c>
      <c r="C18" s="25"/>
      <c r="D18" s="24" t="s">
        <v>33</v>
      </c>
      <c r="E18" s="26"/>
      <c r="F18" s="311"/>
      <c r="G18" s="27"/>
    </row>
    <row r="19" spans="1:20">
      <c r="A19" s="309"/>
      <c r="B19" s="24" t="s">
        <v>34</v>
      </c>
      <c r="C19" s="25"/>
      <c r="D19" s="24" t="s">
        <v>33</v>
      </c>
      <c r="E19" s="26"/>
      <c r="F19" s="311"/>
      <c r="G19" s="27"/>
    </row>
    <row r="20" spans="1:20">
      <c r="A20" s="309"/>
      <c r="B20" s="24" t="s">
        <v>35</v>
      </c>
      <c r="C20" s="25"/>
      <c r="D20" s="24" t="s">
        <v>33</v>
      </c>
      <c r="E20" s="26"/>
      <c r="F20" s="311"/>
      <c r="G20" s="27"/>
    </row>
    <row r="21" spans="1:20">
      <c r="A21" s="309"/>
      <c r="B21" s="24" t="s">
        <v>36</v>
      </c>
      <c r="C21" s="25"/>
      <c r="D21" s="24" t="s">
        <v>33</v>
      </c>
      <c r="E21" s="26"/>
      <c r="F21" s="311"/>
      <c r="G21" s="27"/>
    </row>
    <row r="22" spans="1:20">
      <c r="A22" s="310"/>
      <c r="B22" s="24" t="s">
        <v>37</v>
      </c>
      <c r="C22" s="25"/>
      <c r="D22" s="24" t="s">
        <v>33</v>
      </c>
      <c r="E22" s="26"/>
      <c r="F22" s="311"/>
      <c r="G22" s="27"/>
    </row>
    <row r="23" spans="1:20">
      <c r="A23" s="308"/>
      <c r="B23" s="24" t="s">
        <v>32</v>
      </c>
      <c r="C23" s="25"/>
      <c r="D23" s="24" t="s">
        <v>33</v>
      </c>
      <c r="E23" s="26"/>
      <c r="F23" s="311"/>
      <c r="G23" s="27"/>
    </row>
    <row r="24" spans="1:20">
      <c r="A24" s="309"/>
      <c r="B24" s="24" t="s">
        <v>34</v>
      </c>
      <c r="C24" s="25"/>
      <c r="D24" s="24" t="s">
        <v>33</v>
      </c>
      <c r="E24" s="26"/>
      <c r="F24" s="311"/>
      <c r="G24" s="27"/>
    </row>
    <row r="25" spans="1:20">
      <c r="A25" s="309"/>
      <c r="B25" s="24" t="s">
        <v>35</v>
      </c>
      <c r="C25" s="25"/>
      <c r="D25" s="24" t="s">
        <v>33</v>
      </c>
      <c r="E25" s="26"/>
      <c r="F25" s="311"/>
      <c r="G25" s="27"/>
    </row>
    <row r="26" spans="1:20">
      <c r="A26" s="309"/>
      <c r="B26" s="24" t="s">
        <v>36</v>
      </c>
      <c r="C26" s="25"/>
      <c r="D26" s="24" t="s">
        <v>33</v>
      </c>
      <c r="E26" s="26"/>
      <c r="F26" s="311"/>
      <c r="G26" s="27"/>
    </row>
    <row r="27" spans="1:20">
      <c r="A27" s="310"/>
      <c r="B27" s="24" t="s">
        <v>37</v>
      </c>
      <c r="C27" s="25"/>
      <c r="D27" s="24" t="s">
        <v>33</v>
      </c>
      <c r="E27" s="26"/>
      <c r="F27" s="311"/>
      <c r="G27" s="27"/>
    </row>
    <row r="28" spans="1:20">
      <c r="A28" s="308"/>
      <c r="B28" s="24" t="s">
        <v>32</v>
      </c>
      <c r="C28" s="25"/>
      <c r="D28" s="24" t="s">
        <v>33</v>
      </c>
      <c r="E28" s="26"/>
      <c r="F28" s="311"/>
      <c r="G28" s="27"/>
    </row>
    <row r="29" spans="1:20">
      <c r="A29" s="309"/>
      <c r="B29" s="24" t="s">
        <v>34</v>
      </c>
      <c r="C29" s="25"/>
      <c r="D29" s="24" t="s">
        <v>33</v>
      </c>
      <c r="E29" s="26"/>
      <c r="F29" s="311"/>
      <c r="G29" s="27"/>
    </row>
    <row r="30" spans="1:20">
      <c r="A30" s="309"/>
      <c r="B30" s="24" t="s">
        <v>35</v>
      </c>
      <c r="C30" s="25"/>
      <c r="D30" s="24" t="s">
        <v>33</v>
      </c>
      <c r="E30" s="26"/>
      <c r="F30" s="311"/>
      <c r="G30" s="27"/>
    </row>
    <row r="31" spans="1:20">
      <c r="A31" s="309"/>
      <c r="B31" s="24" t="s">
        <v>36</v>
      </c>
      <c r="C31" s="25"/>
      <c r="D31" s="24" t="s">
        <v>33</v>
      </c>
      <c r="E31" s="26"/>
      <c r="F31" s="311"/>
      <c r="G31" s="27"/>
    </row>
    <row r="32" spans="1:20">
      <c r="A32" s="310"/>
      <c r="B32" s="24" t="s">
        <v>37</v>
      </c>
      <c r="C32" s="25"/>
      <c r="D32" s="24" t="s">
        <v>33</v>
      </c>
      <c r="E32" s="26"/>
      <c r="F32" s="311"/>
      <c r="G32" s="27"/>
    </row>
    <row r="33" spans="1:7">
      <c r="A33" s="308"/>
      <c r="B33" s="24" t="s">
        <v>32</v>
      </c>
      <c r="C33" s="25"/>
      <c r="D33" s="24" t="s">
        <v>33</v>
      </c>
      <c r="E33" s="26"/>
      <c r="F33" s="311"/>
      <c r="G33" s="27"/>
    </row>
    <row r="34" spans="1:7">
      <c r="A34" s="309"/>
      <c r="B34" s="24" t="s">
        <v>34</v>
      </c>
      <c r="C34" s="25"/>
      <c r="D34" s="24" t="s">
        <v>33</v>
      </c>
      <c r="E34" s="26"/>
      <c r="F34" s="311"/>
      <c r="G34" s="27"/>
    </row>
    <row r="35" spans="1:7">
      <c r="A35" s="309"/>
      <c r="B35" s="24" t="s">
        <v>35</v>
      </c>
      <c r="C35" s="25"/>
      <c r="D35" s="24" t="s">
        <v>33</v>
      </c>
      <c r="E35" s="26"/>
      <c r="F35" s="311"/>
      <c r="G35" s="27"/>
    </row>
    <row r="36" spans="1:7">
      <c r="A36" s="309"/>
      <c r="B36" s="24" t="s">
        <v>36</v>
      </c>
      <c r="C36" s="25"/>
      <c r="D36" s="24" t="s">
        <v>33</v>
      </c>
      <c r="E36" s="26"/>
      <c r="F36" s="311"/>
      <c r="G36" s="27"/>
    </row>
    <row r="37" spans="1:7">
      <c r="A37" s="310"/>
      <c r="B37" s="24" t="s">
        <v>37</v>
      </c>
      <c r="C37" s="25"/>
      <c r="D37" s="24" t="s">
        <v>33</v>
      </c>
      <c r="E37" s="26"/>
      <c r="F37" s="311"/>
      <c r="G37" s="27"/>
    </row>
    <row r="38" spans="1:7">
      <c r="A38" s="308"/>
      <c r="B38" s="24" t="s">
        <v>32</v>
      </c>
      <c r="C38" s="25"/>
      <c r="D38" s="24" t="s">
        <v>33</v>
      </c>
      <c r="E38" s="26"/>
      <c r="F38" s="311"/>
      <c r="G38" s="27"/>
    </row>
    <row r="39" spans="1:7">
      <c r="A39" s="309"/>
      <c r="B39" s="24" t="s">
        <v>34</v>
      </c>
      <c r="C39" s="25"/>
      <c r="D39" s="24" t="s">
        <v>33</v>
      </c>
      <c r="E39" s="26"/>
      <c r="F39" s="311"/>
      <c r="G39" s="27"/>
    </row>
    <row r="40" spans="1:7">
      <c r="A40" s="309"/>
      <c r="B40" s="24" t="s">
        <v>35</v>
      </c>
      <c r="C40" s="25"/>
      <c r="D40" s="24" t="s">
        <v>33</v>
      </c>
      <c r="E40" s="26"/>
      <c r="F40" s="311"/>
      <c r="G40" s="27"/>
    </row>
    <row r="41" spans="1:7">
      <c r="A41" s="309"/>
      <c r="B41" s="24" t="s">
        <v>36</v>
      </c>
      <c r="C41" s="25"/>
      <c r="D41" s="24" t="s">
        <v>33</v>
      </c>
      <c r="E41" s="26"/>
      <c r="F41" s="311"/>
      <c r="G41" s="27"/>
    </row>
    <row r="42" spans="1:7">
      <c r="A42" s="310"/>
      <c r="B42" s="24" t="s">
        <v>37</v>
      </c>
      <c r="C42" s="25"/>
      <c r="D42" s="24" t="s">
        <v>33</v>
      </c>
      <c r="E42" s="26"/>
      <c r="F42" s="311"/>
      <c r="G42" s="27"/>
    </row>
    <row r="43" spans="1:7">
      <c r="A43" s="308"/>
      <c r="B43" s="24" t="s">
        <v>32</v>
      </c>
      <c r="C43" s="25"/>
      <c r="D43" s="24" t="s">
        <v>33</v>
      </c>
      <c r="E43" s="26"/>
      <c r="F43" s="311"/>
      <c r="G43" s="27"/>
    </row>
    <row r="44" spans="1:7">
      <c r="A44" s="309"/>
      <c r="B44" s="24" t="s">
        <v>34</v>
      </c>
      <c r="C44" s="25"/>
      <c r="D44" s="24" t="s">
        <v>33</v>
      </c>
      <c r="E44" s="26"/>
      <c r="F44" s="311"/>
      <c r="G44" s="27"/>
    </row>
    <row r="45" spans="1:7">
      <c r="A45" s="309"/>
      <c r="B45" s="24" t="s">
        <v>35</v>
      </c>
      <c r="C45" s="25"/>
      <c r="D45" s="24" t="s">
        <v>33</v>
      </c>
      <c r="E45" s="26"/>
      <c r="F45" s="311"/>
      <c r="G45" s="27"/>
    </row>
    <row r="46" spans="1:7">
      <c r="A46" s="309"/>
      <c r="B46" s="24" t="s">
        <v>36</v>
      </c>
      <c r="C46" s="25"/>
      <c r="D46" s="24" t="s">
        <v>33</v>
      </c>
      <c r="E46" s="26"/>
      <c r="F46" s="311"/>
      <c r="G46" s="27"/>
    </row>
    <row r="47" spans="1:7">
      <c r="A47" s="310"/>
      <c r="B47" s="24" t="s">
        <v>37</v>
      </c>
      <c r="C47" s="25"/>
      <c r="D47" s="24" t="s">
        <v>33</v>
      </c>
      <c r="E47" s="26"/>
      <c r="F47" s="311"/>
      <c r="G47" s="27"/>
    </row>
    <row r="48" spans="1:7">
      <c r="A48" s="308"/>
      <c r="B48" s="24" t="s">
        <v>32</v>
      </c>
      <c r="C48" s="25"/>
      <c r="D48" s="24" t="s">
        <v>33</v>
      </c>
      <c r="E48" s="26"/>
      <c r="F48" s="311"/>
      <c r="G48" s="27"/>
    </row>
    <row r="49" spans="1:7">
      <c r="A49" s="309"/>
      <c r="B49" s="24" t="s">
        <v>34</v>
      </c>
      <c r="C49" s="25"/>
      <c r="D49" s="24" t="s">
        <v>33</v>
      </c>
      <c r="E49" s="26"/>
      <c r="F49" s="311"/>
      <c r="G49" s="27"/>
    </row>
    <row r="50" spans="1:7">
      <c r="A50" s="309"/>
      <c r="B50" s="24" t="s">
        <v>35</v>
      </c>
      <c r="C50" s="25"/>
      <c r="D50" s="24" t="s">
        <v>33</v>
      </c>
      <c r="E50" s="26"/>
      <c r="F50" s="311"/>
      <c r="G50" s="27"/>
    </row>
    <row r="51" spans="1:7">
      <c r="A51" s="309"/>
      <c r="B51" s="24" t="s">
        <v>36</v>
      </c>
      <c r="C51" s="25"/>
      <c r="D51" s="24" t="s">
        <v>33</v>
      </c>
      <c r="E51" s="26"/>
      <c r="F51" s="311"/>
      <c r="G51" s="27"/>
    </row>
    <row r="52" spans="1:7">
      <c r="A52" s="310"/>
      <c r="B52" s="24" t="s">
        <v>37</v>
      </c>
      <c r="C52" s="25"/>
      <c r="D52" s="24" t="s">
        <v>33</v>
      </c>
      <c r="E52" s="26"/>
      <c r="F52" s="311"/>
      <c r="G52" s="27"/>
    </row>
    <row r="53" spans="1:7">
      <c r="A53" s="308"/>
      <c r="B53" s="24" t="s">
        <v>32</v>
      </c>
      <c r="C53" s="25"/>
      <c r="D53" s="24" t="s">
        <v>33</v>
      </c>
      <c r="E53" s="26"/>
      <c r="F53" s="311"/>
      <c r="G53" s="27"/>
    </row>
    <row r="54" spans="1:7">
      <c r="A54" s="309"/>
      <c r="B54" s="24" t="s">
        <v>34</v>
      </c>
      <c r="C54" s="25"/>
      <c r="D54" s="24" t="s">
        <v>33</v>
      </c>
      <c r="E54" s="26"/>
      <c r="F54" s="311"/>
      <c r="G54" s="27"/>
    </row>
    <row r="55" spans="1:7">
      <c r="A55" s="309"/>
      <c r="B55" s="24" t="s">
        <v>35</v>
      </c>
      <c r="C55" s="25"/>
      <c r="D55" s="24" t="s">
        <v>33</v>
      </c>
      <c r="E55" s="26"/>
      <c r="F55" s="311"/>
      <c r="G55" s="27"/>
    </row>
    <row r="56" spans="1:7">
      <c r="A56" s="309"/>
      <c r="B56" s="24" t="s">
        <v>36</v>
      </c>
      <c r="C56" s="25"/>
      <c r="D56" s="24" t="s">
        <v>33</v>
      </c>
      <c r="E56" s="26"/>
      <c r="F56" s="311"/>
      <c r="G56" s="27"/>
    </row>
    <row r="57" spans="1:7">
      <c r="A57" s="310"/>
      <c r="B57" s="24" t="s">
        <v>37</v>
      </c>
      <c r="C57" s="25"/>
      <c r="D57" s="24" t="s">
        <v>33</v>
      </c>
      <c r="E57" s="26"/>
      <c r="F57" s="311"/>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I143"/>
  <sheetViews>
    <sheetView zoomScale="85" zoomScaleNormal="85" workbookViewId="0">
      <pane ySplit="9" topLeftCell="A114" activePane="bottomLeft" state="frozen"/>
      <selection pane="bottomLeft" activeCell="F147" sqref="F147"/>
    </sheetView>
  </sheetViews>
  <sheetFormatPr defaultColWidth="11.25" defaultRowHeight="12.75"/>
  <cols>
    <col min="1" max="1" width="12.25" style="307" customWidth="1"/>
    <col min="2" max="5" width="11.25" style="232"/>
    <col min="6" max="6" width="11.25" style="252"/>
    <col min="7" max="7" width="11.25" style="232"/>
    <col min="8" max="8" width="11.25" style="253"/>
    <col min="9" max="9" width="56.5" style="232" bestFit="1" customWidth="1"/>
    <col min="10" max="16384" width="11.25" style="232"/>
  </cols>
  <sheetData>
    <row r="1" spans="1:9" s="226" customFormat="1">
      <c r="A1" s="317" t="s">
        <v>11</v>
      </c>
      <c r="B1" s="317"/>
      <c r="C1" s="317"/>
      <c r="D1" s="317"/>
      <c r="E1" s="317"/>
      <c r="F1" s="317"/>
      <c r="G1" s="317"/>
      <c r="H1" s="317"/>
      <c r="I1" s="225"/>
    </row>
    <row r="2" spans="1:9">
      <c r="A2" s="227" t="s">
        <v>141</v>
      </c>
      <c r="B2" s="228"/>
      <c r="C2" s="228"/>
      <c r="D2" s="228"/>
      <c r="E2" s="229"/>
      <c r="F2" s="254"/>
      <c r="G2" s="230"/>
      <c r="H2" s="228" t="s">
        <v>142</v>
      </c>
      <c r="I2" s="231"/>
    </row>
    <row r="3" spans="1:9">
      <c r="A3" s="227" t="s">
        <v>143</v>
      </c>
      <c r="B3" s="233"/>
      <c r="C3" s="233"/>
      <c r="D3" s="233"/>
      <c r="E3" s="234" t="s">
        <v>38</v>
      </c>
      <c r="F3" s="255"/>
      <c r="G3" s="234"/>
      <c r="H3" s="234"/>
      <c r="I3" s="231"/>
    </row>
    <row r="4" spans="1:9">
      <c r="A4" s="227" t="s">
        <v>144</v>
      </c>
      <c r="B4" s="234"/>
      <c r="C4" s="234"/>
      <c r="D4" s="234"/>
      <c r="E4" s="234" t="s">
        <v>39</v>
      </c>
      <c r="F4" s="255"/>
      <c r="G4" s="234"/>
      <c r="H4" s="234"/>
      <c r="I4" s="231"/>
    </row>
    <row r="5" spans="1:9">
      <c r="A5" s="227" t="s">
        <v>145</v>
      </c>
      <c r="B5" s="233"/>
      <c r="C5" s="233"/>
      <c r="D5" s="233"/>
      <c r="E5" s="233"/>
      <c r="F5" s="255"/>
      <c r="G5" s="233"/>
      <c r="H5" s="233"/>
      <c r="I5" s="231"/>
    </row>
    <row r="6" spans="1:9">
      <c r="A6" s="227" t="s">
        <v>146</v>
      </c>
      <c r="B6" s="233"/>
      <c r="C6" s="233"/>
      <c r="D6" s="233"/>
      <c r="E6" s="233"/>
      <c r="F6" s="255"/>
      <c r="G6" s="233"/>
      <c r="H6" s="233"/>
      <c r="I6" s="231"/>
    </row>
    <row r="7" spans="1:9">
      <c r="A7" s="235"/>
      <c r="B7" s="233"/>
      <c r="C7" s="233"/>
      <c r="D7" s="233"/>
      <c r="E7" s="233"/>
      <c r="F7" s="255"/>
      <c r="G7" s="233"/>
      <c r="H7" s="233"/>
      <c r="I7" s="231"/>
    </row>
    <row r="8" spans="1:9" ht="13.5" thickBot="1">
      <c r="A8" s="304"/>
      <c r="B8" s="318" t="s">
        <v>40</v>
      </c>
      <c r="C8" s="319"/>
      <c r="D8" s="256"/>
      <c r="E8" s="256"/>
      <c r="F8" s="257"/>
      <c r="G8" s="256"/>
      <c r="H8" s="258"/>
      <c r="I8" s="259"/>
    </row>
    <row r="9" spans="1:9" s="236" customFormat="1" ht="33" customHeight="1" thickBot="1">
      <c r="A9" s="265" t="s">
        <v>148</v>
      </c>
      <c r="B9" s="266" t="s">
        <v>44</v>
      </c>
      <c r="C9" s="266" t="s">
        <v>45</v>
      </c>
      <c r="D9" s="267" t="s">
        <v>63</v>
      </c>
      <c r="E9" s="267" t="s">
        <v>29</v>
      </c>
      <c r="F9" s="266" t="s">
        <v>41</v>
      </c>
      <c r="G9" s="267" t="s">
        <v>42</v>
      </c>
      <c r="H9" s="268" t="s">
        <v>43</v>
      </c>
      <c r="I9" s="269" t="s">
        <v>31</v>
      </c>
    </row>
    <row r="10" spans="1:9">
      <c r="A10" s="305">
        <v>43101</v>
      </c>
      <c r="B10" s="260">
        <v>17</v>
      </c>
      <c r="C10" s="260">
        <v>46</v>
      </c>
      <c r="D10" s="260">
        <v>29</v>
      </c>
      <c r="E10" s="261" t="s">
        <v>46</v>
      </c>
      <c r="F10" s="262">
        <v>1428</v>
      </c>
      <c r="G10" s="263" t="s">
        <v>47</v>
      </c>
      <c r="H10" s="264">
        <v>60</v>
      </c>
      <c r="I10" s="260"/>
    </row>
    <row r="11" spans="1:9">
      <c r="A11" s="306">
        <v>43104</v>
      </c>
      <c r="B11" s="241">
        <v>16</v>
      </c>
      <c r="C11" s="241">
        <v>27</v>
      </c>
      <c r="D11" s="241">
        <f t="shared" ref="D11:D41" si="0">IF(((C11="")*AND(B11="")),"",(C11-B11))</f>
        <v>11</v>
      </c>
      <c r="E11" s="238" t="str">
        <f t="shared" ref="E11:E41" si="1">IF(D11="","",IF(D11&lt;60,"Pass","Fail"))</f>
        <v>Pass</v>
      </c>
      <c r="F11" s="242">
        <v>1335</v>
      </c>
      <c r="G11" s="239" t="s">
        <v>47</v>
      </c>
      <c r="H11" s="240">
        <v>60</v>
      </c>
      <c r="I11" s="237"/>
    </row>
    <row r="12" spans="1:9">
      <c r="A12" s="306">
        <v>43112</v>
      </c>
      <c r="B12" s="241">
        <v>18</v>
      </c>
      <c r="C12" s="241">
        <v>40</v>
      </c>
      <c r="D12" s="241">
        <f t="shared" si="0"/>
        <v>22</v>
      </c>
      <c r="E12" s="238" t="str">
        <f t="shared" si="1"/>
        <v>Pass</v>
      </c>
      <c r="F12" s="242" t="s">
        <v>48</v>
      </c>
      <c r="G12" s="239" t="s">
        <v>47</v>
      </c>
      <c r="H12" s="240">
        <v>60</v>
      </c>
      <c r="I12" s="237"/>
    </row>
    <row r="13" spans="1:9">
      <c r="A13" s="306">
        <v>43116</v>
      </c>
      <c r="B13" s="241">
        <v>18</v>
      </c>
      <c r="C13" s="241">
        <v>77</v>
      </c>
      <c r="D13" s="241">
        <f t="shared" si="0"/>
        <v>59</v>
      </c>
      <c r="E13" s="238" t="str">
        <f t="shared" si="1"/>
        <v>Pass</v>
      </c>
      <c r="F13" s="242">
        <v>102</v>
      </c>
      <c r="G13" s="239" t="s">
        <v>47</v>
      </c>
      <c r="H13" s="240">
        <v>60</v>
      </c>
      <c r="I13" s="237"/>
    </row>
    <row r="14" spans="1:9">
      <c r="A14" s="306">
        <v>43119</v>
      </c>
      <c r="B14" s="241">
        <v>14</v>
      </c>
      <c r="C14" s="241">
        <v>22</v>
      </c>
      <c r="D14" s="241">
        <f t="shared" si="0"/>
        <v>8</v>
      </c>
      <c r="E14" s="238" t="str">
        <f t="shared" si="1"/>
        <v>Pass</v>
      </c>
      <c r="F14" s="242">
        <v>1428</v>
      </c>
      <c r="G14" s="239"/>
      <c r="H14" s="240">
        <v>60</v>
      </c>
      <c r="I14" s="237"/>
    </row>
    <row r="15" spans="1:9">
      <c r="A15" s="306">
        <v>43122</v>
      </c>
      <c r="B15" s="241">
        <v>18</v>
      </c>
      <c r="C15" s="241">
        <v>123</v>
      </c>
      <c r="D15" s="241">
        <f t="shared" si="0"/>
        <v>105</v>
      </c>
      <c r="E15" s="238" t="str">
        <f t="shared" si="1"/>
        <v>Fail</v>
      </c>
      <c r="F15" s="242">
        <v>1428</v>
      </c>
      <c r="G15" s="239"/>
      <c r="H15" s="240">
        <v>60</v>
      </c>
      <c r="I15" s="237"/>
    </row>
    <row r="16" spans="1:9">
      <c r="A16" s="306">
        <v>43122</v>
      </c>
      <c r="B16" s="241">
        <v>19</v>
      </c>
      <c r="C16" s="241">
        <v>521</v>
      </c>
      <c r="D16" s="241">
        <f t="shared" si="0"/>
        <v>502</v>
      </c>
      <c r="E16" s="238" t="str">
        <f t="shared" si="1"/>
        <v>Fail</v>
      </c>
      <c r="F16" s="242">
        <v>121</v>
      </c>
      <c r="G16" s="239"/>
      <c r="H16" s="240">
        <v>60</v>
      </c>
      <c r="I16" s="237"/>
    </row>
    <row r="17" spans="1:9">
      <c r="A17" s="306">
        <v>43122</v>
      </c>
      <c r="B17" s="241">
        <v>14</v>
      </c>
      <c r="C17" s="241">
        <v>762</v>
      </c>
      <c r="D17" s="241">
        <f t="shared" si="0"/>
        <v>748</v>
      </c>
      <c r="E17" s="238" t="str">
        <f t="shared" si="1"/>
        <v>Fail</v>
      </c>
      <c r="F17" s="242">
        <v>102</v>
      </c>
      <c r="G17" s="239"/>
      <c r="H17" s="240">
        <v>60</v>
      </c>
      <c r="I17" s="237"/>
    </row>
    <row r="18" spans="1:9">
      <c r="A18" s="306">
        <v>43122</v>
      </c>
      <c r="B18" s="241">
        <v>27</v>
      </c>
      <c r="C18" s="241">
        <v>48</v>
      </c>
      <c r="D18" s="241">
        <f t="shared" si="0"/>
        <v>21</v>
      </c>
      <c r="E18" s="238" t="str">
        <f t="shared" si="1"/>
        <v>Pass</v>
      </c>
      <c r="F18" s="242">
        <v>102</v>
      </c>
      <c r="G18" s="239"/>
      <c r="H18" s="240">
        <v>60</v>
      </c>
      <c r="I18" s="237"/>
    </row>
    <row r="19" spans="1:9">
      <c r="A19" s="306">
        <v>43125</v>
      </c>
      <c r="B19" s="241">
        <v>27</v>
      </c>
      <c r="C19" s="241">
        <v>279</v>
      </c>
      <c r="D19" s="241">
        <f t="shared" si="0"/>
        <v>252</v>
      </c>
      <c r="E19" s="238" t="str">
        <f t="shared" si="1"/>
        <v>Fail</v>
      </c>
      <c r="F19" s="242">
        <v>102</v>
      </c>
      <c r="G19" s="239"/>
      <c r="H19" s="240">
        <v>60</v>
      </c>
      <c r="I19" s="237"/>
    </row>
    <row r="20" spans="1:9">
      <c r="A20" s="306">
        <v>43125</v>
      </c>
      <c r="B20" s="241">
        <v>6</v>
      </c>
      <c r="C20" s="241">
        <v>178</v>
      </c>
      <c r="D20" s="241">
        <f t="shared" si="0"/>
        <v>172</v>
      </c>
      <c r="E20" s="238" t="str">
        <f t="shared" si="1"/>
        <v>Fail</v>
      </c>
      <c r="F20" s="242">
        <v>102</v>
      </c>
      <c r="G20" s="239"/>
      <c r="H20" s="240">
        <v>60</v>
      </c>
      <c r="I20" s="237"/>
    </row>
    <row r="21" spans="1:9">
      <c r="A21" s="306">
        <v>43125</v>
      </c>
      <c r="B21" s="241">
        <v>36</v>
      </c>
      <c r="C21" s="241">
        <v>49</v>
      </c>
      <c r="D21" s="241">
        <f t="shared" si="0"/>
        <v>13</v>
      </c>
      <c r="E21" s="238" t="str">
        <f t="shared" si="1"/>
        <v>Pass</v>
      </c>
      <c r="F21" s="242">
        <v>1335</v>
      </c>
      <c r="G21" s="239"/>
      <c r="H21" s="240">
        <v>60</v>
      </c>
      <c r="I21" s="237"/>
    </row>
    <row r="22" spans="1:9">
      <c r="A22" s="306">
        <v>43129</v>
      </c>
      <c r="B22" s="241">
        <v>11</v>
      </c>
      <c r="C22" s="241">
        <v>29</v>
      </c>
      <c r="D22" s="241">
        <f t="shared" si="0"/>
        <v>18</v>
      </c>
      <c r="E22" s="238" t="str">
        <f t="shared" si="1"/>
        <v>Pass</v>
      </c>
      <c r="F22" s="243" t="s">
        <v>49</v>
      </c>
      <c r="G22" s="239"/>
      <c r="H22" s="240">
        <v>60</v>
      </c>
      <c r="I22" s="237"/>
    </row>
    <row r="23" spans="1:9">
      <c r="A23" s="306">
        <v>43132</v>
      </c>
      <c r="B23" s="241">
        <v>1</v>
      </c>
      <c r="C23" s="241">
        <v>10</v>
      </c>
      <c r="D23" s="241">
        <f t="shared" si="0"/>
        <v>9</v>
      </c>
      <c r="E23" s="238" t="str">
        <f t="shared" si="1"/>
        <v>Pass</v>
      </c>
      <c r="F23" s="242">
        <v>1335</v>
      </c>
      <c r="G23" s="239"/>
      <c r="H23" s="240">
        <v>60</v>
      </c>
      <c r="I23" s="237"/>
    </row>
    <row r="24" spans="1:9">
      <c r="A24" s="306">
        <v>43137</v>
      </c>
      <c r="B24" s="241">
        <v>20</v>
      </c>
      <c r="C24" s="241">
        <v>52</v>
      </c>
      <c r="D24" s="241">
        <f t="shared" si="0"/>
        <v>32</v>
      </c>
      <c r="E24" s="238" t="str">
        <f t="shared" si="1"/>
        <v>Pass</v>
      </c>
      <c r="F24" s="242">
        <v>1519</v>
      </c>
      <c r="G24" s="239"/>
      <c r="H24" s="240">
        <v>60</v>
      </c>
      <c r="I24" s="237"/>
    </row>
    <row r="25" spans="1:9">
      <c r="A25" s="306">
        <v>43138</v>
      </c>
      <c r="B25" s="241">
        <v>42</v>
      </c>
      <c r="C25" s="241">
        <v>100</v>
      </c>
      <c r="D25" s="241">
        <f t="shared" si="0"/>
        <v>58</v>
      </c>
      <c r="E25" s="238" t="str">
        <f t="shared" si="1"/>
        <v>Pass</v>
      </c>
      <c r="F25" s="242">
        <v>1428</v>
      </c>
      <c r="G25" s="239"/>
      <c r="H25" s="240">
        <v>60</v>
      </c>
      <c r="I25" s="237"/>
    </row>
    <row r="26" spans="1:9">
      <c r="A26" s="306">
        <v>43141</v>
      </c>
      <c r="B26" s="241">
        <v>91</v>
      </c>
      <c r="C26" s="241">
        <v>119</v>
      </c>
      <c r="D26" s="241">
        <f>IF(((C26="")*AND(B26="")),"",(C26-B26))</f>
        <v>28</v>
      </c>
      <c r="E26" s="238" t="str">
        <f>IF(D26="","",IF(D26&lt;60,"Pass","Fail"))</f>
        <v>Pass</v>
      </c>
      <c r="F26" s="242">
        <v>102</v>
      </c>
      <c r="G26" s="239"/>
      <c r="H26" s="240">
        <v>60</v>
      </c>
      <c r="I26" s="237"/>
    </row>
    <row r="27" spans="1:9">
      <c r="A27" s="306">
        <v>43146</v>
      </c>
      <c r="B27" s="241">
        <v>25</v>
      </c>
      <c r="C27" s="241">
        <v>29</v>
      </c>
      <c r="D27" s="241">
        <f t="shared" si="0"/>
        <v>4</v>
      </c>
      <c r="E27" s="238" t="str">
        <f t="shared" si="1"/>
        <v>Pass</v>
      </c>
      <c r="F27" s="242">
        <v>1335</v>
      </c>
      <c r="G27" s="239"/>
      <c r="H27" s="240">
        <v>60</v>
      </c>
      <c r="I27" s="237"/>
    </row>
    <row r="28" spans="1:9">
      <c r="A28" s="306">
        <v>43151</v>
      </c>
      <c r="B28" s="241">
        <v>44</v>
      </c>
      <c r="C28" s="241">
        <v>41</v>
      </c>
      <c r="D28" s="241">
        <f>IF(((C28="")*AND(B28="")),"",(C28-B28))</f>
        <v>-3</v>
      </c>
      <c r="E28" s="238" t="str">
        <f>IF(D28="","",IF(D28&lt;60,"Pass","Fail"))</f>
        <v>Pass</v>
      </c>
      <c r="F28" s="242">
        <v>102</v>
      </c>
      <c r="G28" s="239"/>
      <c r="H28" s="240">
        <v>60</v>
      </c>
      <c r="I28" s="237"/>
    </row>
    <row r="29" spans="1:9">
      <c r="A29" s="306">
        <v>43156</v>
      </c>
      <c r="B29" s="241">
        <v>46</v>
      </c>
      <c r="C29" s="241">
        <v>1343</v>
      </c>
      <c r="D29" s="241">
        <f t="shared" si="0"/>
        <v>1297</v>
      </c>
      <c r="E29" s="238" t="str">
        <f t="shared" si="1"/>
        <v>Fail</v>
      </c>
      <c r="F29" s="242">
        <v>1534</v>
      </c>
      <c r="G29" s="239"/>
      <c r="H29" s="240">
        <v>60</v>
      </c>
      <c r="I29" s="237"/>
    </row>
    <row r="30" spans="1:9">
      <c r="A30" s="306">
        <v>43157</v>
      </c>
      <c r="B30" s="241">
        <v>7</v>
      </c>
      <c r="C30" s="241">
        <v>20</v>
      </c>
      <c r="D30" s="241">
        <f t="shared" si="0"/>
        <v>13</v>
      </c>
      <c r="E30" s="238" t="str">
        <f t="shared" si="1"/>
        <v>Pass</v>
      </c>
      <c r="F30" s="242">
        <v>1159</v>
      </c>
      <c r="G30" s="239" t="s">
        <v>47</v>
      </c>
      <c r="H30" s="240">
        <v>60</v>
      </c>
      <c r="I30" s="237"/>
    </row>
    <row r="31" spans="1:9">
      <c r="A31" s="306">
        <v>43177</v>
      </c>
      <c r="B31" s="241">
        <v>36</v>
      </c>
      <c r="C31" s="241">
        <v>237</v>
      </c>
      <c r="D31" s="241">
        <f t="shared" si="0"/>
        <v>201</v>
      </c>
      <c r="E31" s="238" t="str">
        <f t="shared" si="1"/>
        <v>Fail</v>
      </c>
      <c r="F31" s="242">
        <v>1159</v>
      </c>
      <c r="G31" s="239" t="s">
        <v>47</v>
      </c>
      <c r="H31" s="240">
        <v>60</v>
      </c>
      <c r="I31" s="237"/>
    </row>
    <row r="32" spans="1:9">
      <c r="A32" s="306">
        <v>43177</v>
      </c>
      <c r="B32" s="241">
        <v>9</v>
      </c>
      <c r="C32" s="241">
        <v>17</v>
      </c>
      <c r="D32" s="241">
        <f t="shared" si="0"/>
        <v>8</v>
      </c>
      <c r="E32" s="238" t="str">
        <f t="shared" si="1"/>
        <v>Pass</v>
      </c>
      <c r="F32" s="242">
        <v>1159</v>
      </c>
      <c r="G32" s="239" t="s">
        <v>47</v>
      </c>
      <c r="H32" s="240">
        <v>60</v>
      </c>
      <c r="I32" s="237"/>
    </row>
    <row r="33" spans="1:9">
      <c r="A33" s="306">
        <v>43182</v>
      </c>
      <c r="B33" s="241">
        <v>22</v>
      </c>
      <c r="C33" s="241">
        <v>35</v>
      </c>
      <c r="D33" s="241">
        <f t="shared" si="0"/>
        <v>13</v>
      </c>
      <c r="E33" s="238" t="str">
        <f t="shared" si="1"/>
        <v>Pass</v>
      </c>
      <c r="F33" s="242">
        <v>1159</v>
      </c>
      <c r="G33" s="239" t="s">
        <v>47</v>
      </c>
      <c r="H33" s="240">
        <v>60</v>
      </c>
      <c r="I33" s="237"/>
    </row>
    <row r="34" spans="1:9">
      <c r="A34" s="306">
        <v>43199</v>
      </c>
      <c r="B34" s="241">
        <v>43</v>
      </c>
      <c r="C34" s="241">
        <v>47</v>
      </c>
      <c r="D34" s="241">
        <f t="shared" si="0"/>
        <v>4</v>
      </c>
      <c r="E34" s="238" t="str">
        <f t="shared" si="1"/>
        <v>Pass</v>
      </c>
      <c r="F34" s="242">
        <v>1159</v>
      </c>
      <c r="G34" s="239" t="s">
        <v>47</v>
      </c>
      <c r="H34" s="240">
        <v>60</v>
      </c>
      <c r="I34" s="237"/>
    </row>
    <row r="35" spans="1:9">
      <c r="A35" s="306">
        <v>43203</v>
      </c>
      <c r="B35" s="241">
        <v>27</v>
      </c>
      <c r="C35" s="241">
        <v>1124</v>
      </c>
      <c r="D35" s="241">
        <f t="shared" si="0"/>
        <v>1097</v>
      </c>
      <c r="E35" s="238" t="str">
        <f t="shared" si="1"/>
        <v>Fail</v>
      </c>
      <c r="F35" s="242">
        <v>1159</v>
      </c>
      <c r="G35" s="239" t="s">
        <v>47</v>
      </c>
      <c r="H35" s="240">
        <v>60</v>
      </c>
      <c r="I35" s="237"/>
    </row>
    <row r="36" spans="1:9">
      <c r="A36" s="306">
        <v>43206</v>
      </c>
      <c r="B36" s="241">
        <v>13</v>
      </c>
      <c r="C36" s="241">
        <v>14</v>
      </c>
      <c r="D36" s="241">
        <f t="shared" si="0"/>
        <v>1</v>
      </c>
      <c r="E36" s="238" t="str">
        <f t="shared" si="1"/>
        <v>Pass</v>
      </c>
      <c r="F36" s="242">
        <v>1335</v>
      </c>
      <c r="G36" s="239" t="s">
        <v>47</v>
      </c>
      <c r="H36" s="240">
        <v>60</v>
      </c>
      <c r="I36" s="237"/>
    </row>
    <row r="37" spans="1:9">
      <c r="A37" s="306">
        <v>43214</v>
      </c>
      <c r="B37" s="241">
        <v>44</v>
      </c>
      <c r="C37" s="241">
        <v>376</v>
      </c>
      <c r="D37" s="241">
        <f t="shared" si="0"/>
        <v>332</v>
      </c>
      <c r="E37" s="238" t="str">
        <f t="shared" si="1"/>
        <v>Fail</v>
      </c>
      <c r="F37" s="242">
        <v>74</v>
      </c>
      <c r="G37" s="239" t="s">
        <v>47</v>
      </c>
      <c r="H37" s="240">
        <v>60</v>
      </c>
      <c r="I37" s="237"/>
    </row>
    <row r="38" spans="1:9">
      <c r="A38" s="306">
        <v>43214</v>
      </c>
      <c r="B38" s="241">
        <v>4</v>
      </c>
      <c r="C38" s="241">
        <v>34</v>
      </c>
      <c r="D38" s="241">
        <f t="shared" si="0"/>
        <v>30</v>
      </c>
      <c r="E38" s="238" t="str">
        <f t="shared" si="1"/>
        <v>Pass</v>
      </c>
      <c r="F38" s="243" t="s">
        <v>50</v>
      </c>
      <c r="G38" s="239" t="s">
        <v>47</v>
      </c>
      <c r="H38" s="240">
        <v>60</v>
      </c>
      <c r="I38" s="237"/>
    </row>
    <row r="39" spans="1:9">
      <c r="A39" s="306">
        <v>43221</v>
      </c>
      <c r="B39" s="241">
        <v>16</v>
      </c>
      <c r="C39" s="241">
        <v>44</v>
      </c>
      <c r="D39" s="241">
        <f t="shared" si="0"/>
        <v>28</v>
      </c>
      <c r="E39" s="238" t="str">
        <f t="shared" si="1"/>
        <v>Pass</v>
      </c>
      <c r="F39" s="242">
        <v>74</v>
      </c>
      <c r="G39" s="239" t="s">
        <v>47</v>
      </c>
      <c r="H39" s="240">
        <v>60</v>
      </c>
      <c r="I39" s="237"/>
    </row>
    <row r="40" spans="1:9">
      <c r="A40" s="306">
        <v>43222</v>
      </c>
      <c r="B40" s="241">
        <v>21</v>
      </c>
      <c r="C40" s="241">
        <v>27</v>
      </c>
      <c r="D40" s="241">
        <f t="shared" si="0"/>
        <v>6</v>
      </c>
      <c r="E40" s="238" t="str">
        <f t="shared" si="1"/>
        <v>Pass</v>
      </c>
      <c r="F40" s="242">
        <v>1159</v>
      </c>
      <c r="G40" s="239" t="s">
        <v>47</v>
      </c>
      <c r="H40" s="240">
        <v>60</v>
      </c>
      <c r="I40" s="237"/>
    </row>
    <row r="41" spans="1:9">
      <c r="A41" s="306">
        <v>43234</v>
      </c>
      <c r="B41" s="241">
        <v>31</v>
      </c>
      <c r="C41" s="241">
        <v>23</v>
      </c>
      <c r="D41" s="241">
        <f t="shared" si="0"/>
        <v>-8</v>
      </c>
      <c r="E41" s="238" t="str">
        <f t="shared" si="1"/>
        <v>Pass</v>
      </c>
      <c r="F41" s="242">
        <v>1159</v>
      </c>
      <c r="G41" s="239" t="s">
        <v>47</v>
      </c>
      <c r="H41" s="240">
        <v>60</v>
      </c>
      <c r="I41" s="237"/>
    </row>
    <row r="42" spans="1:9">
      <c r="A42" s="306">
        <v>43238</v>
      </c>
      <c r="B42" s="241">
        <v>46</v>
      </c>
      <c r="C42" s="241">
        <v>31</v>
      </c>
      <c r="D42" s="241">
        <f>IF(((C42="")*AND(B42="")),"",(C42-B42))</f>
        <v>-15</v>
      </c>
      <c r="E42" s="238" t="str">
        <f>IF(D42="","",IF(D42&lt;60,"Pass","Fail"))</f>
        <v>Pass</v>
      </c>
      <c r="F42" s="242">
        <v>64</v>
      </c>
      <c r="G42" s="239" t="s">
        <v>47</v>
      </c>
      <c r="H42" s="240">
        <v>60</v>
      </c>
      <c r="I42" s="237"/>
    </row>
    <row r="43" spans="1:9">
      <c r="A43" s="306">
        <v>43242</v>
      </c>
      <c r="B43" s="241">
        <v>33</v>
      </c>
      <c r="C43" s="241">
        <v>30</v>
      </c>
      <c r="D43" s="241">
        <f>IF(((C43="")*AND(B43="")),"",(C43-B43))</f>
        <v>-3</v>
      </c>
      <c r="E43" s="238" t="str">
        <f>IF(D43="","",IF(D43&lt;60,"Pass","Fail"))</f>
        <v>Pass</v>
      </c>
      <c r="F43" s="242">
        <v>102</v>
      </c>
      <c r="G43" s="239" t="s">
        <v>47</v>
      </c>
      <c r="H43" s="240">
        <v>60</v>
      </c>
      <c r="I43" s="239" t="s">
        <v>51</v>
      </c>
    </row>
    <row r="44" spans="1:9">
      <c r="A44" s="306">
        <v>43243</v>
      </c>
      <c r="B44" s="241">
        <v>48</v>
      </c>
      <c r="C44" s="241">
        <v>76</v>
      </c>
      <c r="D44" s="241">
        <f t="shared" ref="D44:D106" si="2">IF(((C44="")*AND(B44="")),"",(C44-B44))</f>
        <v>28</v>
      </c>
      <c r="E44" s="238" t="str">
        <f t="shared" ref="E44:E106" si="3">IF(D44="","",IF(D44&lt;60,"Pass","Fail"))</f>
        <v>Pass</v>
      </c>
      <c r="F44" s="242">
        <v>1159</v>
      </c>
      <c r="G44" s="239" t="s">
        <v>47</v>
      </c>
      <c r="H44" s="240">
        <v>60</v>
      </c>
      <c r="I44" s="237"/>
    </row>
    <row r="45" spans="1:9">
      <c r="A45" s="306">
        <v>43243</v>
      </c>
      <c r="B45" s="241">
        <v>43</v>
      </c>
      <c r="C45" s="241">
        <v>26</v>
      </c>
      <c r="D45" s="241">
        <f t="shared" si="2"/>
        <v>-17</v>
      </c>
      <c r="E45" s="238" t="str">
        <f t="shared" si="3"/>
        <v>Pass</v>
      </c>
      <c r="F45" s="242">
        <v>1159</v>
      </c>
      <c r="G45" s="239" t="s">
        <v>47</v>
      </c>
      <c r="H45" s="240">
        <v>60</v>
      </c>
      <c r="I45" s="237"/>
    </row>
    <row r="46" spans="1:9">
      <c r="A46" s="306">
        <v>43248</v>
      </c>
      <c r="B46" s="241">
        <v>53</v>
      </c>
      <c r="C46" s="241">
        <v>44</v>
      </c>
      <c r="D46" s="241">
        <f t="shared" si="2"/>
        <v>-9</v>
      </c>
      <c r="E46" s="238" t="str">
        <f t="shared" si="3"/>
        <v>Pass</v>
      </c>
      <c r="F46" s="242">
        <v>102</v>
      </c>
      <c r="G46" s="239" t="s">
        <v>47</v>
      </c>
      <c r="H46" s="240">
        <v>60</v>
      </c>
      <c r="I46" s="237"/>
    </row>
    <row r="47" spans="1:9">
      <c r="A47" s="306">
        <v>43251</v>
      </c>
      <c r="B47" s="241">
        <v>4</v>
      </c>
      <c r="C47" s="241">
        <v>16</v>
      </c>
      <c r="D47" s="241">
        <f t="shared" si="2"/>
        <v>12</v>
      </c>
      <c r="E47" s="238" t="str">
        <f t="shared" si="3"/>
        <v>Pass</v>
      </c>
      <c r="F47" s="242"/>
      <c r="G47" s="239" t="s">
        <v>47</v>
      </c>
      <c r="H47" s="240">
        <v>60</v>
      </c>
      <c r="I47" s="237"/>
    </row>
    <row r="48" spans="1:9">
      <c r="A48" s="306">
        <v>43255</v>
      </c>
      <c r="B48" s="241">
        <v>21</v>
      </c>
      <c r="C48" s="241">
        <v>526</v>
      </c>
      <c r="D48" s="241">
        <f t="shared" si="2"/>
        <v>505</v>
      </c>
      <c r="E48" s="238" t="str">
        <f t="shared" si="3"/>
        <v>Fail</v>
      </c>
      <c r="F48" s="242">
        <v>1335</v>
      </c>
      <c r="G48" s="239" t="s">
        <v>47</v>
      </c>
      <c r="H48" s="240">
        <v>60</v>
      </c>
      <c r="I48" s="237"/>
    </row>
    <row r="49" spans="1:9">
      <c r="A49" s="306">
        <v>43255</v>
      </c>
      <c r="B49" s="241">
        <v>24</v>
      </c>
      <c r="C49" s="241">
        <v>348</v>
      </c>
      <c r="D49" s="241">
        <f t="shared" si="2"/>
        <v>324</v>
      </c>
      <c r="E49" s="238" t="str">
        <f t="shared" si="3"/>
        <v>Fail</v>
      </c>
      <c r="F49" s="242">
        <v>121</v>
      </c>
      <c r="G49" s="239" t="s">
        <v>47</v>
      </c>
      <c r="H49" s="240">
        <v>60</v>
      </c>
      <c r="I49" s="237"/>
    </row>
    <row r="50" spans="1:9">
      <c r="A50" s="306">
        <v>43255</v>
      </c>
      <c r="B50" s="241">
        <v>7</v>
      </c>
      <c r="C50" s="241">
        <v>11</v>
      </c>
      <c r="D50" s="241">
        <f t="shared" si="2"/>
        <v>4</v>
      </c>
      <c r="E50" s="238" t="str">
        <f t="shared" si="3"/>
        <v>Pass</v>
      </c>
      <c r="F50" s="242">
        <v>121</v>
      </c>
      <c r="G50" s="239" t="s">
        <v>47</v>
      </c>
      <c r="H50" s="240">
        <v>60</v>
      </c>
      <c r="I50" s="237"/>
    </row>
    <row r="51" spans="1:9">
      <c r="A51" s="306">
        <v>43258</v>
      </c>
      <c r="B51" s="241">
        <v>14</v>
      </c>
      <c r="C51" s="241">
        <v>10</v>
      </c>
      <c r="D51" s="241">
        <f t="shared" si="2"/>
        <v>-4</v>
      </c>
      <c r="E51" s="238" t="str">
        <f t="shared" si="3"/>
        <v>Pass</v>
      </c>
      <c r="F51" s="242">
        <v>1335</v>
      </c>
      <c r="G51" s="239" t="s">
        <v>47</v>
      </c>
      <c r="H51" s="240">
        <v>60</v>
      </c>
      <c r="I51" s="237"/>
    </row>
    <row r="52" spans="1:9">
      <c r="A52" s="306">
        <v>43262</v>
      </c>
      <c r="B52" s="241">
        <v>44</v>
      </c>
      <c r="C52" s="241">
        <v>80</v>
      </c>
      <c r="D52" s="241">
        <f t="shared" si="2"/>
        <v>36</v>
      </c>
      <c r="E52" s="238" t="str">
        <f t="shared" si="3"/>
        <v>Pass</v>
      </c>
      <c r="F52" s="242">
        <v>1159</v>
      </c>
      <c r="G52" s="239" t="s">
        <v>47</v>
      </c>
      <c r="H52" s="240">
        <v>60</v>
      </c>
      <c r="I52" s="237"/>
    </row>
    <row r="53" spans="1:9">
      <c r="A53" s="306">
        <v>43272</v>
      </c>
      <c r="B53" s="241">
        <v>8</v>
      </c>
      <c r="C53" s="241">
        <v>11</v>
      </c>
      <c r="D53" s="241">
        <f t="shared" si="2"/>
        <v>3</v>
      </c>
      <c r="E53" s="238" t="str">
        <f t="shared" si="3"/>
        <v>Pass</v>
      </c>
      <c r="F53" s="242">
        <v>1159</v>
      </c>
      <c r="G53" s="239" t="s">
        <v>47</v>
      </c>
      <c r="H53" s="240">
        <v>60</v>
      </c>
      <c r="I53" s="237"/>
    </row>
    <row r="54" spans="1:9">
      <c r="A54" s="306">
        <v>43283</v>
      </c>
      <c r="B54" s="241">
        <v>27</v>
      </c>
      <c r="C54" s="241">
        <v>57</v>
      </c>
      <c r="D54" s="241">
        <f t="shared" si="2"/>
        <v>30</v>
      </c>
      <c r="E54" s="238" t="str">
        <f t="shared" si="3"/>
        <v>Pass</v>
      </c>
      <c r="F54" s="242">
        <v>1340</v>
      </c>
      <c r="G54" s="239" t="s">
        <v>47</v>
      </c>
      <c r="H54" s="240">
        <v>60</v>
      </c>
      <c r="I54" s="237"/>
    </row>
    <row r="55" spans="1:9">
      <c r="A55" s="306">
        <v>43287</v>
      </c>
      <c r="B55" s="241">
        <v>36</v>
      </c>
      <c r="C55" s="241">
        <v>27</v>
      </c>
      <c r="D55" s="241">
        <f t="shared" si="2"/>
        <v>-9</v>
      </c>
      <c r="E55" s="238" t="str">
        <f t="shared" si="3"/>
        <v>Pass</v>
      </c>
      <c r="F55" s="244"/>
      <c r="G55" s="239" t="s">
        <v>47</v>
      </c>
      <c r="H55" s="240">
        <v>60</v>
      </c>
      <c r="I55" s="237"/>
    </row>
    <row r="56" spans="1:9">
      <c r="A56" s="306">
        <v>43294</v>
      </c>
      <c r="B56" s="241">
        <v>11</v>
      </c>
      <c r="C56" s="241">
        <v>13</v>
      </c>
      <c r="D56" s="241">
        <f t="shared" si="2"/>
        <v>2</v>
      </c>
      <c r="E56" s="238" t="str">
        <f t="shared" si="3"/>
        <v>Pass</v>
      </c>
      <c r="F56" s="244">
        <v>1335</v>
      </c>
      <c r="G56" s="239" t="s">
        <v>47</v>
      </c>
      <c r="H56" s="240">
        <v>60</v>
      </c>
      <c r="I56" s="237"/>
    </row>
    <row r="57" spans="1:9">
      <c r="A57" s="306">
        <v>43300</v>
      </c>
      <c r="B57" s="241">
        <v>10</v>
      </c>
      <c r="C57" s="241">
        <v>68</v>
      </c>
      <c r="D57" s="241">
        <f t="shared" si="2"/>
        <v>58</v>
      </c>
      <c r="E57" s="238" t="str">
        <f t="shared" si="3"/>
        <v>Pass</v>
      </c>
      <c r="F57" s="244">
        <v>1335</v>
      </c>
      <c r="G57" s="239" t="s">
        <v>47</v>
      </c>
      <c r="H57" s="240">
        <v>60</v>
      </c>
      <c r="I57" s="237"/>
    </row>
    <row r="58" spans="1:9">
      <c r="A58" s="306">
        <v>43304</v>
      </c>
      <c r="B58" s="245">
        <v>9</v>
      </c>
      <c r="C58" s="245">
        <v>15</v>
      </c>
      <c r="D58" s="246">
        <f t="shared" si="2"/>
        <v>6</v>
      </c>
      <c r="E58" s="247" t="str">
        <f t="shared" si="3"/>
        <v>Pass</v>
      </c>
      <c r="F58" s="248">
        <v>1340</v>
      </c>
      <c r="G58" s="239" t="s">
        <v>47</v>
      </c>
      <c r="H58" s="240">
        <v>60</v>
      </c>
      <c r="I58" s="237"/>
    </row>
    <row r="59" spans="1:9">
      <c r="A59" s="306">
        <v>43305</v>
      </c>
      <c r="B59" s="246">
        <v>13</v>
      </c>
      <c r="C59" s="246">
        <v>63</v>
      </c>
      <c r="D59" s="246">
        <f t="shared" si="2"/>
        <v>50</v>
      </c>
      <c r="E59" s="247" t="str">
        <f t="shared" si="3"/>
        <v>Pass</v>
      </c>
      <c r="F59" s="248">
        <v>1340</v>
      </c>
      <c r="G59" s="239" t="s">
        <v>47</v>
      </c>
      <c r="H59" s="240">
        <v>60</v>
      </c>
      <c r="I59" s="237"/>
    </row>
    <row r="60" spans="1:9">
      <c r="A60" s="306">
        <v>43305</v>
      </c>
      <c r="B60" s="246">
        <v>13</v>
      </c>
      <c r="C60" s="246">
        <v>63</v>
      </c>
      <c r="D60" s="246">
        <f t="shared" si="2"/>
        <v>50</v>
      </c>
      <c r="E60" s="247" t="str">
        <f t="shared" si="3"/>
        <v>Pass</v>
      </c>
      <c r="F60" s="248">
        <v>1340</v>
      </c>
      <c r="G60" s="239" t="s">
        <v>47</v>
      </c>
      <c r="H60" s="240">
        <v>60</v>
      </c>
      <c r="I60" s="237"/>
    </row>
    <row r="61" spans="1:9">
      <c r="A61" s="306">
        <v>43306</v>
      </c>
      <c r="B61" s="245">
        <v>21</v>
      </c>
      <c r="C61" s="245">
        <v>23</v>
      </c>
      <c r="D61" s="246">
        <f t="shared" si="2"/>
        <v>2</v>
      </c>
      <c r="E61" s="247" t="str">
        <f t="shared" si="3"/>
        <v>Pass</v>
      </c>
      <c r="F61" s="249">
        <v>121</v>
      </c>
      <c r="G61" s="239" t="s">
        <v>47</v>
      </c>
      <c r="H61" s="240">
        <v>60</v>
      </c>
      <c r="I61" s="237"/>
    </row>
    <row r="62" spans="1:9">
      <c r="A62" s="306">
        <v>43308</v>
      </c>
      <c r="B62" s="246">
        <v>14</v>
      </c>
      <c r="C62" s="246">
        <v>39</v>
      </c>
      <c r="D62" s="246">
        <f t="shared" si="2"/>
        <v>25</v>
      </c>
      <c r="E62" s="247" t="str">
        <f t="shared" si="3"/>
        <v>Pass</v>
      </c>
      <c r="F62" s="248">
        <v>1340</v>
      </c>
      <c r="G62" s="239" t="s">
        <v>47</v>
      </c>
      <c r="H62" s="240">
        <v>60</v>
      </c>
      <c r="I62" s="237"/>
    </row>
    <row r="63" spans="1:9">
      <c r="A63" s="306">
        <v>43313</v>
      </c>
      <c r="B63" s="246">
        <v>10</v>
      </c>
      <c r="C63" s="246">
        <v>200</v>
      </c>
      <c r="D63" s="246">
        <f t="shared" si="2"/>
        <v>190</v>
      </c>
      <c r="E63" s="247" t="str">
        <f t="shared" si="3"/>
        <v>Fail</v>
      </c>
      <c r="F63" s="248">
        <v>74</v>
      </c>
      <c r="G63" s="239" t="s">
        <v>47</v>
      </c>
      <c r="H63" s="240">
        <v>60</v>
      </c>
      <c r="I63" s="237" t="s">
        <v>52</v>
      </c>
    </row>
    <row r="64" spans="1:9">
      <c r="A64" s="306">
        <v>43314</v>
      </c>
      <c r="B64" s="246">
        <v>8</v>
      </c>
      <c r="C64" s="246">
        <v>24</v>
      </c>
      <c r="D64" s="246">
        <f t="shared" si="2"/>
        <v>16</v>
      </c>
      <c r="E64" s="247" t="str">
        <f t="shared" si="3"/>
        <v>Pass</v>
      </c>
      <c r="F64" s="248">
        <v>74</v>
      </c>
      <c r="G64" s="239" t="s">
        <v>47</v>
      </c>
      <c r="H64" s="240">
        <v>60</v>
      </c>
      <c r="I64" s="237"/>
    </row>
    <row r="65" spans="1:9">
      <c r="A65" s="306">
        <v>43320</v>
      </c>
      <c r="B65" s="237">
        <v>6</v>
      </c>
      <c r="C65" s="237">
        <v>8</v>
      </c>
      <c r="D65" s="237">
        <f t="shared" si="2"/>
        <v>2</v>
      </c>
      <c r="E65" s="238" t="str">
        <f t="shared" si="3"/>
        <v>Pass</v>
      </c>
      <c r="F65" s="240">
        <v>1519</v>
      </c>
      <c r="G65" s="239" t="s">
        <v>47</v>
      </c>
      <c r="H65" s="240">
        <v>60</v>
      </c>
      <c r="I65" s="237"/>
    </row>
    <row r="66" spans="1:9">
      <c r="A66" s="306">
        <v>43321</v>
      </c>
      <c r="B66" s="246">
        <v>16</v>
      </c>
      <c r="C66" s="246">
        <v>964</v>
      </c>
      <c r="D66" s="246">
        <f t="shared" si="2"/>
        <v>948</v>
      </c>
      <c r="E66" s="247" t="str">
        <f t="shared" si="3"/>
        <v>Fail</v>
      </c>
      <c r="F66" s="248">
        <v>1428</v>
      </c>
      <c r="G66" s="239" t="s">
        <v>47</v>
      </c>
      <c r="H66" s="240">
        <v>60</v>
      </c>
      <c r="I66" s="239" t="s">
        <v>53</v>
      </c>
    </row>
    <row r="67" spans="1:9">
      <c r="A67" s="306">
        <v>43321</v>
      </c>
      <c r="B67" s="246">
        <v>8</v>
      </c>
      <c r="C67" s="246">
        <v>19</v>
      </c>
      <c r="D67" s="246">
        <f t="shared" si="2"/>
        <v>11</v>
      </c>
      <c r="E67" s="247" t="str">
        <f t="shared" si="3"/>
        <v>Pass</v>
      </c>
      <c r="F67" s="248">
        <v>1428</v>
      </c>
      <c r="G67" s="239" t="s">
        <v>47</v>
      </c>
      <c r="H67" s="240">
        <v>60</v>
      </c>
      <c r="I67" s="237"/>
    </row>
    <row r="68" spans="1:9">
      <c r="A68" s="306">
        <v>43328</v>
      </c>
      <c r="B68" s="246">
        <v>27</v>
      </c>
      <c r="C68" s="246">
        <v>37</v>
      </c>
      <c r="D68" s="246">
        <f t="shared" si="2"/>
        <v>10</v>
      </c>
      <c r="E68" s="247" t="str">
        <f t="shared" si="3"/>
        <v>Pass</v>
      </c>
      <c r="F68" s="248">
        <v>74</v>
      </c>
      <c r="G68" s="239" t="s">
        <v>47</v>
      </c>
      <c r="H68" s="240">
        <v>60</v>
      </c>
      <c r="I68" s="237"/>
    </row>
    <row r="69" spans="1:9">
      <c r="A69" s="306">
        <v>43336</v>
      </c>
      <c r="B69" s="245">
        <v>11</v>
      </c>
      <c r="C69" s="245">
        <v>82</v>
      </c>
      <c r="D69" s="246">
        <f t="shared" si="2"/>
        <v>71</v>
      </c>
      <c r="E69" s="247" t="str">
        <f t="shared" si="3"/>
        <v>Fail</v>
      </c>
      <c r="F69" s="248">
        <v>1340</v>
      </c>
      <c r="G69" s="239" t="s">
        <v>47</v>
      </c>
      <c r="H69" s="240">
        <v>60</v>
      </c>
      <c r="I69" s="237" t="s">
        <v>54</v>
      </c>
    </row>
    <row r="70" spans="1:9">
      <c r="A70" s="306">
        <v>43336</v>
      </c>
      <c r="B70" s="245">
        <v>14</v>
      </c>
      <c r="C70" s="245">
        <v>124</v>
      </c>
      <c r="D70" s="246">
        <f t="shared" si="2"/>
        <v>110</v>
      </c>
      <c r="E70" s="247" t="str">
        <f t="shared" si="3"/>
        <v>Fail</v>
      </c>
      <c r="F70" s="248">
        <v>1340</v>
      </c>
      <c r="G70" s="239" t="s">
        <v>47</v>
      </c>
      <c r="H70" s="240">
        <v>60</v>
      </c>
      <c r="I70" s="237" t="s">
        <v>55</v>
      </c>
    </row>
    <row r="71" spans="1:9">
      <c r="A71" s="306">
        <v>43336</v>
      </c>
      <c r="B71" s="246">
        <v>19</v>
      </c>
      <c r="C71" s="246">
        <v>157</v>
      </c>
      <c r="D71" s="246">
        <f t="shared" si="2"/>
        <v>138</v>
      </c>
      <c r="E71" s="247" t="str">
        <f t="shared" si="3"/>
        <v>Fail</v>
      </c>
      <c r="F71" s="248">
        <v>1519</v>
      </c>
      <c r="G71" s="239" t="s">
        <v>47</v>
      </c>
      <c r="H71" s="240">
        <v>60</v>
      </c>
      <c r="I71" s="237"/>
    </row>
    <row r="72" spans="1:9">
      <c r="A72" s="306">
        <v>43336</v>
      </c>
      <c r="B72" s="246">
        <v>16</v>
      </c>
      <c r="C72" s="246">
        <v>57</v>
      </c>
      <c r="D72" s="246">
        <f t="shared" si="2"/>
        <v>41</v>
      </c>
      <c r="E72" s="247" t="str">
        <f t="shared" si="3"/>
        <v>Pass</v>
      </c>
      <c r="F72" s="248">
        <v>1159</v>
      </c>
      <c r="G72" s="239" t="s">
        <v>47</v>
      </c>
      <c r="H72" s="240">
        <v>60</v>
      </c>
      <c r="I72" s="237" t="s">
        <v>56</v>
      </c>
    </row>
    <row r="73" spans="1:9">
      <c r="A73" s="306">
        <v>43340</v>
      </c>
      <c r="B73" s="246">
        <v>31</v>
      </c>
      <c r="C73" s="246">
        <v>341</v>
      </c>
      <c r="D73" s="246">
        <f t="shared" si="2"/>
        <v>310</v>
      </c>
      <c r="E73" s="247" t="str">
        <f t="shared" si="3"/>
        <v>Fail</v>
      </c>
      <c r="F73" s="248" t="s">
        <v>57</v>
      </c>
      <c r="G73" s="239" t="s">
        <v>47</v>
      </c>
      <c r="H73" s="240">
        <v>60</v>
      </c>
      <c r="I73" s="237"/>
    </row>
    <row r="74" spans="1:9">
      <c r="A74" s="306">
        <v>43340</v>
      </c>
      <c r="B74" s="246">
        <v>27</v>
      </c>
      <c r="C74" s="246">
        <v>84</v>
      </c>
      <c r="D74" s="246">
        <f t="shared" si="2"/>
        <v>57</v>
      </c>
      <c r="E74" s="247" t="str">
        <f t="shared" si="3"/>
        <v>Pass</v>
      </c>
      <c r="F74" s="248">
        <v>1340</v>
      </c>
      <c r="G74" s="239" t="s">
        <v>47</v>
      </c>
      <c r="H74" s="240">
        <v>60</v>
      </c>
      <c r="I74" s="237" t="s">
        <v>58</v>
      </c>
    </row>
    <row r="75" spans="1:9">
      <c r="A75" s="306">
        <v>43341</v>
      </c>
      <c r="B75" s="246">
        <v>10</v>
      </c>
      <c r="C75" s="246">
        <v>41</v>
      </c>
      <c r="D75" s="246">
        <f t="shared" si="2"/>
        <v>31</v>
      </c>
      <c r="E75" s="247" t="str">
        <f t="shared" si="3"/>
        <v>Pass</v>
      </c>
      <c r="F75" s="248">
        <v>121</v>
      </c>
      <c r="G75" s="239" t="s">
        <v>47</v>
      </c>
      <c r="H75" s="240">
        <v>60</v>
      </c>
      <c r="I75" s="237"/>
    </row>
    <row r="76" spans="1:9">
      <c r="A76" s="306">
        <v>43344</v>
      </c>
      <c r="B76" s="246">
        <v>30</v>
      </c>
      <c r="C76" s="246">
        <v>82</v>
      </c>
      <c r="D76" s="246">
        <f t="shared" si="2"/>
        <v>52</v>
      </c>
      <c r="E76" s="247" t="str">
        <f t="shared" si="3"/>
        <v>Pass</v>
      </c>
      <c r="F76" s="248">
        <v>1428</v>
      </c>
      <c r="G76" s="239" t="s">
        <v>47</v>
      </c>
      <c r="H76" s="240">
        <v>60</v>
      </c>
      <c r="I76" s="237"/>
    </row>
    <row r="77" spans="1:9">
      <c r="A77" s="306">
        <v>43348</v>
      </c>
      <c r="B77" s="246">
        <v>36</v>
      </c>
      <c r="C77" s="246">
        <v>909</v>
      </c>
      <c r="D77" s="246">
        <f t="shared" si="2"/>
        <v>873</v>
      </c>
      <c r="E77" s="247" t="str">
        <f t="shared" si="3"/>
        <v>Fail</v>
      </c>
      <c r="F77" s="248">
        <v>1335</v>
      </c>
      <c r="G77" s="239" t="s">
        <v>47</v>
      </c>
      <c r="H77" s="240">
        <v>60</v>
      </c>
      <c r="I77" s="237" t="s">
        <v>59</v>
      </c>
    </row>
    <row r="78" spans="1:9">
      <c r="A78" s="306">
        <v>43349</v>
      </c>
      <c r="B78" s="246">
        <v>16</v>
      </c>
      <c r="C78" s="246">
        <v>49</v>
      </c>
      <c r="D78" s="246">
        <f t="shared" si="2"/>
        <v>33</v>
      </c>
      <c r="E78" s="247" t="str">
        <f t="shared" si="3"/>
        <v>Pass</v>
      </c>
      <c r="F78" s="248">
        <v>74</v>
      </c>
      <c r="G78" s="239" t="s">
        <v>47</v>
      </c>
      <c r="H78" s="240">
        <v>60</v>
      </c>
      <c r="I78" s="237"/>
    </row>
    <row r="79" spans="1:9">
      <c r="A79" s="306">
        <v>43356</v>
      </c>
      <c r="B79" s="246">
        <v>24</v>
      </c>
      <c r="C79" s="246">
        <v>260</v>
      </c>
      <c r="D79" s="246">
        <f t="shared" si="2"/>
        <v>236</v>
      </c>
      <c r="E79" s="247" t="str">
        <f t="shared" si="3"/>
        <v>Fail</v>
      </c>
      <c r="F79" s="248">
        <v>1159</v>
      </c>
      <c r="G79" s="239" t="s">
        <v>47</v>
      </c>
      <c r="H79" s="240">
        <v>60</v>
      </c>
      <c r="I79" s="237" t="s">
        <v>59</v>
      </c>
    </row>
    <row r="80" spans="1:9">
      <c r="A80" s="306">
        <v>43357</v>
      </c>
      <c r="B80" s="245">
        <v>25</v>
      </c>
      <c r="C80" s="245">
        <v>69</v>
      </c>
      <c r="D80" s="245">
        <f t="shared" si="2"/>
        <v>44</v>
      </c>
      <c r="E80" s="238" t="str">
        <f t="shared" si="3"/>
        <v>Pass</v>
      </c>
      <c r="F80" s="248">
        <v>1159</v>
      </c>
      <c r="G80" s="239" t="s">
        <v>47</v>
      </c>
      <c r="H80" s="240">
        <v>60</v>
      </c>
      <c r="I80" s="237"/>
    </row>
    <row r="81" spans="1:9">
      <c r="A81" s="306">
        <v>43362</v>
      </c>
      <c r="B81" s="245">
        <v>30</v>
      </c>
      <c r="C81" s="245">
        <v>108</v>
      </c>
      <c r="D81" s="245">
        <f t="shared" si="2"/>
        <v>78</v>
      </c>
      <c r="E81" s="238" t="str">
        <f t="shared" si="3"/>
        <v>Fail</v>
      </c>
      <c r="F81" s="248">
        <v>1340</v>
      </c>
      <c r="G81" s="239" t="s">
        <v>47</v>
      </c>
      <c r="H81" s="240">
        <v>60</v>
      </c>
      <c r="I81" s="250" t="s">
        <v>60</v>
      </c>
    </row>
    <row r="82" spans="1:9">
      <c r="A82" s="306">
        <v>43362</v>
      </c>
      <c r="B82" s="245">
        <v>22</v>
      </c>
      <c r="C82" s="245">
        <v>133</v>
      </c>
      <c r="D82" s="245">
        <f t="shared" si="2"/>
        <v>111</v>
      </c>
      <c r="E82" s="238" t="str">
        <f t="shared" si="3"/>
        <v>Fail</v>
      </c>
      <c r="F82" s="248">
        <v>1340</v>
      </c>
      <c r="G82" s="239" t="s">
        <v>47</v>
      </c>
      <c r="H82" s="240">
        <v>60</v>
      </c>
      <c r="I82" s="250" t="s">
        <v>60</v>
      </c>
    </row>
    <row r="83" spans="1:9">
      <c r="A83" s="306">
        <v>43362</v>
      </c>
      <c r="B83" s="245">
        <v>18</v>
      </c>
      <c r="C83" s="245">
        <v>45</v>
      </c>
      <c r="D83" s="245">
        <f t="shared" si="2"/>
        <v>27</v>
      </c>
      <c r="E83" s="238" t="str">
        <f t="shared" si="3"/>
        <v>Pass</v>
      </c>
      <c r="F83" s="248">
        <v>1159</v>
      </c>
      <c r="G83" s="239" t="s">
        <v>47</v>
      </c>
      <c r="H83" s="240">
        <v>60</v>
      </c>
      <c r="I83" s="250" t="s">
        <v>61</v>
      </c>
    </row>
    <row r="84" spans="1:9">
      <c r="A84" s="306">
        <v>43367</v>
      </c>
      <c r="B84" s="245">
        <v>6</v>
      </c>
      <c r="C84" s="245">
        <v>218</v>
      </c>
      <c r="D84" s="245">
        <f t="shared" si="2"/>
        <v>212</v>
      </c>
      <c r="E84" s="238" t="str">
        <f t="shared" si="3"/>
        <v>Fail</v>
      </c>
      <c r="F84" s="248">
        <v>1340</v>
      </c>
      <c r="G84" s="239" t="s">
        <v>47</v>
      </c>
      <c r="H84" s="240">
        <v>60</v>
      </c>
      <c r="I84" s="237"/>
    </row>
    <row r="85" spans="1:9">
      <c r="A85" s="306">
        <v>43370</v>
      </c>
      <c r="B85" s="245">
        <v>16</v>
      </c>
      <c r="C85" s="245">
        <v>20</v>
      </c>
      <c r="D85" s="245">
        <f t="shared" si="2"/>
        <v>4</v>
      </c>
      <c r="E85" s="238" t="str">
        <f t="shared" si="3"/>
        <v>Pass</v>
      </c>
      <c r="F85" s="248">
        <v>1340</v>
      </c>
      <c r="G85" s="239" t="s">
        <v>47</v>
      </c>
      <c r="H85" s="240">
        <v>60</v>
      </c>
      <c r="I85" s="237"/>
    </row>
    <row r="86" spans="1:9">
      <c r="A86" s="306">
        <v>43375</v>
      </c>
      <c r="B86" s="245">
        <v>14</v>
      </c>
      <c r="C86" s="245">
        <v>31</v>
      </c>
      <c r="D86" s="245">
        <f t="shared" si="2"/>
        <v>17</v>
      </c>
      <c r="E86" s="238" t="str">
        <f t="shared" si="3"/>
        <v>Pass</v>
      </c>
      <c r="F86" s="243">
        <v>1534</v>
      </c>
      <c r="G86" s="239" t="s">
        <v>47</v>
      </c>
      <c r="H86" s="240">
        <v>60</v>
      </c>
      <c r="I86" s="237"/>
    </row>
    <row r="87" spans="1:9">
      <c r="A87" s="306">
        <v>43378</v>
      </c>
      <c r="B87" s="245">
        <v>26</v>
      </c>
      <c r="C87" s="245">
        <v>37</v>
      </c>
      <c r="D87" s="245">
        <f t="shared" si="2"/>
        <v>11</v>
      </c>
      <c r="E87" s="238" t="str">
        <f t="shared" si="3"/>
        <v>Pass</v>
      </c>
      <c r="F87" s="243">
        <v>1340</v>
      </c>
      <c r="G87" s="239" t="s">
        <v>47</v>
      </c>
      <c r="H87" s="240">
        <v>60</v>
      </c>
      <c r="I87" s="237"/>
    </row>
    <row r="88" spans="1:9">
      <c r="A88" s="306">
        <v>43382</v>
      </c>
      <c r="B88" s="245">
        <v>19</v>
      </c>
      <c r="C88" s="245">
        <v>43</v>
      </c>
      <c r="D88" s="245">
        <f t="shared" si="2"/>
        <v>24</v>
      </c>
      <c r="E88" s="238" t="str">
        <f t="shared" si="3"/>
        <v>Pass</v>
      </c>
      <c r="F88" s="243">
        <v>1335</v>
      </c>
      <c r="G88" s="239" t="s">
        <v>47</v>
      </c>
      <c r="H88" s="240">
        <v>60</v>
      </c>
      <c r="I88" s="237"/>
    </row>
    <row r="89" spans="1:9">
      <c r="A89" s="306">
        <v>43385</v>
      </c>
      <c r="B89" s="245">
        <v>36</v>
      </c>
      <c r="C89" s="245">
        <v>68</v>
      </c>
      <c r="D89" s="245">
        <f t="shared" si="2"/>
        <v>32</v>
      </c>
      <c r="E89" s="238" t="str">
        <f t="shared" si="3"/>
        <v>Pass</v>
      </c>
      <c r="F89" s="243">
        <v>102</v>
      </c>
      <c r="G89" s="239" t="s">
        <v>47</v>
      </c>
      <c r="H89" s="240">
        <v>60</v>
      </c>
      <c r="I89" s="237"/>
    </row>
    <row r="90" spans="1:9">
      <c r="A90" s="306">
        <v>43388</v>
      </c>
      <c r="B90" s="245">
        <v>13</v>
      </c>
      <c r="C90" s="245">
        <v>82</v>
      </c>
      <c r="D90" s="245">
        <f t="shared" si="2"/>
        <v>69</v>
      </c>
      <c r="E90" s="238" t="str">
        <f t="shared" si="3"/>
        <v>Fail</v>
      </c>
      <c r="F90" s="243">
        <v>1340</v>
      </c>
      <c r="G90" s="239" t="s">
        <v>47</v>
      </c>
      <c r="H90" s="240">
        <v>60</v>
      </c>
      <c r="I90" s="237"/>
    </row>
    <row r="91" spans="1:9">
      <c r="A91" s="306">
        <v>43388</v>
      </c>
      <c r="B91" s="245">
        <v>22</v>
      </c>
      <c r="C91" s="245">
        <v>31</v>
      </c>
      <c r="D91" s="245">
        <f t="shared" si="2"/>
        <v>9</v>
      </c>
      <c r="E91" s="238" t="str">
        <f t="shared" si="3"/>
        <v>Pass</v>
      </c>
      <c r="F91" s="243">
        <v>1340</v>
      </c>
      <c r="G91" s="239" t="s">
        <v>47</v>
      </c>
      <c r="H91" s="240">
        <v>60</v>
      </c>
      <c r="I91" s="237"/>
    </row>
    <row r="92" spans="1:9">
      <c r="A92" s="306">
        <v>43391</v>
      </c>
      <c r="B92" s="237">
        <v>4</v>
      </c>
      <c r="C92" s="237">
        <v>49</v>
      </c>
      <c r="D92" s="237">
        <f t="shared" si="2"/>
        <v>45</v>
      </c>
      <c r="E92" s="238" t="str">
        <f t="shared" si="3"/>
        <v>Pass</v>
      </c>
      <c r="F92" s="244">
        <v>121</v>
      </c>
      <c r="G92" s="239" t="s">
        <v>47</v>
      </c>
      <c r="H92" s="240">
        <v>60</v>
      </c>
      <c r="I92" s="251"/>
    </row>
    <row r="93" spans="1:9">
      <c r="A93" s="306">
        <v>43395</v>
      </c>
      <c r="B93" s="237">
        <v>9</v>
      </c>
      <c r="C93" s="237">
        <v>33</v>
      </c>
      <c r="D93" s="237">
        <f t="shared" si="2"/>
        <v>24</v>
      </c>
      <c r="E93" s="238" t="str">
        <f t="shared" si="3"/>
        <v>Pass</v>
      </c>
      <c r="F93" s="244">
        <v>121</v>
      </c>
      <c r="G93" s="239" t="s">
        <v>47</v>
      </c>
      <c r="H93" s="240">
        <v>60</v>
      </c>
      <c r="I93" s="237"/>
    </row>
    <row r="94" spans="1:9">
      <c r="A94" s="306">
        <v>43398</v>
      </c>
      <c r="B94" s="237">
        <v>36</v>
      </c>
      <c r="C94" s="237">
        <v>165</v>
      </c>
      <c r="D94" s="237">
        <f t="shared" si="2"/>
        <v>129</v>
      </c>
      <c r="E94" s="238" t="str">
        <f t="shared" si="3"/>
        <v>Fail</v>
      </c>
      <c r="F94" s="244">
        <v>121</v>
      </c>
      <c r="G94" s="239" t="s">
        <v>47</v>
      </c>
      <c r="H94" s="240">
        <v>60</v>
      </c>
      <c r="I94" s="237" t="s">
        <v>62</v>
      </c>
    </row>
    <row r="95" spans="1:9">
      <c r="A95" s="306">
        <v>43401</v>
      </c>
      <c r="B95" s="237">
        <v>32</v>
      </c>
      <c r="C95" s="237">
        <v>44</v>
      </c>
      <c r="D95" s="237">
        <f t="shared" si="2"/>
        <v>12</v>
      </c>
      <c r="E95" s="238" t="str">
        <f t="shared" si="3"/>
        <v>Pass</v>
      </c>
      <c r="F95" s="244">
        <v>1340</v>
      </c>
      <c r="G95" s="239" t="s">
        <v>47</v>
      </c>
      <c r="H95" s="240">
        <v>60</v>
      </c>
      <c r="I95" s="237"/>
    </row>
    <row r="96" spans="1:9">
      <c r="A96" s="306">
        <v>43402</v>
      </c>
      <c r="B96" s="237">
        <v>43</v>
      </c>
      <c r="C96" s="237">
        <v>34</v>
      </c>
      <c r="D96" s="237">
        <f t="shared" si="2"/>
        <v>-9</v>
      </c>
      <c r="E96" s="238" t="str">
        <f t="shared" si="3"/>
        <v>Pass</v>
      </c>
      <c r="F96" s="244">
        <v>1428</v>
      </c>
      <c r="G96" s="239" t="s">
        <v>47</v>
      </c>
      <c r="H96" s="240">
        <v>60</v>
      </c>
      <c r="I96" s="237"/>
    </row>
    <row r="97" spans="1:9">
      <c r="A97" s="306">
        <v>43405</v>
      </c>
      <c r="B97" s="237">
        <v>18</v>
      </c>
      <c r="C97" s="237">
        <v>32</v>
      </c>
      <c r="D97" s="237">
        <f t="shared" si="2"/>
        <v>14</v>
      </c>
      <c r="E97" s="238" t="str">
        <f t="shared" si="3"/>
        <v>Pass</v>
      </c>
      <c r="F97" s="244">
        <v>64</v>
      </c>
      <c r="G97" s="239" t="s">
        <v>47</v>
      </c>
      <c r="H97" s="240">
        <v>60</v>
      </c>
      <c r="I97" s="237"/>
    </row>
    <row r="98" spans="1:9">
      <c r="A98" s="306">
        <v>43405</v>
      </c>
      <c r="B98" s="237">
        <v>10</v>
      </c>
      <c r="C98" s="237">
        <v>33</v>
      </c>
      <c r="D98" s="237">
        <f t="shared" si="2"/>
        <v>23</v>
      </c>
      <c r="E98" s="238" t="str">
        <f t="shared" si="3"/>
        <v>Pass</v>
      </c>
      <c r="F98" s="244">
        <v>1335</v>
      </c>
      <c r="G98" s="239" t="s">
        <v>47</v>
      </c>
      <c r="H98" s="240">
        <v>60</v>
      </c>
      <c r="I98" s="237"/>
    </row>
    <row r="99" spans="1:9">
      <c r="A99" s="306">
        <v>43413</v>
      </c>
      <c r="B99" s="237">
        <v>10</v>
      </c>
      <c r="C99" s="237">
        <v>189</v>
      </c>
      <c r="D99" s="237">
        <f t="shared" si="2"/>
        <v>179</v>
      </c>
      <c r="E99" s="238" t="str">
        <f t="shared" si="3"/>
        <v>Fail</v>
      </c>
      <c r="F99" s="244">
        <v>1428</v>
      </c>
      <c r="G99" s="239" t="s">
        <v>47</v>
      </c>
      <c r="H99" s="240">
        <v>60</v>
      </c>
      <c r="I99" s="237"/>
    </row>
    <row r="100" spans="1:9">
      <c r="A100" s="306">
        <v>43415</v>
      </c>
      <c r="B100" s="237">
        <v>13</v>
      </c>
      <c r="C100" s="237">
        <v>40</v>
      </c>
      <c r="D100" s="237">
        <f t="shared" si="2"/>
        <v>27</v>
      </c>
      <c r="E100" s="238" t="str">
        <f t="shared" si="3"/>
        <v>Pass</v>
      </c>
      <c r="F100" s="244">
        <v>1340</v>
      </c>
      <c r="G100" s="239" t="s">
        <v>47</v>
      </c>
      <c r="H100" s="240">
        <v>60</v>
      </c>
      <c r="I100" s="237"/>
    </row>
    <row r="101" spans="1:9">
      <c r="A101" s="306">
        <v>43420</v>
      </c>
      <c r="B101" s="237">
        <v>24</v>
      </c>
      <c r="C101" s="237">
        <v>61</v>
      </c>
      <c r="D101" s="237">
        <f t="shared" si="2"/>
        <v>37</v>
      </c>
      <c r="E101" s="238" t="str">
        <f t="shared" si="3"/>
        <v>Pass</v>
      </c>
      <c r="F101" s="244">
        <v>1428</v>
      </c>
      <c r="G101" s="239" t="s">
        <v>47</v>
      </c>
      <c r="H101" s="240">
        <v>60</v>
      </c>
      <c r="I101" s="237"/>
    </row>
    <row r="102" spans="1:9">
      <c r="A102" s="306">
        <v>43420</v>
      </c>
      <c r="B102" s="237">
        <v>24</v>
      </c>
      <c r="C102" s="237">
        <v>35</v>
      </c>
      <c r="D102" s="237">
        <f t="shared" si="2"/>
        <v>11</v>
      </c>
      <c r="E102" s="238" t="str">
        <f t="shared" si="3"/>
        <v>Pass</v>
      </c>
      <c r="F102" s="244">
        <v>1335</v>
      </c>
      <c r="G102" s="239" t="s">
        <v>47</v>
      </c>
      <c r="H102" s="240">
        <v>60</v>
      </c>
      <c r="I102" s="237"/>
    </row>
    <row r="103" spans="1:9">
      <c r="A103" s="306">
        <v>43438</v>
      </c>
      <c r="B103" s="237">
        <v>27</v>
      </c>
      <c r="C103" s="237">
        <v>40</v>
      </c>
      <c r="D103" s="237">
        <f t="shared" si="2"/>
        <v>13</v>
      </c>
      <c r="E103" s="238" t="str">
        <f t="shared" si="3"/>
        <v>Pass</v>
      </c>
      <c r="F103" s="244">
        <v>1340</v>
      </c>
      <c r="G103" s="239" t="s">
        <v>47</v>
      </c>
      <c r="H103" s="240">
        <v>60</v>
      </c>
      <c r="I103" s="237"/>
    </row>
    <row r="104" spans="1:9">
      <c r="A104" s="306">
        <v>43452</v>
      </c>
      <c r="B104" s="237">
        <v>30</v>
      </c>
      <c r="C104" s="237">
        <v>40</v>
      </c>
      <c r="D104" s="237">
        <f t="shared" si="2"/>
        <v>10</v>
      </c>
      <c r="E104" s="238" t="str">
        <f t="shared" si="3"/>
        <v>Pass</v>
      </c>
      <c r="F104" s="244">
        <v>1340</v>
      </c>
      <c r="G104" s="239" t="s">
        <v>47</v>
      </c>
      <c r="H104" s="240">
        <v>60</v>
      </c>
      <c r="I104" s="237"/>
    </row>
    <row r="105" spans="1:9">
      <c r="A105" s="306">
        <v>43458</v>
      </c>
      <c r="B105" s="237">
        <v>48</v>
      </c>
      <c r="C105" s="237">
        <v>71</v>
      </c>
      <c r="D105" s="237">
        <f t="shared" si="2"/>
        <v>23</v>
      </c>
      <c r="E105" s="238" t="str">
        <f t="shared" si="3"/>
        <v>Pass</v>
      </c>
      <c r="F105" s="244">
        <v>1428</v>
      </c>
      <c r="G105" s="239" t="s">
        <v>47</v>
      </c>
      <c r="H105" s="240">
        <v>60</v>
      </c>
      <c r="I105" s="237"/>
    </row>
    <row r="106" spans="1:9">
      <c r="A106" s="306">
        <v>43462</v>
      </c>
      <c r="B106" s="237">
        <v>26</v>
      </c>
      <c r="C106" s="237">
        <v>48</v>
      </c>
      <c r="D106" s="237">
        <f t="shared" si="2"/>
        <v>22</v>
      </c>
      <c r="E106" s="238" t="str">
        <f t="shared" si="3"/>
        <v>Pass</v>
      </c>
      <c r="F106" s="244">
        <v>1340</v>
      </c>
      <c r="G106" s="239" t="s">
        <v>47</v>
      </c>
      <c r="H106" s="240">
        <v>60</v>
      </c>
      <c r="I106" s="237"/>
    </row>
    <row r="107" spans="1:9">
      <c r="A107" s="306">
        <v>43466</v>
      </c>
      <c r="B107" s="237">
        <v>12</v>
      </c>
      <c r="C107" s="237">
        <v>14</v>
      </c>
      <c r="D107" s="237">
        <f>IF(((C107="")*AND(B107="")),"",(C107-B107))</f>
        <v>2</v>
      </c>
      <c r="E107" s="238" t="str">
        <f>IF(D107="","",IF(D107&lt;60,"Pass","Fail"))</f>
        <v>Pass</v>
      </c>
      <c r="F107" s="244">
        <v>1340</v>
      </c>
      <c r="G107" s="239" t="s">
        <v>47</v>
      </c>
      <c r="H107" s="240">
        <v>60</v>
      </c>
      <c r="I107" s="237"/>
    </row>
    <row r="108" spans="1:9" customFormat="1" ht="12.75" customHeight="1">
      <c r="A108" s="306">
        <v>43476</v>
      </c>
      <c r="B108" s="237">
        <v>21</v>
      </c>
      <c r="C108" s="237">
        <v>255</v>
      </c>
      <c r="D108" s="237">
        <f t="shared" ref="D108:D126" si="4">IF(((C108="")*AND(B108="")),"",(C108-B108))</f>
        <v>234</v>
      </c>
      <c r="E108" s="30" t="str">
        <f t="shared" ref="E108:E142" si="5">IF(D108="","",IF(D108&lt;60,"Pass","Fail"))</f>
        <v>Fail</v>
      </c>
      <c r="F108" s="244">
        <v>121</v>
      </c>
      <c r="G108" s="295" t="s">
        <v>47</v>
      </c>
      <c r="H108" s="240">
        <v>60</v>
      </c>
      <c r="I108" s="237" t="s">
        <v>149</v>
      </c>
    </row>
    <row r="109" spans="1:9" customFormat="1" ht="15.75">
      <c r="A109" s="306">
        <v>43115</v>
      </c>
      <c r="B109" s="237">
        <v>9</v>
      </c>
      <c r="C109" s="237">
        <v>128</v>
      </c>
      <c r="D109" s="237">
        <f t="shared" si="4"/>
        <v>119</v>
      </c>
      <c r="E109" s="30" t="str">
        <f t="shared" si="5"/>
        <v>Fail</v>
      </c>
      <c r="F109" s="244">
        <v>1340</v>
      </c>
      <c r="G109" s="295" t="s">
        <v>47</v>
      </c>
      <c r="H109" s="240">
        <v>60</v>
      </c>
      <c r="I109" s="237" t="s">
        <v>149</v>
      </c>
    </row>
    <row r="110" spans="1:9" customFormat="1" ht="15.75">
      <c r="A110" s="306">
        <v>43115</v>
      </c>
      <c r="B110" s="237">
        <v>11</v>
      </c>
      <c r="C110" s="237">
        <v>36</v>
      </c>
      <c r="D110" s="237">
        <f t="shared" si="4"/>
        <v>25</v>
      </c>
      <c r="E110" s="30" t="str">
        <f t="shared" si="5"/>
        <v>Pass</v>
      </c>
      <c r="F110" s="244" t="s">
        <v>150</v>
      </c>
      <c r="G110" s="295" t="s">
        <v>47</v>
      </c>
      <c r="H110" s="240">
        <v>60</v>
      </c>
      <c r="I110" s="237"/>
    </row>
    <row r="111" spans="1:9" customFormat="1" ht="15.75">
      <c r="A111" s="306">
        <v>43115</v>
      </c>
      <c r="B111" s="237">
        <v>13</v>
      </c>
      <c r="C111" s="237">
        <v>32</v>
      </c>
      <c r="D111" s="237">
        <f t="shared" si="4"/>
        <v>19</v>
      </c>
      <c r="E111" s="30" t="str">
        <f t="shared" si="5"/>
        <v>Pass</v>
      </c>
      <c r="F111" s="244" t="s">
        <v>150</v>
      </c>
      <c r="G111" s="295" t="s">
        <v>47</v>
      </c>
      <c r="H111" s="240">
        <v>60</v>
      </c>
      <c r="I111" s="237"/>
    </row>
    <row r="112" spans="1:9" customFormat="1" ht="15.75">
      <c r="A112" s="306">
        <v>43487</v>
      </c>
      <c r="B112" s="237">
        <v>10</v>
      </c>
      <c r="C112" s="237">
        <v>51</v>
      </c>
      <c r="D112" s="237">
        <f t="shared" si="4"/>
        <v>41</v>
      </c>
      <c r="E112" s="30" t="str">
        <f t="shared" si="5"/>
        <v>Pass</v>
      </c>
      <c r="F112" s="244">
        <v>1335</v>
      </c>
      <c r="G112" s="295" t="s">
        <v>47</v>
      </c>
      <c r="H112" s="240">
        <v>60</v>
      </c>
      <c r="I112" s="237"/>
    </row>
    <row r="113" spans="1:9" customFormat="1" ht="15.75">
      <c r="A113" s="306">
        <v>43493</v>
      </c>
      <c r="B113" s="237">
        <v>13</v>
      </c>
      <c r="C113" s="237">
        <v>30</v>
      </c>
      <c r="D113" s="237">
        <f t="shared" si="4"/>
        <v>17</v>
      </c>
      <c r="E113" s="30" t="str">
        <f t="shared" si="5"/>
        <v>Pass</v>
      </c>
      <c r="F113" s="303" t="s">
        <v>98</v>
      </c>
      <c r="G113" s="295" t="s">
        <v>47</v>
      </c>
      <c r="H113" s="240">
        <v>60</v>
      </c>
      <c r="I113" s="237"/>
    </row>
    <row r="114" spans="1:9" customFormat="1" ht="15.75">
      <c r="A114" s="306">
        <v>43497</v>
      </c>
      <c r="B114" s="237">
        <v>32</v>
      </c>
      <c r="C114" s="237">
        <v>56</v>
      </c>
      <c r="D114" s="237">
        <f t="shared" si="4"/>
        <v>24</v>
      </c>
      <c r="E114" s="30" t="str">
        <f t="shared" si="5"/>
        <v>Pass</v>
      </c>
      <c r="F114" s="338">
        <v>121</v>
      </c>
      <c r="G114" s="237" t="s">
        <v>47</v>
      </c>
      <c r="H114" s="240">
        <v>60</v>
      </c>
      <c r="I114" s="237"/>
    </row>
    <row r="115" spans="1:9" customFormat="1" ht="15.75">
      <c r="A115" s="306">
        <v>43502</v>
      </c>
      <c r="B115" s="237">
        <v>18</v>
      </c>
      <c r="C115" s="237">
        <v>29</v>
      </c>
      <c r="D115" s="237">
        <f t="shared" si="4"/>
        <v>11</v>
      </c>
      <c r="E115" s="30" t="str">
        <f t="shared" si="5"/>
        <v>Pass</v>
      </c>
      <c r="F115" s="338">
        <v>102</v>
      </c>
      <c r="G115" s="237" t="s">
        <v>47</v>
      </c>
      <c r="H115" s="240">
        <v>60</v>
      </c>
      <c r="I115" s="237"/>
    </row>
    <row r="116" spans="1:9" customFormat="1" ht="15.75">
      <c r="A116" s="306">
        <v>43510</v>
      </c>
      <c r="B116" s="237">
        <v>20</v>
      </c>
      <c r="C116" s="237">
        <v>82</v>
      </c>
      <c r="D116" s="237">
        <f t="shared" si="4"/>
        <v>62</v>
      </c>
      <c r="E116" s="30" t="str">
        <f t="shared" si="5"/>
        <v>Fail</v>
      </c>
      <c r="F116" s="244" t="s">
        <v>151</v>
      </c>
      <c r="G116" s="237" t="s">
        <v>47</v>
      </c>
      <c r="H116" s="240">
        <v>60</v>
      </c>
      <c r="I116" s="237"/>
    </row>
    <row r="117" spans="1:9" customFormat="1" ht="15.75">
      <c r="A117" s="306">
        <v>43510</v>
      </c>
      <c r="B117" s="237">
        <v>10</v>
      </c>
      <c r="C117" s="237">
        <v>46</v>
      </c>
      <c r="D117" s="237">
        <f t="shared" si="4"/>
        <v>36</v>
      </c>
      <c r="E117" s="30" t="str">
        <f t="shared" si="5"/>
        <v>Pass</v>
      </c>
      <c r="F117" s="244" t="s">
        <v>151</v>
      </c>
      <c r="G117" s="237" t="s">
        <v>47</v>
      </c>
      <c r="H117" s="240">
        <v>60</v>
      </c>
      <c r="I117" s="237"/>
    </row>
    <row r="118" spans="1:9" customFormat="1" ht="15.75">
      <c r="A118" s="306">
        <v>43510</v>
      </c>
      <c r="B118" s="237">
        <v>19</v>
      </c>
      <c r="C118" s="237">
        <v>38</v>
      </c>
      <c r="D118" s="335">
        <f t="shared" si="4"/>
        <v>19</v>
      </c>
      <c r="E118" s="30" t="str">
        <f t="shared" si="5"/>
        <v>Pass</v>
      </c>
      <c r="F118" s="244" t="s">
        <v>151</v>
      </c>
      <c r="G118" s="237" t="s">
        <v>47</v>
      </c>
      <c r="H118" s="240">
        <v>60</v>
      </c>
      <c r="I118" s="237"/>
    </row>
    <row r="119" spans="1:9" customFormat="1" ht="15.75">
      <c r="A119" s="306">
        <v>43514</v>
      </c>
      <c r="B119" s="237">
        <v>17</v>
      </c>
      <c r="C119" s="237">
        <v>54</v>
      </c>
      <c r="D119" s="335">
        <f t="shared" si="4"/>
        <v>37</v>
      </c>
      <c r="E119" s="30" t="str">
        <f t="shared" si="5"/>
        <v>Pass</v>
      </c>
      <c r="F119" s="244">
        <v>1340</v>
      </c>
      <c r="G119" s="237" t="s">
        <v>47</v>
      </c>
      <c r="H119" s="240">
        <v>60</v>
      </c>
      <c r="I119" s="237"/>
    </row>
    <row r="120" spans="1:9" customFormat="1" ht="15.75">
      <c r="A120" s="306">
        <v>43522</v>
      </c>
      <c r="B120" s="336">
        <v>41</v>
      </c>
      <c r="C120" s="336">
        <v>131</v>
      </c>
      <c r="D120" s="335">
        <f t="shared" si="4"/>
        <v>90</v>
      </c>
      <c r="E120" s="189" t="str">
        <f t="shared" si="5"/>
        <v>Fail</v>
      </c>
      <c r="F120" s="337">
        <v>1340</v>
      </c>
      <c r="G120" s="237" t="s">
        <v>47</v>
      </c>
      <c r="H120" s="240">
        <v>60</v>
      </c>
      <c r="I120" s="237"/>
    </row>
    <row r="121" spans="1:9" customFormat="1" ht="15.75">
      <c r="A121" s="306">
        <v>43522</v>
      </c>
      <c r="B121" s="336">
        <v>41</v>
      </c>
      <c r="C121" s="336">
        <v>64</v>
      </c>
      <c r="D121" s="335">
        <f t="shared" si="4"/>
        <v>23</v>
      </c>
      <c r="E121" s="189" t="str">
        <f t="shared" si="5"/>
        <v>Pass</v>
      </c>
      <c r="F121" s="337">
        <v>1340</v>
      </c>
      <c r="G121" s="237" t="s">
        <v>47</v>
      </c>
      <c r="H121" s="240">
        <v>60</v>
      </c>
      <c r="I121" s="237"/>
    </row>
    <row r="122" spans="1:9" customFormat="1" ht="15.75">
      <c r="A122" s="306">
        <v>43522</v>
      </c>
      <c r="B122" s="237">
        <v>37</v>
      </c>
      <c r="C122" s="237">
        <v>63</v>
      </c>
      <c r="D122" s="241">
        <f t="shared" si="4"/>
        <v>26</v>
      </c>
      <c r="E122" s="30" t="str">
        <f t="shared" si="5"/>
        <v>Pass</v>
      </c>
      <c r="F122" s="244" t="s">
        <v>150</v>
      </c>
      <c r="G122" s="237" t="s">
        <v>47</v>
      </c>
      <c r="H122" s="240">
        <v>60</v>
      </c>
      <c r="I122" s="237"/>
    </row>
    <row r="123" spans="1:9" customFormat="1" ht="15.75">
      <c r="A123" s="306">
        <v>43528</v>
      </c>
      <c r="B123" s="237">
        <v>45</v>
      </c>
      <c r="C123" s="237">
        <v>100</v>
      </c>
      <c r="D123" s="241">
        <f t="shared" si="4"/>
        <v>55</v>
      </c>
      <c r="E123" s="30" t="str">
        <f t="shared" si="5"/>
        <v>Pass</v>
      </c>
      <c r="F123" s="244">
        <v>1159</v>
      </c>
      <c r="G123" s="237" t="s">
        <v>47</v>
      </c>
      <c r="H123" s="240">
        <v>60</v>
      </c>
      <c r="I123" s="237"/>
    </row>
    <row r="124" spans="1:9" customFormat="1" ht="15.75">
      <c r="A124" s="306">
        <v>43546</v>
      </c>
      <c r="B124" s="237">
        <v>15</v>
      </c>
      <c r="C124" s="237">
        <v>36</v>
      </c>
      <c r="D124" s="241">
        <f t="shared" si="4"/>
        <v>21</v>
      </c>
      <c r="E124" s="30" t="str">
        <f t="shared" si="5"/>
        <v>Pass</v>
      </c>
      <c r="F124" s="244">
        <v>1340</v>
      </c>
      <c r="G124" s="237" t="s">
        <v>47</v>
      </c>
      <c r="H124" s="240">
        <v>60</v>
      </c>
      <c r="I124" s="237"/>
    </row>
    <row r="125" spans="1:9" customFormat="1" ht="15.75">
      <c r="A125" s="306">
        <v>43549</v>
      </c>
      <c r="B125" s="237">
        <v>16</v>
      </c>
      <c r="C125" s="237">
        <v>53</v>
      </c>
      <c r="D125" s="241">
        <f t="shared" si="4"/>
        <v>37</v>
      </c>
      <c r="E125" s="30" t="str">
        <f t="shared" si="5"/>
        <v>Pass</v>
      </c>
      <c r="F125" s="244">
        <v>1159</v>
      </c>
      <c r="G125" s="237" t="s">
        <v>47</v>
      </c>
      <c r="H125" s="240">
        <v>60</v>
      </c>
      <c r="I125" s="237"/>
    </row>
    <row r="126" spans="1:9" customFormat="1" ht="15.75">
      <c r="A126" s="306">
        <v>43552</v>
      </c>
      <c r="B126" s="237">
        <v>33</v>
      </c>
      <c r="C126" s="237">
        <v>83</v>
      </c>
      <c r="D126" s="241">
        <f t="shared" si="4"/>
        <v>50</v>
      </c>
      <c r="E126" s="30" t="str">
        <f t="shared" si="5"/>
        <v>Pass</v>
      </c>
      <c r="F126" s="244">
        <v>1159</v>
      </c>
      <c r="G126" s="237" t="s">
        <v>47</v>
      </c>
      <c r="H126" s="240">
        <v>60</v>
      </c>
      <c r="I126" s="237"/>
    </row>
    <row r="127" spans="1:9" customFormat="1" ht="15.75">
      <c r="A127" s="306">
        <v>43558</v>
      </c>
      <c r="B127" s="237">
        <v>17</v>
      </c>
      <c r="C127" s="237">
        <v>34</v>
      </c>
      <c r="D127" s="241">
        <f>IF(((C127="")*AND(B127="")),"",(C127-B127))</f>
        <v>17</v>
      </c>
      <c r="E127" s="30" t="str">
        <f t="shared" si="5"/>
        <v>Pass</v>
      </c>
      <c r="F127" s="244">
        <v>1340</v>
      </c>
      <c r="G127" s="295" t="s">
        <v>47</v>
      </c>
      <c r="H127" s="240">
        <v>60</v>
      </c>
      <c r="I127" s="237"/>
    </row>
    <row r="128" spans="1:9" customFormat="1" ht="15.75">
      <c r="A128" s="306">
        <v>43564</v>
      </c>
      <c r="B128" s="237">
        <v>17</v>
      </c>
      <c r="C128" s="237">
        <v>10</v>
      </c>
      <c r="D128" s="241">
        <f>IF(((C128="")*AND(B128="")),"",(C128-B128))</f>
        <v>-7</v>
      </c>
      <c r="E128" s="30" t="str">
        <f t="shared" si="5"/>
        <v>Pass</v>
      </c>
      <c r="F128" s="244">
        <v>1159</v>
      </c>
      <c r="G128" s="295" t="s">
        <v>47</v>
      </c>
      <c r="H128" s="240">
        <v>60</v>
      </c>
      <c r="I128" s="237"/>
    </row>
    <row r="129" spans="1:9" customFormat="1" ht="15.75">
      <c r="A129" s="306">
        <v>43569</v>
      </c>
      <c r="B129" s="237">
        <v>27</v>
      </c>
      <c r="C129" s="237">
        <v>533</v>
      </c>
      <c r="D129" s="241">
        <f>IF(((C129="")*AND(B129="")),"",(C129-B129))</f>
        <v>506</v>
      </c>
      <c r="E129" s="30" t="str">
        <f t="shared" si="5"/>
        <v>Fail</v>
      </c>
      <c r="F129" s="244">
        <v>102</v>
      </c>
      <c r="G129" s="295" t="s">
        <v>47</v>
      </c>
      <c r="H129" s="240">
        <v>60</v>
      </c>
      <c r="I129" s="237" t="s">
        <v>59</v>
      </c>
    </row>
    <row r="130" spans="1:9" customFormat="1" ht="15.75">
      <c r="A130" s="306">
        <v>43569</v>
      </c>
      <c r="B130" s="237">
        <v>11</v>
      </c>
      <c r="C130" s="237">
        <v>147</v>
      </c>
      <c r="D130" s="241">
        <f>IF(((C130="")*AND(B130="")),"",(C130-B130))</f>
        <v>136</v>
      </c>
      <c r="E130" s="30" t="str">
        <f t="shared" si="5"/>
        <v>Fail</v>
      </c>
      <c r="F130" s="244">
        <v>102</v>
      </c>
      <c r="G130" s="295" t="s">
        <v>47</v>
      </c>
      <c r="H130" s="240">
        <v>60</v>
      </c>
      <c r="I130" s="296" t="s">
        <v>152</v>
      </c>
    </row>
    <row r="131" spans="1:9" customFormat="1" ht="15.75">
      <c r="A131" s="306">
        <v>43570</v>
      </c>
      <c r="B131" s="237">
        <v>11</v>
      </c>
      <c r="C131" s="237">
        <v>48</v>
      </c>
      <c r="D131" s="241">
        <f>IF(((C131="")*AND(B131="")),"",(C131-B131))</f>
        <v>37</v>
      </c>
      <c r="E131" s="30" t="str">
        <f t="shared" si="5"/>
        <v>Pass</v>
      </c>
      <c r="F131" s="244">
        <v>1340</v>
      </c>
      <c r="G131" s="295" t="s">
        <v>47</v>
      </c>
      <c r="H131" s="240">
        <v>60</v>
      </c>
      <c r="I131" s="296" t="s">
        <v>153</v>
      </c>
    </row>
    <row r="132" spans="1:9" customFormat="1" ht="15.75">
      <c r="A132" s="306">
        <v>43577</v>
      </c>
      <c r="B132" s="241">
        <v>31</v>
      </c>
      <c r="C132" s="241">
        <v>37</v>
      </c>
      <c r="D132" s="241">
        <f t="shared" ref="D132:D142" si="6">IF(((C132="")*AND(B132="")),"",(C132-B132))</f>
        <v>6</v>
      </c>
      <c r="E132" s="30" t="str">
        <f t="shared" si="5"/>
        <v>Pass</v>
      </c>
      <c r="F132" s="244">
        <v>1340</v>
      </c>
      <c r="G132" s="295" t="s">
        <v>47</v>
      </c>
      <c r="H132" s="240">
        <v>60</v>
      </c>
      <c r="I132" s="237"/>
    </row>
    <row r="133" spans="1:9" customFormat="1" ht="15.75">
      <c r="A133" s="306">
        <v>43580</v>
      </c>
      <c r="B133" s="241">
        <v>31</v>
      </c>
      <c r="C133" s="241">
        <v>37</v>
      </c>
      <c r="D133" s="241">
        <f t="shared" si="6"/>
        <v>6</v>
      </c>
      <c r="E133" s="30" t="str">
        <f t="shared" si="5"/>
        <v>Pass</v>
      </c>
      <c r="F133" s="244">
        <v>121</v>
      </c>
      <c r="G133" s="295" t="s">
        <v>47</v>
      </c>
      <c r="H133" s="240">
        <v>60</v>
      </c>
      <c r="I133" s="237"/>
    </row>
    <row r="134" spans="1:9" customFormat="1" ht="15.75">
      <c r="A134" s="306">
        <v>43585</v>
      </c>
      <c r="B134" s="241">
        <v>14</v>
      </c>
      <c r="C134" s="241">
        <v>31</v>
      </c>
      <c r="D134" s="241">
        <f t="shared" si="6"/>
        <v>17</v>
      </c>
      <c r="E134" s="30" t="str">
        <f t="shared" si="5"/>
        <v>Pass</v>
      </c>
      <c r="F134" s="244">
        <v>1340</v>
      </c>
      <c r="G134" s="295" t="s">
        <v>47</v>
      </c>
      <c r="H134" s="240">
        <v>60</v>
      </c>
      <c r="I134" s="237"/>
    </row>
    <row r="135" spans="1:9" customFormat="1" ht="15.75">
      <c r="A135" s="306">
        <v>43588</v>
      </c>
      <c r="B135" s="241">
        <v>7</v>
      </c>
      <c r="C135" s="241">
        <v>41</v>
      </c>
      <c r="D135" s="241">
        <f t="shared" si="6"/>
        <v>34</v>
      </c>
      <c r="E135" s="30" t="str">
        <f t="shared" si="5"/>
        <v>Pass</v>
      </c>
      <c r="F135" s="244">
        <v>1340</v>
      </c>
      <c r="G135" s="295" t="s">
        <v>47</v>
      </c>
      <c r="H135" s="240">
        <v>60</v>
      </c>
      <c r="I135" s="237"/>
    </row>
    <row r="136" spans="1:9" customFormat="1" ht="15.75">
      <c r="A136" s="306">
        <v>43591</v>
      </c>
      <c r="B136" s="241">
        <v>17</v>
      </c>
      <c r="C136" s="241">
        <v>34</v>
      </c>
      <c r="D136" s="241">
        <f t="shared" si="6"/>
        <v>17</v>
      </c>
      <c r="E136" s="30" t="str">
        <f t="shared" si="5"/>
        <v>Pass</v>
      </c>
      <c r="F136" s="244">
        <v>1335</v>
      </c>
      <c r="G136" s="295" t="s">
        <v>47</v>
      </c>
      <c r="H136" s="240">
        <v>60</v>
      </c>
      <c r="I136" s="237"/>
    </row>
    <row r="137" spans="1:9" customFormat="1" ht="12.75" customHeight="1">
      <c r="A137" s="306">
        <v>43593</v>
      </c>
      <c r="B137" s="241">
        <v>37</v>
      </c>
      <c r="C137" s="241">
        <v>739</v>
      </c>
      <c r="D137" s="241">
        <f t="shared" si="6"/>
        <v>702</v>
      </c>
      <c r="E137" s="30" t="str">
        <f t="shared" si="5"/>
        <v>Fail</v>
      </c>
      <c r="F137" s="244">
        <v>1428</v>
      </c>
      <c r="G137" s="296" t="s">
        <v>47</v>
      </c>
      <c r="H137" s="240">
        <v>60</v>
      </c>
      <c r="I137" s="339" t="s">
        <v>159</v>
      </c>
    </row>
    <row r="138" spans="1:9" customFormat="1" ht="12.75" customHeight="1">
      <c r="A138" s="306">
        <v>43598</v>
      </c>
      <c r="B138" s="241">
        <v>10</v>
      </c>
      <c r="C138" s="241">
        <v>18</v>
      </c>
      <c r="D138" s="241">
        <f t="shared" si="6"/>
        <v>8</v>
      </c>
      <c r="E138" s="30" t="str">
        <f t="shared" si="5"/>
        <v>Pass</v>
      </c>
      <c r="F138" s="244">
        <v>1335</v>
      </c>
      <c r="G138" s="296" t="s">
        <v>47</v>
      </c>
      <c r="H138" s="240">
        <v>60</v>
      </c>
    </row>
    <row r="139" spans="1:9" customFormat="1" ht="12.75" customHeight="1">
      <c r="A139" s="306">
        <v>43603</v>
      </c>
      <c r="B139" s="241">
        <v>20</v>
      </c>
      <c r="C139" s="241">
        <v>97</v>
      </c>
      <c r="D139" s="241">
        <f t="shared" si="6"/>
        <v>77</v>
      </c>
      <c r="E139" s="30" t="str">
        <f t="shared" si="5"/>
        <v>Fail</v>
      </c>
      <c r="F139" s="244">
        <v>1335</v>
      </c>
      <c r="G139" s="296" t="s">
        <v>47</v>
      </c>
      <c r="H139" s="240">
        <v>60</v>
      </c>
    </row>
    <row r="140" spans="1:9" customFormat="1" ht="12.75" customHeight="1">
      <c r="A140" s="306">
        <v>43603</v>
      </c>
      <c r="B140" s="241">
        <v>26</v>
      </c>
      <c r="C140" s="241">
        <v>334</v>
      </c>
      <c r="D140" s="241">
        <f t="shared" si="6"/>
        <v>308</v>
      </c>
      <c r="E140" s="30" t="str">
        <f t="shared" si="5"/>
        <v>Fail</v>
      </c>
      <c r="F140" s="244">
        <v>1335</v>
      </c>
      <c r="G140" s="296" t="s">
        <v>47</v>
      </c>
      <c r="H140" s="240">
        <v>60</v>
      </c>
    </row>
    <row r="141" spans="1:9" customFormat="1" ht="12.75" customHeight="1">
      <c r="A141" s="306">
        <v>43603</v>
      </c>
      <c r="B141" s="241">
        <v>21</v>
      </c>
      <c r="C141" s="241">
        <v>675</v>
      </c>
      <c r="D141" s="241">
        <f t="shared" si="6"/>
        <v>654</v>
      </c>
      <c r="E141" s="30" t="str">
        <f t="shared" si="5"/>
        <v>Fail</v>
      </c>
      <c r="F141" s="244">
        <v>1335</v>
      </c>
      <c r="G141" s="296" t="s">
        <v>47</v>
      </c>
      <c r="H141" s="240">
        <v>60</v>
      </c>
    </row>
    <row r="142" spans="1:9" customFormat="1" ht="12.75" customHeight="1">
      <c r="A142" s="306">
        <v>43603</v>
      </c>
      <c r="B142" s="237">
        <v>32</v>
      </c>
      <c r="C142" s="237">
        <v>754</v>
      </c>
      <c r="D142" s="241">
        <f t="shared" si="6"/>
        <v>722</v>
      </c>
      <c r="E142" s="30" t="str">
        <f t="shared" si="5"/>
        <v>Fail</v>
      </c>
      <c r="F142" s="244">
        <v>1335</v>
      </c>
      <c r="G142" s="296" t="s">
        <v>47</v>
      </c>
      <c r="H142" s="240">
        <v>60</v>
      </c>
    </row>
    <row r="143" spans="1:9" customFormat="1" ht="12.75" customHeight="1">
      <c r="A143" s="306">
        <v>43605</v>
      </c>
      <c r="B143" s="237">
        <v>6</v>
      </c>
      <c r="C143" s="237">
        <v>21</v>
      </c>
      <c r="D143" s="241">
        <f>IF(((C143="")*AND(B143="")),"",(C143-B143))</f>
        <v>15</v>
      </c>
      <c r="E143" s="30" t="str">
        <f>IF(D143="","",IF(D143&lt;60,"Pass","Fail"))</f>
        <v>Pass</v>
      </c>
      <c r="F143" s="244">
        <v>102</v>
      </c>
      <c r="G143" s="296" t="s">
        <v>47</v>
      </c>
      <c r="H143" s="240">
        <v>60</v>
      </c>
    </row>
  </sheetData>
  <autoFilter ref="A9:I136"/>
  <mergeCells count="2">
    <mergeCell ref="A1:H1"/>
    <mergeCell ref="B8:C8"/>
  </mergeCells>
  <conditionalFormatting sqref="E10:E133">
    <cfRule type="cellIs" dxfId="1149" priority="5" stopIfTrue="1" operator="equal">
      <formula>"Pass"</formula>
    </cfRule>
    <cfRule type="cellIs" dxfId="1148" priority="6" stopIfTrue="1" operator="equal">
      <formula>"Fail"</formula>
    </cfRule>
  </conditionalFormatting>
  <conditionalFormatting sqref="E108:E136">
    <cfRule type="cellIs" dxfId="1147" priority="3" stopIfTrue="1" operator="equal">
      <formula>"Pass"</formula>
    </cfRule>
    <cfRule type="cellIs" dxfId="1146" priority="4" stopIfTrue="1" operator="equal">
      <formula>"Fail"</formula>
    </cfRule>
  </conditionalFormatting>
  <conditionalFormatting sqref="E137:E143">
    <cfRule type="cellIs" dxfId="1145" priority="1" stopIfTrue="1" operator="equal">
      <formula>"Pass"</formula>
    </cfRule>
    <cfRule type="cellIs" dxfId="1144"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dimension ref="A1:AF307"/>
  <sheetViews>
    <sheetView zoomScale="70" zoomScaleNormal="70" workbookViewId="0">
      <pane ySplit="10" topLeftCell="A293" activePane="bottomLeft" state="frozen"/>
      <selection pane="bottomLeft" activeCell="E299" sqref="E299"/>
    </sheetView>
  </sheetViews>
  <sheetFormatPr defaultColWidth="9" defaultRowHeight="15"/>
  <cols>
    <col min="1" max="1" width="13.375" style="81" customWidth="1"/>
    <col min="2" max="2" width="15.125" style="49" customWidth="1"/>
    <col min="3" max="15" width="9" style="49"/>
    <col min="16" max="16" width="10" style="49" customWidth="1"/>
    <col min="17" max="19" width="9" style="49"/>
    <col min="20" max="20" width="11.375" style="49" customWidth="1"/>
    <col min="21" max="21" width="11" style="96" customWidth="1"/>
    <col min="22" max="22" width="9" style="49"/>
    <col min="23" max="23" width="9" style="89"/>
    <col min="24" max="24" width="18.875" style="84" customWidth="1"/>
    <col min="25" max="25" width="28.25" style="292" customWidth="1"/>
    <col min="26" max="29" width="9" style="65"/>
    <col min="30" max="31" width="9" style="66"/>
    <col min="32" max="16384" width="9" style="49"/>
  </cols>
  <sheetData>
    <row r="1" spans="1:31" s="39" customFormat="1">
      <c r="A1" s="32" t="s">
        <v>11</v>
      </c>
      <c r="B1" s="33"/>
      <c r="C1" s="33"/>
      <c r="D1" s="33"/>
      <c r="E1" s="33"/>
      <c r="F1" s="33"/>
      <c r="G1" s="33"/>
      <c r="H1" s="33"/>
      <c r="I1" s="33"/>
      <c r="J1" s="33"/>
      <c r="K1" s="33"/>
      <c r="L1" s="33"/>
      <c r="M1" s="33"/>
      <c r="N1" s="33"/>
      <c r="O1" s="33"/>
      <c r="P1" s="34"/>
      <c r="Q1" s="33"/>
      <c r="R1" s="33"/>
      <c r="S1" s="33" t="s">
        <v>64</v>
      </c>
      <c r="T1" s="33"/>
      <c r="U1" s="91"/>
      <c r="V1" s="33"/>
      <c r="W1" s="35"/>
      <c r="X1" s="369"/>
      <c r="Y1" s="122"/>
      <c r="Z1" s="36"/>
      <c r="AA1" s="36"/>
      <c r="AB1" s="36"/>
      <c r="AC1" s="36"/>
      <c r="AD1" s="37"/>
      <c r="AE1" s="38"/>
    </row>
    <row r="2" spans="1:31">
      <c r="A2" s="40" t="s">
        <v>100</v>
      </c>
      <c r="B2" s="41"/>
      <c r="C2" s="42"/>
      <c r="D2" s="43"/>
      <c r="E2" s="43"/>
      <c r="F2" s="41"/>
      <c r="G2" s="41"/>
      <c r="H2" s="41"/>
      <c r="I2" s="41"/>
      <c r="J2" s="44"/>
      <c r="K2" s="42"/>
      <c r="L2" s="42"/>
      <c r="M2" s="42"/>
      <c r="N2" s="42"/>
      <c r="O2" s="42"/>
      <c r="P2" s="224" t="s">
        <v>101</v>
      </c>
      <c r="Q2" s="43"/>
      <c r="R2" s="42"/>
      <c r="S2" s="41"/>
      <c r="T2" s="41"/>
      <c r="U2" s="92"/>
      <c r="V2" s="44"/>
      <c r="W2" s="45"/>
      <c r="X2" s="370"/>
      <c r="Y2" s="123"/>
      <c r="Z2" s="46"/>
      <c r="AA2" s="46"/>
      <c r="AB2" s="46"/>
      <c r="AC2" s="46"/>
      <c r="AD2" s="47"/>
      <c r="AE2" s="48"/>
    </row>
    <row r="3" spans="1:31">
      <c r="A3" s="40" t="s">
        <v>102</v>
      </c>
      <c r="B3" s="41"/>
      <c r="C3" s="44"/>
      <c r="D3" s="44"/>
      <c r="E3" s="44"/>
      <c r="F3" s="44"/>
      <c r="G3" s="44"/>
      <c r="H3" s="44" t="s">
        <v>103</v>
      </c>
      <c r="I3" s="44"/>
      <c r="J3" s="44"/>
      <c r="K3" s="44"/>
      <c r="L3" s="44"/>
      <c r="M3" s="44"/>
      <c r="N3" s="44"/>
      <c r="O3" s="44"/>
      <c r="P3" s="50"/>
      <c r="Q3" s="44"/>
      <c r="R3" s="44"/>
      <c r="S3" s="44"/>
      <c r="T3" s="44"/>
      <c r="U3" s="93"/>
      <c r="V3" s="44"/>
      <c r="W3" s="51"/>
      <c r="X3" s="371"/>
      <c r="Y3" s="124"/>
      <c r="Z3" s="46"/>
      <c r="AA3" s="46"/>
      <c r="AB3" s="46"/>
      <c r="AC3" s="46"/>
      <c r="AD3" s="47"/>
      <c r="AE3" s="48"/>
    </row>
    <row r="4" spans="1:31">
      <c r="A4" s="40" t="s">
        <v>104</v>
      </c>
      <c r="B4" s="41"/>
      <c r="C4" s="43"/>
      <c r="D4" s="43"/>
      <c r="E4" s="43"/>
      <c r="F4" s="44"/>
      <c r="G4" s="44"/>
      <c r="H4" s="44" t="s">
        <v>105</v>
      </c>
      <c r="I4" s="44"/>
      <c r="J4" s="44"/>
      <c r="K4" s="44"/>
      <c r="L4" s="44"/>
      <c r="M4" s="44"/>
      <c r="N4" s="44"/>
      <c r="O4" s="44"/>
      <c r="P4" s="50"/>
      <c r="Q4" s="43"/>
      <c r="R4" s="43"/>
      <c r="S4" s="44"/>
      <c r="T4" s="44"/>
      <c r="U4" s="93"/>
      <c r="V4" s="44"/>
      <c r="W4" s="51"/>
      <c r="X4" s="371"/>
      <c r="Y4" s="124"/>
      <c r="Z4" s="46"/>
      <c r="AA4" s="46"/>
      <c r="AB4" s="46"/>
      <c r="AC4" s="46"/>
      <c r="AD4" s="47"/>
      <c r="AE4" s="48"/>
    </row>
    <row r="5" spans="1:31">
      <c r="A5" s="40" t="s">
        <v>106</v>
      </c>
      <c r="B5" s="41"/>
      <c r="C5" s="43"/>
      <c r="D5" s="44"/>
      <c r="E5" s="43"/>
      <c r="F5" s="44"/>
      <c r="G5" s="44"/>
      <c r="H5" s="44"/>
      <c r="I5" s="44"/>
      <c r="J5" s="44"/>
      <c r="K5" s="44"/>
      <c r="L5" s="44"/>
      <c r="M5" s="44"/>
      <c r="N5" s="44"/>
      <c r="O5" s="44"/>
      <c r="P5" s="50"/>
      <c r="Q5" s="52"/>
      <c r="R5" s="43"/>
      <c r="S5" s="44"/>
      <c r="T5" s="44"/>
      <c r="U5" s="93"/>
      <c r="V5" s="44"/>
      <c r="W5" s="51"/>
      <c r="X5" s="371"/>
      <c r="Y5" s="124"/>
      <c r="Z5" s="46"/>
      <c r="AA5" s="46"/>
      <c r="AB5" s="46"/>
      <c r="AC5" s="46"/>
      <c r="AD5" s="47"/>
      <c r="AE5" s="48"/>
    </row>
    <row r="6" spans="1:31">
      <c r="A6" s="40" t="s">
        <v>107</v>
      </c>
      <c r="B6" s="41"/>
      <c r="C6" s="43"/>
      <c r="D6" s="43"/>
      <c r="E6" s="43"/>
      <c r="F6" s="44"/>
      <c r="G6" s="44"/>
      <c r="H6" s="44"/>
      <c r="I6" s="44"/>
      <c r="J6" s="44"/>
      <c r="K6" s="44"/>
      <c r="L6" s="44"/>
      <c r="M6" s="44"/>
      <c r="N6" s="44"/>
      <c r="O6" s="44"/>
      <c r="P6" s="50"/>
      <c r="Q6" s="43"/>
      <c r="R6" s="43"/>
      <c r="S6" s="44"/>
      <c r="T6" s="53"/>
      <c r="U6" s="94"/>
      <c r="V6" s="53"/>
      <c r="W6" s="54"/>
      <c r="X6" s="147"/>
      <c r="Y6" s="125"/>
      <c r="Z6" s="46"/>
      <c r="AA6" s="46"/>
      <c r="AB6" s="46"/>
      <c r="AC6" s="46"/>
      <c r="AD6" s="47"/>
      <c r="AE6" s="48"/>
    </row>
    <row r="7" spans="1:31">
      <c r="A7" s="55" t="s">
        <v>65</v>
      </c>
      <c r="B7" s="44"/>
      <c r="C7" s="43"/>
      <c r="D7" s="43"/>
      <c r="E7" s="43"/>
      <c r="F7" s="44"/>
      <c r="G7" s="44"/>
      <c r="H7" s="44"/>
      <c r="I7" s="44"/>
      <c r="J7" s="44"/>
      <c r="K7" s="44"/>
      <c r="L7" s="44"/>
      <c r="M7" s="44"/>
      <c r="N7" s="44"/>
      <c r="O7" s="44"/>
      <c r="P7" s="50"/>
      <c r="Q7" s="43"/>
      <c r="R7" s="43"/>
      <c r="S7" s="44"/>
      <c r="T7" s="44"/>
      <c r="U7" s="93"/>
      <c r="V7" s="44"/>
      <c r="W7" s="51"/>
      <c r="X7" s="371"/>
      <c r="Y7" s="124"/>
      <c r="Z7" s="46"/>
      <c r="AA7" s="46"/>
      <c r="AB7" s="46"/>
      <c r="AC7" s="46"/>
      <c r="AD7" s="47"/>
      <c r="AE7" s="48"/>
    </row>
    <row r="8" spans="1:31">
      <c r="A8" s="56"/>
      <c r="B8" s="57"/>
      <c r="C8" s="57"/>
      <c r="D8" s="58"/>
      <c r="E8" s="58"/>
      <c r="F8" s="58"/>
      <c r="G8" s="58"/>
      <c r="H8" s="58"/>
      <c r="I8" s="58"/>
      <c r="J8" s="58"/>
      <c r="K8" s="58"/>
      <c r="L8" s="58"/>
      <c r="M8" s="58"/>
      <c r="N8" s="58"/>
      <c r="O8" s="58"/>
      <c r="P8" s="58"/>
      <c r="Q8" s="58"/>
      <c r="R8" s="58"/>
      <c r="S8" s="57"/>
      <c r="T8" s="57"/>
      <c r="U8" s="95"/>
      <c r="V8" s="57"/>
      <c r="W8" s="59"/>
      <c r="X8" s="372"/>
      <c r="Y8" s="126"/>
      <c r="Z8" s="60"/>
      <c r="AA8" s="60"/>
      <c r="AB8" s="60"/>
      <c r="AC8" s="60"/>
      <c r="AD8" s="61"/>
      <c r="AE8" s="62"/>
    </row>
    <row r="9" spans="1:31" ht="15.75" thickBot="1">
      <c r="A9" s="102"/>
      <c r="B9" s="103"/>
      <c r="C9" s="103"/>
      <c r="D9" s="320" t="s">
        <v>158</v>
      </c>
      <c r="E9" s="321"/>
      <c r="F9" s="321"/>
      <c r="G9" s="321"/>
      <c r="H9" s="321"/>
      <c r="I9" s="321"/>
      <c r="J9" s="321"/>
      <c r="K9" s="321"/>
      <c r="L9" s="321"/>
      <c r="M9" s="321"/>
      <c r="N9" s="321"/>
      <c r="O9" s="321"/>
      <c r="P9" s="321"/>
      <c r="W9" s="104"/>
      <c r="X9" s="297"/>
      <c r="Y9" s="291"/>
      <c r="Z9" s="105"/>
      <c r="AA9" s="105"/>
      <c r="AB9" s="105"/>
      <c r="AC9" s="105"/>
      <c r="AD9" s="106"/>
      <c r="AE9" s="106"/>
    </row>
    <row r="10" spans="1:31" s="100" customFormat="1" ht="57.75" customHeight="1" thickBot="1">
      <c r="A10" s="283" t="s">
        <v>148</v>
      </c>
      <c r="B10" s="115" t="s">
        <v>74</v>
      </c>
      <c r="C10" s="115" t="s">
        <v>75</v>
      </c>
      <c r="D10" s="115">
        <v>1</v>
      </c>
      <c r="E10" s="115">
        <v>2</v>
      </c>
      <c r="F10" s="115">
        <v>3</v>
      </c>
      <c r="G10" s="115">
        <v>4</v>
      </c>
      <c r="H10" s="115">
        <v>5</v>
      </c>
      <c r="I10" s="115">
        <v>6</v>
      </c>
      <c r="J10" s="115">
        <v>7</v>
      </c>
      <c r="K10" s="115">
        <v>8</v>
      </c>
      <c r="L10" s="115">
        <v>9</v>
      </c>
      <c r="M10" s="115">
        <v>10</v>
      </c>
      <c r="N10" s="115">
        <v>11</v>
      </c>
      <c r="O10" s="115">
        <v>12</v>
      </c>
      <c r="P10" s="115">
        <v>13</v>
      </c>
      <c r="Q10" s="116" t="s">
        <v>66</v>
      </c>
      <c r="R10" s="116" t="s">
        <v>67</v>
      </c>
      <c r="S10" s="115" t="s">
        <v>147</v>
      </c>
      <c r="T10" s="115" t="s">
        <v>69</v>
      </c>
      <c r="U10" s="117" t="s">
        <v>154</v>
      </c>
      <c r="V10" s="118" t="s">
        <v>29</v>
      </c>
      <c r="W10" s="115" t="s">
        <v>41</v>
      </c>
      <c r="X10" s="119" t="s">
        <v>155</v>
      </c>
      <c r="Y10" s="119" t="s">
        <v>31</v>
      </c>
      <c r="Z10" s="120" t="s">
        <v>73</v>
      </c>
      <c r="AA10" s="120" t="s">
        <v>43</v>
      </c>
      <c r="AB10" s="120" t="s">
        <v>71</v>
      </c>
      <c r="AC10" s="120" t="s">
        <v>72</v>
      </c>
      <c r="AD10" s="120" t="s">
        <v>110</v>
      </c>
      <c r="AE10" s="121" t="s">
        <v>111</v>
      </c>
    </row>
    <row r="11" spans="1:31">
      <c r="A11" s="107">
        <v>43101</v>
      </c>
      <c r="B11" s="108" t="s">
        <v>76</v>
      </c>
      <c r="C11" s="109" t="s">
        <v>77</v>
      </c>
      <c r="D11" s="49">
        <v>2822.84</v>
      </c>
      <c r="E11" s="49">
        <v>2780.5</v>
      </c>
      <c r="F11" s="49">
        <v>2761.36</v>
      </c>
      <c r="G11" s="49">
        <v>2758.42</v>
      </c>
      <c r="H11" s="49">
        <v>2776.34</v>
      </c>
      <c r="I11" s="49">
        <v>2813.45</v>
      </c>
      <c r="J11" s="49">
        <v>2872.74</v>
      </c>
      <c r="K11" s="49">
        <v>2860.82</v>
      </c>
      <c r="L11" s="49">
        <v>2801.99</v>
      </c>
      <c r="M11" s="49">
        <v>2770.95</v>
      </c>
      <c r="N11" s="49">
        <v>2764.03</v>
      </c>
      <c r="O11" s="49">
        <v>2782.8</v>
      </c>
      <c r="P11" s="49">
        <v>2826.68</v>
      </c>
      <c r="Q11" s="109">
        <f>IF((P12=""),"",MAX(D13:P13))</f>
        <v>1895.2999999999997</v>
      </c>
      <c r="R11" s="109">
        <f>IF(P12="","",MIN(D13:P13))</f>
        <v>1802.4</v>
      </c>
      <c r="S11" s="109">
        <f>IF((P13=""),"",AVERAGE(D13:P13))</f>
        <v>1860.4461538461537</v>
      </c>
      <c r="T11" s="109">
        <f>IF((P12=""),"",STDEV(D13:P13))</f>
        <v>26.213469037392525</v>
      </c>
      <c r="U11" s="110">
        <f>IF((P12=""),"",((Q11-R11)/(Q11+R11))*100)</f>
        <v>2.5123725559131254</v>
      </c>
      <c r="V11" s="111" t="str">
        <f>IF(P12="","",IF(U11&lt;7.2,IF(S11&gt;1700,IF(S11&lt;1950,"Pass","Fail"),"Fail"),"Fail"))</f>
        <v>Pass</v>
      </c>
      <c r="W11" s="112">
        <v>1428</v>
      </c>
      <c r="X11" s="130"/>
      <c r="Z11" s="113">
        <v>1600</v>
      </c>
      <c r="AA11" s="113">
        <v>2600</v>
      </c>
      <c r="AB11" s="114">
        <v>1700</v>
      </c>
      <c r="AC11" s="114">
        <v>1950</v>
      </c>
      <c r="AD11" s="63">
        <v>10</v>
      </c>
      <c r="AE11" s="63">
        <v>7.2</v>
      </c>
    </row>
    <row r="12" spans="1:31" ht="15.75">
      <c r="A12"/>
      <c r="B12" s="64"/>
      <c r="C12" s="64" t="s">
        <v>78</v>
      </c>
      <c r="D12" s="49">
        <v>1921.64</v>
      </c>
      <c r="E12" s="49">
        <v>1859.68</v>
      </c>
      <c r="F12" s="49">
        <v>1828.84</v>
      </c>
      <c r="G12" s="49">
        <v>1823.59</v>
      </c>
      <c r="H12" s="49">
        <v>1832.17</v>
      </c>
      <c r="I12" s="49">
        <v>1865.8</v>
      </c>
      <c r="J12" s="49">
        <v>1931.49</v>
      </c>
      <c r="K12" s="49">
        <v>1939.64</v>
      </c>
      <c r="L12" s="49">
        <v>1868.3</v>
      </c>
      <c r="M12" s="49">
        <v>1837.07</v>
      </c>
      <c r="N12" s="49">
        <v>1824.84</v>
      </c>
      <c r="O12" s="49">
        <v>1853.29</v>
      </c>
      <c r="P12" s="49">
        <v>1913.67</v>
      </c>
      <c r="Q12" s="64"/>
      <c r="R12" s="64"/>
      <c r="S12" s="64"/>
      <c r="T12" s="64"/>
      <c r="U12" s="98"/>
      <c r="V12" s="75"/>
      <c r="W12" s="76"/>
      <c r="X12" s="298"/>
      <c r="Z12" s="73"/>
      <c r="AA12" s="73"/>
      <c r="AB12" s="74"/>
      <c r="AC12" s="74"/>
      <c r="AD12" s="67"/>
      <c r="AE12" s="67"/>
    </row>
    <row r="13" spans="1:31" ht="60.75" thickBot="1">
      <c r="A13"/>
      <c r="B13" s="77"/>
      <c r="C13" s="77" t="s">
        <v>79</v>
      </c>
      <c r="D13" s="78">
        <f t="shared" ref="D13:P13" si="0">IF(((D11="")*AND(D12="")),"",(D11-D12)*2)</f>
        <v>1802.4</v>
      </c>
      <c r="E13" s="78">
        <f t="shared" si="0"/>
        <v>1841.6399999999999</v>
      </c>
      <c r="F13" s="78">
        <f t="shared" si="0"/>
        <v>1865.0400000000004</v>
      </c>
      <c r="G13" s="78">
        <f t="shared" si="0"/>
        <v>1869.6600000000003</v>
      </c>
      <c r="H13" s="78">
        <f t="shared" si="0"/>
        <v>1888.3400000000001</v>
      </c>
      <c r="I13" s="78">
        <f t="shared" si="0"/>
        <v>1895.2999999999997</v>
      </c>
      <c r="J13" s="78">
        <f t="shared" si="0"/>
        <v>1882.4999999999995</v>
      </c>
      <c r="K13" s="78">
        <f t="shared" si="0"/>
        <v>1842.3600000000001</v>
      </c>
      <c r="L13" s="78">
        <f t="shared" si="0"/>
        <v>1867.3799999999997</v>
      </c>
      <c r="M13" s="78">
        <f t="shared" si="0"/>
        <v>1867.7599999999998</v>
      </c>
      <c r="N13" s="78">
        <f t="shared" si="0"/>
        <v>1878.3800000000006</v>
      </c>
      <c r="O13" s="78">
        <f t="shared" si="0"/>
        <v>1859.0200000000004</v>
      </c>
      <c r="P13" s="78">
        <f t="shared" si="0"/>
        <v>1826.0199999999995</v>
      </c>
      <c r="Q13" s="77"/>
      <c r="R13" s="77"/>
      <c r="S13" s="77"/>
      <c r="T13" s="77"/>
      <c r="U13" s="99"/>
      <c r="V13" s="79"/>
      <c r="W13" s="80"/>
      <c r="X13" s="298"/>
      <c r="Z13" s="73"/>
      <c r="AA13" s="73"/>
      <c r="AB13" s="74"/>
      <c r="AC13" s="74"/>
      <c r="AD13" s="67"/>
      <c r="AE13" s="67"/>
    </row>
    <row r="14" spans="1:31">
      <c r="A14" s="68">
        <v>43104</v>
      </c>
      <c r="B14" s="69" t="s">
        <v>76</v>
      </c>
      <c r="C14" s="70" t="s">
        <v>77</v>
      </c>
      <c r="D14" s="49">
        <v>2833</v>
      </c>
      <c r="E14" s="49">
        <v>2784.78</v>
      </c>
      <c r="F14" s="49">
        <v>2762.7</v>
      </c>
      <c r="G14" s="49">
        <v>2761.56</v>
      </c>
      <c r="H14" s="49">
        <v>2778.61</v>
      </c>
      <c r="I14" s="49">
        <v>2818.1</v>
      </c>
      <c r="J14" s="49">
        <v>2881.89</v>
      </c>
      <c r="K14" s="49">
        <v>2856.42</v>
      </c>
      <c r="L14" s="49">
        <v>2805.39</v>
      </c>
      <c r="M14" s="49">
        <v>2773.16</v>
      </c>
      <c r="N14" s="49">
        <v>2767.18</v>
      </c>
      <c r="O14" s="49">
        <v>2789.59</v>
      </c>
      <c r="P14" s="49">
        <v>2836.14</v>
      </c>
      <c r="Q14" s="70">
        <f>IF((P15=""),"",MAX(D16:P16))</f>
        <v>1829.7199999999998</v>
      </c>
      <c r="R14" s="70">
        <f>IF(P15="","",MIN(D16:P16))</f>
        <v>1706.56</v>
      </c>
      <c r="S14" s="70">
        <f>IF((P16=""),"",AVERAGE(D16:P16))</f>
        <v>1778.783076923077</v>
      </c>
      <c r="T14" s="70">
        <f>IF((P15=""),"",STDEV(D16:P16))</f>
        <v>34.429273248355493</v>
      </c>
      <c r="U14" s="97">
        <f>IF((P15=""),"",((Q14-R14)/(Q14+R14))*100)</f>
        <v>3.4827558903706679</v>
      </c>
      <c r="V14" s="71" t="str">
        <f>IF(P15="","",IF(U14&lt;7.2,IF(S14&gt;1700,IF(S14&lt;1950,"Pass","Fail"),"Fail"),"Fail"))</f>
        <v>Pass</v>
      </c>
      <c r="W14" s="72">
        <v>1335</v>
      </c>
      <c r="X14" s="373" t="s">
        <v>80</v>
      </c>
      <c r="Z14" s="73">
        <v>1600</v>
      </c>
      <c r="AA14" s="73">
        <v>2600</v>
      </c>
      <c r="AB14" s="74">
        <v>1700</v>
      </c>
      <c r="AC14" s="74">
        <v>1950</v>
      </c>
      <c r="AD14" s="67">
        <v>10</v>
      </c>
      <c r="AE14" s="67">
        <v>7.2</v>
      </c>
    </row>
    <row r="15" spans="1:31" ht="15.75">
      <c r="A15"/>
      <c r="B15" s="64"/>
      <c r="C15" s="64" t="s">
        <v>78</v>
      </c>
      <c r="D15" s="49">
        <v>1979.72</v>
      </c>
      <c r="E15" s="49">
        <v>1912.19</v>
      </c>
      <c r="F15" s="49">
        <v>1880.58</v>
      </c>
      <c r="G15" s="49">
        <v>1868.89</v>
      </c>
      <c r="H15" s="49">
        <v>1874.39</v>
      </c>
      <c r="I15" s="49">
        <v>1904.14</v>
      </c>
      <c r="J15" s="49">
        <v>1967.03</v>
      </c>
      <c r="K15" s="49">
        <v>1972.98</v>
      </c>
      <c r="L15" s="49">
        <v>1910.47</v>
      </c>
      <c r="M15" s="49">
        <v>1880.91</v>
      </c>
      <c r="N15" s="49">
        <v>1872.3</v>
      </c>
      <c r="O15" s="49">
        <v>1898.05</v>
      </c>
      <c r="P15" s="49">
        <v>1964.78</v>
      </c>
      <c r="Q15" s="64"/>
      <c r="R15" s="64"/>
      <c r="S15" s="64"/>
      <c r="T15" s="64"/>
      <c r="U15" s="98"/>
      <c r="V15" s="75"/>
      <c r="W15" s="76"/>
      <c r="X15" s="298"/>
      <c r="Z15" s="73"/>
      <c r="AA15" s="73"/>
      <c r="AB15" s="74"/>
      <c r="AC15" s="74"/>
      <c r="AD15" s="67"/>
      <c r="AE15" s="67"/>
    </row>
    <row r="16" spans="1:31" ht="60.75" thickBot="1">
      <c r="A16"/>
      <c r="B16" s="77"/>
      <c r="C16" s="77" t="s">
        <v>79</v>
      </c>
      <c r="D16" s="78">
        <f t="shared" ref="D16:P16" si="1">IF(((D14="")*AND(D15="")),"",(D14-D15)*2)</f>
        <v>1706.56</v>
      </c>
      <c r="E16" s="78">
        <f t="shared" si="1"/>
        <v>1745.1800000000003</v>
      </c>
      <c r="F16" s="78">
        <f t="shared" si="1"/>
        <v>1764.2399999999998</v>
      </c>
      <c r="G16" s="78">
        <f t="shared" si="1"/>
        <v>1785.3399999999997</v>
      </c>
      <c r="H16" s="78">
        <f t="shared" si="1"/>
        <v>1808.44</v>
      </c>
      <c r="I16" s="78">
        <f t="shared" si="1"/>
        <v>1827.9199999999996</v>
      </c>
      <c r="J16" s="78">
        <f t="shared" si="1"/>
        <v>1829.7199999999998</v>
      </c>
      <c r="K16" s="78">
        <f t="shared" si="1"/>
        <v>1766.88</v>
      </c>
      <c r="L16" s="78">
        <f t="shared" si="1"/>
        <v>1789.8399999999997</v>
      </c>
      <c r="M16" s="78">
        <f t="shared" si="1"/>
        <v>1784.4999999999995</v>
      </c>
      <c r="N16" s="78">
        <f t="shared" si="1"/>
        <v>1789.7599999999998</v>
      </c>
      <c r="O16" s="78">
        <f t="shared" si="1"/>
        <v>1783.0800000000004</v>
      </c>
      <c r="P16" s="78">
        <f t="shared" si="1"/>
        <v>1742.7199999999998</v>
      </c>
      <c r="Q16" s="77"/>
      <c r="R16" s="77"/>
      <c r="S16" s="77"/>
      <c r="T16" s="77"/>
      <c r="U16" s="99"/>
      <c r="V16" s="79"/>
      <c r="W16" s="80"/>
      <c r="X16" s="298"/>
      <c r="Z16" s="73"/>
      <c r="AA16" s="73"/>
      <c r="AB16" s="74"/>
      <c r="AC16" s="74"/>
      <c r="AD16" s="67"/>
      <c r="AE16" s="67"/>
    </row>
    <row r="17" spans="1:31">
      <c r="A17" s="68">
        <v>43112</v>
      </c>
      <c r="B17" s="69" t="s">
        <v>76</v>
      </c>
      <c r="C17" s="70" t="s">
        <v>77</v>
      </c>
      <c r="D17" s="49">
        <v>2799.32</v>
      </c>
      <c r="E17" s="49">
        <v>2747.9</v>
      </c>
      <c r="F17" s="49">
        <v>2725.06</v>
      </c>
      <c r="G17" s="49">
        <v>2716.83</v>
      </c>
      <c r="H17" s="49">
        <v>2727.11</v>
      </c>
      <c r="I17" s="49">
        <v>2758.94</v>
      </c>
      <c r="J17" s="49">
        <v>2816.53</v>
      </c>
      <c r="K17" s="49">
        <v>2800.2</v>
      </c>
      <c r="L17" s="49">
        <v>2742.48</v>
      </c>
      <c r="M17" s="49">
        <v>2721.14</v>
      </c>
      <c r="N17" s="49">
        <v>2735.88</v>
      </c>
      <c r="O17" s="49">
        <v>2779.74</v>
      </c>
      <c r="P17" s="49">
        <v>2848.34</v>
      </c>
      <c r="Q17" s="70">
        <f>IF((P18=""),"",MAX(D19:P19))</f>
        <v>1893.7000000000003</v>
      </c>
      <c r="R17" s="70">
        <f>IF(P18="","",MIN(D19:P19))</f>
        <v>1749.1000000000004</v>
      </c>
      <c r="S17" s="70">
        <f>IF((P19=""),"",AVERAGE(D19:P19))</f>
        <v>1837.4769230769232</v>
      </c>
      <c r="T17" s="70">
        <f>IF((P18=""),"",STDEV(D19:P19))</f>
        <v>39.828109710076717</v>
      </c>
      <c r="U17" s="97">
        <f>IF((P18=""),"",((Q17-R17)/(Q17+R17))*100)</f>
        <v>3.9694740309651886</v>
      </c>
      <c r="V17" s="71" t="str">
        <f>IF(P18="","",IF(U17&lt;7.2,IF(S17&gt;1700,IF(S17&lt;1950,"Pass","Fail"),"Fail"),"Fail"))</f>
        <v>Pass</v>
      </c>
      <c r="W17" s="72" t="s">
        <v>48</v>
      </c>
      <c r="X17" s="374" t="s">
        <v>81</v>
      </c>
      <c r="Z17" s="73">
        <v>1600</v>
      </c>
      <c r="AA17" s="73">
        <v>2600</v>
      </c>
      <c r="AB17" s="74">
        <v>1700</v>
      </c>
      <c r="AC17" s="74">
        <v>1950</v>
      </c>
      <c r="AD17" s="67">
        <v>10</v>
      </c>
      <c r="AE17" s="67">
        <v>7.2</v>
      </c>
    </row>
    <row r="18" spans="1:31" ht="15.75">
      <c r="A18"/>
      <c r="B18" s="64"/>
      <c r="C18" s="64" t="s">
        <v>78</v>
      </c>
      <c r="D18" s="49">
        <v>1924.77</v>
      </c>
      <c r="E18" s="49">
        <v>1849.15</v>
      </c>
      <c r="F18" s="49">
        <v>1810.35</v>
      </c>
      <c r="G18" s="49">
        <v>1793.22</v>
      </c>
      <c r="H18" s="49">
        <v>1791.17</v>
      </c>
      <c r="I18" s="49">
        <v>1812.68</v>
      </c>
      <c r="J18" s="49">
        <v>1869.68</v>
      </c>
      <c r="K18" s="49">
        <v>1892.45</v>
      </c>
      <c r="L18" s="49">
        <v>1820.87</v>
      </c>
      <c r="M18" s="49">
        <v>1796.85</v>
      </c>
      <c r="N18" s="49">
        <v>1809.32</v>
      </c>
      <c r="O18" s="49">
        <v>1858.55</v>
      </c>
      <c r="P18" s="49">
        <v>1946.81</v>
      </c>
      <c r="Q18" s="64"/>
      <c r="R18" s="64"/>
      <c r="S18" s="64"/>
      <c r="T18" s="64"/>
      <c r="U18" s="98"/>
      <c r="V18" s="75"/>
      <c r="W18" s="76"/>
      <c r="X18" s="298"/>
      <c r="Z18" s="73"/>
      <c r="AA18" s="73"/>
      <c r="AB18" s="74"/>
      <c r="AC18" s="74"/>
      <c r="AD18" s="67"/>
      <c r="AE18" s="67"/>
    </row>
    <row r="19" spans="1:31" ht="60.75" thickBot="1">
      <c r="A19"/>
      <c r="B19" s="77"/>
      <c r="C19" s="77" t="s">
        <v>79</v>
      </c>
      <c r="D19" s="78">
        <f t="shared" ref="D19:P19" si="2">IF(((D17="")*AND(D18="")),"",(D17-D18)*2)</f>
        <v>1749.1000000000004</v>
      </c>
      <c r="E19" s="78">
        <f t="shared" si="2"/>
        <v>1797.5</v>
      </c>
      <c r="F19" s="78">
        <f t="shared" si="2"/>
        <v>1829.42</v>
      </c>
      <c r="G19" s="78">
        <f t="shared" si="2"/>
        <v>1847.2199999999998</v>
      </c>
      <c r="H19" s="78">
        <f t="shared" si="2"/>
        <v>1871.88</v>
      </c>
      <c r="I19" s="78">
        <f t="shared" si="2"/>
        <v>1892.52</v>
      </c>
      <c r="J19" s="78">
        <f t="shared" si="2"/>
        <v>1893.7000000000003</v>
      </c>
      <c r="K19" s="78">
        <f t="shared" si="2"/>
        <v>1815.4999999999995</v>
      </c>
      <c r="L19" s="78">
        <f t="shared" si="2"/>
        <v>1843.2200000000003</v>
      </c>
      <c r="M19" s="78">
        <f t="shared" si="2"/>
        <v>1848.58</v>
      </c>
      <c r="N19" s="78">
        <f t="shared" si="2"/>
        <v>1853.1200000000003</v>
      </c>
      <c r="O19" s="78">
        <f t="shared" si="2"/>
        <v>1842.3799999999997</v>
      </c>
      <c r="P19" s="78">
        <f t="shared" si="2"/>
        <v>1803.0600000000004</v>
      </c>
      <c r="Q19" s="77"/>
      <c r="R19" s="77"/>
      <c r="S19" s="77"/>
      <c r="T19" s="77"/>
      <c r="U19" s="99"/>
      <c r="V19" s="79"/>
      <c r="W19" s="80"/>
      <c r="X19" s="298"/>
      <c r="Z19" s="73"/>
      <c r="AA19" s="73"/>
      <c r="AB19" s="74"/>
      <c r="AC19" s="74"/>
      <c r="AD19" s="67"/>
      <c r="AE19" s="67"/>
    </row>
    <row r="20" spans="1:31">
      <c r="A20" s="68">
        <v>43116</v>
      </c>
      <c r="B20" s="69" t="s">
        <v>76</v>
      </c>
      <c r="C20" s="70" t="s">
        <v>77</v>
      </c>
      <c r="D20" s="49">
        <v>2806.57</v>
      </c>
      <c r="E20" s="49">
        <v>2757</v>
      </c>
      <c r="F20" s="49">
        <v>2730.12</v>
      </c>
      <c r="G20" s="49">
        <v>2724.79</v>
      </c>
      <c r="H20" s="49">
        <v>2735.66</v>
      </c>
      <c r="I20" s="49">
        <v>2765.71</v>
      </c>
      <c r="J20" s="49">
        <v>2823.06</v>
      </c>
      <c r="K20" s="49">
        <v>2810.31</v>
      </c>
      <c r="L20" s="49">
        <v>2754.83</v>
      </c>
      <c r="M20" s="49">
        <v>2729.4</v>
      </c>
      <c r="N20" s="49">
        <v>2746.03</v>
      </c>
      <c r="O20" s="49">
        <v>2786.98</v>
      </c>
      <c r="P20" s="49">
        <v>2860.13</v>
      </c>
      <c r="Q20" s="70">
        <f>IF((P21=""),"",MAX(D22:P22))</f>
        <v>1889.2199999999998</v>
      </c>
      <c r="R20" s="70">
        <f>IF(P21="","",MIN(D22:P22))</f>
        <v>1756.9000000000005</v>
      </c>
      <c r="S20" s="70">
        <f>IF((P22=""),"",AVERAGE(D22:P22))</f>
        <v>1833.9692307692308</v>
      </c>
      <c r="T20" s="70">
        <f>IF((P21=""),"",STDEV(D22:P22))</f>
        <v>35.394710165408412</v>
      </c>
      <c r="U20" s="97">
        <f>IF((P21=""),"",((Q20-R20)/(Q20+R20))*100)</f>
        <v>3.6290632233716731</v>
      </c>
      <c r="V20" s="71" t="str">
        <f>IF(P21="","",IF(U20&lt;7.2,IF(S20&gt;1700,IF(S20&lt;1950,"Pass","Fail"),"Fail"),"Fail"))</f>
        <v>Pass</v>
      </c>
      <c r="W20" s="72">
        <v>102</v>
      </c>
      <c r="X20" s="130"/>
      <c r="Z20" s="73">
        <v>1600</v>
      </c>
      <c r="AA20" s="73">
        <v>2600</v>
      </c>
      <c r="AB20" s="74">
        <v>1700</v>
      </c>
      <c r="AC20" s="74">
        <v>1950</v>
      </c>
      <c r="AD20" s="67">
        <v>10</v>
      </c>
      <c r="AE20" s="67">
        <v>7.2</v>
      </c>
    </row>
    <row r="21" spans="1:31" ht="15.75">
      <c r="A21"/>
      <c r="B21" s="64"/>
      <c r="C21" s="64" t="s">
        <v>78</v>
      </c>
      <c r="D21" s="49">
        <v>1928.12</v>
      </c>
      <c r="E21" s="49">
        <v>1857</v>
      </c>
      <c r="F21" s="49">
        <v>1821.31</v>
      </c>
      <c r="G21" s="49">
        <v>1805.39</v>
      </c>
      <c r="H21" s="49">
        <v>1804.27</v>
      </c>
      <c r="I21" s="49">
        <v>1824.42</v>
      </c>
      <c r="J21" s="49">
        <v>1878.45</v>
      </c>
      <c r="K21" s="49">
        <v>1902.87</v>
      </c>
      <c r="L21" s="49">
        <v>1833.36</v>
      </c>
      <c r="M21" s="49">
        <v>1808.71</v>
      </c>
      <c r="N21" s="49">
        <v>1821.45</v>
      </c>
      <c r="O21" s="49">
        <v>1868.42</v>
      </c>
      <c r="P21" s="49">
        <v>1956.02</v>
      </c>
      <c r="Q21" s="64"/>
      <c r="R21" s="64"/>
      <c r="S21" s="64"/>
      <c r="T21" s="64"/>
      <c r="U21" s="98"/>
      <c r="V21" s="75"/>
      <c r="W21" s="76"/>
      <c r="X21" s="298"/>
      <c r="Z21" s="73"/>
      <c r="AA21" s="73"/>
      <c r="AB21" s="74"/>
      <c r="AC21" s="74"/>
      <c r="AD21" s="67"/>
      <c r="AE21" s="67"/>
    </row>
    <row r="22" spans="1:31" ht="60.75" thickBot="1">
      <c r="A22"/>
      <c r="B22" s="77"/>
      <c r="C22" s="77" t="s">
        <v>79</v>
      </c>
      <c r="D22" s="78">
        <f t="shared" ref="D22:P22" si="3">IF(((D20="")*AND(D21="")),"",(D20-D21)*2)</f>
        <v>1756.9000000000005</v>
      </c>
      <c r="E22" s="78">
        <f t="shared" si="3"/>
        <v>1800</v>
      </c>
      <c r="F22" s="78">
        <f t="shared" si="3"/>
        <v>1817.62</v>
      </c>
      <c r="G22" s="78">
        <f t="shared" si="3"/>
        <v>1838.7999999999997</v>
      </c>
      <c r="H22" s="78">
        <f t="shared" si="3"/>
        <v>1862.7799999999997</v>
      </c>
      <c r="I22" s="78">
        <f t="shared" si="3"/>
        <v>1882.58</v>
      </c>
      <c r="J22" s="78">
        <f t="shared" si="3"/>
        <v>1889.2199999999998</v>
      </c>
      <c r="K22" s="78">
        <f t="shared" si="3"/>
        <v>1814.88</v>
      </c>
      <c r="L22" s="78">
        <f t="shared" si="3"/>
        <v>1842.94</v>
      </c>
      <c r="M22" s="78">
        <f t="shared" si="3"/>
        <v>1841.38</v>
      </c>
      <c r="N22" s="78">
        <f t="shared" si="3"/>
        <v>1849.1600000000003</v>
      </c>
      <c r="O22" s="78">
        <f t="shared" si="3"/>
        <v>1837.12</v>
      </c>
      <c r="P22" s="78">
        <f t="shared" si="3"/>
        <v>1808.2200000000003</v>
      </c>
      <c r="Q22" s="77"/>
      <c r="R22" s="77"/>
      <c r="S22" s="77"/>
      <c r="T22" s="77"/>
      <c r="U22" s="99"/>
      <c r="V22" s="79"/>
      <c r="W22" s="80"/>
      <c r="X22" s="298"/>
      <c r="Z22" s="73"/>
      <c r="AA22" s="73"/>
      <c r="AB22" s="74"/>
      <c r="AC22" s="74"/>
      <c r="AD22" s="67"/>
      <c r="AE22" s="67"/>
    </row>
    <row r="23" spans="1:31">
      <c r="A23" s="68">
        <v>43119</v>
      </c>
      <c r="B23" s="69" t="s">
        <v>76</v>
      </c>
      <c r="C23" s="70" t="s">
        <v>77</v>
      </c>
      <c r="D23" s="49">
        <v>2811.06</v>
      </c>
      <c r="E23" s="49">
        <v>2758.62</v>
      </c>
      <c r="F23" s="49">
        <v>2735</v>
      </c>
      <c r="G23" s="49">
        <v>2727.74</v>
      </c>
      <c r="H23" s="49">
        <v>2738.93</v>
      </c>
      <c r="I23" s="49">
        <v>2770.48</v>
      </c>
      <c r="J23" s="49">
        <v>2822.95</v>
      </c>
      <c r="K23" s="49">
        <v>2812.48</v>
      </c>
      <c r="L23" s="49">
        <v>2757.39</v>
      </c>
      <c r="M23" s="49">
        <v>2729.64</v>
      </c>
      <c r="N23" s="49">
        <v>2747.14</v>
      </c>
      <c r="O23" s="49">
        <v>2791.39</v>
      </c>
      <c r="P23" s="49">
        <v>2860.7</v>
      </c>
      <c r="Q23" s="70">
        <f>IF((P24=""),"",MAX(D25:P25))</f>
        <v>1912.1599999999999</v>
      </c>
      <c r="R23" s="70">
        <f>IF(P24="","",MIN(D25:P25))</f>
        <v>1789.7799999999997</v>
      </c>
      <c r="S23" s="70">
        <f>IF((P25=""),"",AVERAGE(D25:P25))</f>
        <v>1859.7015384615381</v>
      </c>
      <c r="T23" s="70">
        <f>IF((P24=""),"",STDEV(D25:P25))</f>
        <v>34.825270002823494</v>
      </c>
      <c r="U23" s="97">
        <f>IF((P24=""),"",((Q23-R23)/(Q23+R23))*100)</f>
        <v>3.3058342382642643</v>
      </c>
      <c r="V23" s="71" t="str">
        <f>IF(P24="","",IF(U23&lt;7.2,IF(S23&gt;1700,IF(S23&lt;1950,"Pass","Fail"),"Fail"),"Fail"))</f>
        <v>Pass</v>
      </c>
      <c r="W23" s="72">
        <v>1428</v>
      </c>
      <c r="X23" s="130"/>
      <c r="Z23" s="73">
        <v>1600</v>
      </c>
      <c r="AA23" s="73">
        <v>2600</v>
      </c>
      <c r="AB23" s="74">
        <v>1700</v>
      </c>
      <c r="AC23" s="74">
        <v>1950</v>
      </c>
      <c r="AD23" s="67">
        <v>10</v>
      </c>
      <c r="AE23" s="67">
        <v>7.2</v>
      </c>
    </row>
    <row r="24" spans="1:31" ht="15.75">
      <c r="A24"/>
      <c r="B24" s="64"/>
      <c r="C24" s="64" t="s">
        <v>78</v>
      </c>
      <c r="D24" s="49">
        <v>1916.17</v>
      </c>
      <c r="E24" s="49">
        <v>1845.7</v>
      </c>
      <c r="F24" s="49">
        <v>1809.01</v>
      </c>
      <c r="G24" s="49">
        <v>1795.34</v>
      </c>
      <c r="H24" s="49">
        <v>1793.58</v>
      </c>
      <c r="I24" s="49">
        <v>1814.4</v>
      </c>
      <c r="J24" s="49">
        <v>1867.28</v>
      </c>
      <c r="K24" s="49">
        <v>1893.73</v>
      </c>
      <c r="L24" s="49">
        <v>1823.02</v>
      </c>
      <c r="M24" s="49">
        <v>1798.24</v>
      </c>
      <c r="N24" s="49">
        <v>1810.56</v>
      </c>
      <c r="O24" s="49">
        <v>1859.73</v>
      </c>
      <c r="P24" s="49">
        <v>1948.7</v>
      </c>
      <c r="Q24" s="64"/>
      <c r="R24" s="64"/>
      <c r="S24" s="64"/>
      <c r="T24" s="64"/>
      <c r="U24" s="98"/>
      <c r="V24" s="75"/>
      <c r="W24" s="76"/>
      <c r="X24" s="298"/>
      <c r="Z24" s="73"/>
      <c r="AA24" s="73"/>
      <c r="AB24" s="74"/>
      <c r="AC24" s="74"/>
      <c r="AD24" s="67"/>
      <c r="AE24" s="67"/>
    </row>
    <row r="25" spans="1:31" ht="60.75" thickBot="1">
      <c r="A25"/>
      <c r="B25" s="77"/>
      <c r="C25" s="77" t="s">
        <v>79</v>
      </c>
      <c r="D25" s="78">
        <f t="shared" ref="D25:P25" si="4">IF(((D23="")*AND(D24="")),"",(D23-D24)*2)</f>
        <v>1789.7799999999997</v>
      </c>
      <c r="E25" s="78">
        <f t="shared" si="4"/>
        <v>1825.8399999999997</v>
      </c>
      <c r="F25" s="78">
        <f t="shared" si="4"/>
        <v>1851.98</v>
      </c>
      <c r="G25" s="78">
        <f t="shared" si="4"/>
        <v>1864.7999999999997</v>
      </c>
      <c r="H25" s="78">
        <f t="shared" si="4"/>
        <v>1890.6999999999998</v>
      </c>
      <c r="I25" s="78">
        <f t="shared" si="4"/>
        <v>1912.1599999999999</v>
      </c>
      <c r="J25" s="78">
        <f t="shared" si="4"/>
        <v>1911.3399999999997</v>
      </c>
      <c r="K25" s="78">
        <f t="shared" si="4"/>
        <v>1837.5</v>
      </c>
      <c r="L25" s="78">
        <f t="shared" si="4"/>
        <v>1868.7399999999998</v>
      </c>
      <c r="M25" s="78">
        <f t="shared" si="4"/>
        <v>1862.7999999999997</v>
      </c>
      <c r="N25" s="78">
        <f t="shared" si="4"/>
        <v>1873.1599999999999</v>
      </c>
      <c r="O25" s="78">
        <f t="shared" si="4"/>
        <v>1863.3199999999997</v>
      </c>
      <c r="P25" s="78">
        <f t="shared" si="4"/>
        <v>1823.9999999999995</v>
      </c>
      <c r="Q25" s="77"/>
      <c r="R25" s="77"/>
      <c r="S25" s="77"/>
      <c r="T25" s="77"/>
      <c r="U25" s="99"/>
      <c r="V25" s="79"/>
      <c r="W25" s="80"/>
      <c r="X25" s="298"/>
      <c r="Z25" s="73"/>
      <c r="AA25" s="73"/>
      <c r="AB25" s="74"/>
      <c r="AC25" s="74"/>
      <c r="AD25" s="67"/>
      <c r="AE25" s="67"/>
    </row>
    <row r="26" spans="1:31">
      <c r="A26" s="68">
        <v>43122</v>
      </c>
      <c r="B26" s="69" t="s">
        <v>76</v>
      </c>
      <c r="C26" s="70" t="s">
        <v>77</v>
      </c>
      <c r="D26" s="49">
        <v>2802.69</v>
      </c>
      <c r="E26" s="49">
        <v>2750.43</v>
      </c>
      <c r="F26" s="49">
        <v>2726.14</v>
      </c>
      <c r="G26" s="49">
        <v>2717.73</v>
      </c>
      <c r="H26" s="49">
        <v>2729.63</v>
      </c>
      <c r="I26" s="49">
        <v>2755.48</v>
      </c>
      <c r="J26" s="49">
        <v>2809.98</v>
      </c>
      <c r="K26" s="49">
        <v>2806.89</v>
      </c>
      <c r="L26" s="49">
        <v>2747.41</v>
      </c>
      <c r="M26" s="49">
        <v>2721.58</v>
      </c>
      <c r="N26" s="49">
        <v>2737.03</v>
      </c>
      <c r="O26" s="49">
        <v>2781.71</v>
      </c>
      <c r="P26" s="49">
        <v>2855.24</v>
      </c>
      <c r="Q26" s="70">
        <f>IF((P27=""),"",MAX(D28:P28))</f>
        <v>1639.04</v>
      </c>
      <c r="R26" s="70">
        <f>IF(P27="","",MIN(D28:P28))</f>
        <v>1600.8799999999997</v>
      </c>
      <c r="S26" s="70">
        <f>IF((P28=""),"",AVERAGE(D28:P28))</f>
        <v>1615.0246153846156</v>
      </c>
      <c r="T26" s="70">
        <f>IF((P27=""),"",STDEV(D28:P28))</f>
        <v>12.728574557068205</v>
      </c>
      <c r="U26" s="97">
        <f>IF((P27=""),"",((Q26-R26)/(Q26+R26))*100)</f>
        <v>1.1778068594286377</v>
      </c>
      <c r="V26" s="71" t="str">
        <f>IF(P27="","",IF(U26&lt;7.2,IF(S26&gt;1700,IF(S26&lt;1950,"Pass","Fail"),"Fail"),"Fail"))</f>
        <v>Fail</v>
      </c>
      <c r="W26" s="72">
        <v>1428</v>
      </c>
      <c r="X26" s="374" t="s">
        <v>82</v>
      </c>
      <c r="Z26" s="73">
        <v>1600</v>
      </c>
      <c r="AA26" s="73">
        <v>2600</v>
      </c>
      <c r="AB26" s="74">
        <v>1700</v>
      </c>
      <c r="AC26" s="74">
        <v>1950</v>
      </c>
      <c r="AD26" s="67">
        <v>10</v>
      </c>
      <c r="AE26" s="67">
        <v>7.2</v>
      </c>
    </row>
    <row r="27" spans="1:31" ht="15.75">
      <c r="A27"/>
      <c r="B27" s="64"/>
      <c r="C27" s="64" t="s">
        <v>78</v>
      </c>
      <c r="D27" s="49">
        <v>1996.45</v>
      </c>
      <c r="E27" s="49">
        <v>1949.99</v>
      </c>
      <c r="F27" s="49">
        <v>1925.6</v>
      </c>
      <c r="G27" s="49">
        <v>1914.98</v>
      </c>
      <c r="H27" s="49">
        <v>1919.65</v>
      </c>
      <c r="I27" s="49">
        <v>1943.83</v>
      </c>
      <c r="J27" s="49">
        <v>1990.46</v>
      </c>
      <c r="K27" s="49">
        <v>1991.01</v>
      </c>
      <c r="L27" s="49">
        <v>1933.46</v>
      </c>
      <c r="M27" s="49">
        <v>1913.45</v>
      </c>
      <c r="N27" s="49">
        <v>1936.41</v>
      </c>
      <c r="O27" s="49">
        <v>1975.34</v>
      </c>
      <c r="P27" s="49">
        <v>2053.65</v>
      </c>
      <c r="Q27" s="64"/>
      <c r="R27" s="64"/>
      <c r="S27" s="64"/>
      <c r="T27" s="64"/>
      <c r="U27" s="98"/>
      <c r="V27" s="75"/>
      <c r="W27" s="76"/>
      <c r="X27" s="298"/>
      <c r="Z27" s="73"/>
      <c r="AA27" s="73"/>
      <c r="AB27" s="74"/>
      <c r="AC27" s="74"/>
      <c r="AD27" s="67"/>
      <c r="AE27" s="67"/>
    </row>
    <row r="28" spans="1:31" ht="60.75" thickBot="1">
      <c r="A28"/>
      <c r="B28" s="77"/>
      <c r="C28" s="77" t="s">
        <v>79</v>
      </c>
      <c r="D28" s="78">
        <f t="shared" ref="D28:P28" si="5">IF(((D26="")*AND(D27="")),"",(D26-D27)*2)</f>
        <v>1612.48</v>
      </c>
      <c r="E28" s="78">
        <f t="shared" si="5"/>
        <v>1600.8799999999997</v>
      </c>
      <c r="F28" s="78">
        <f t="shared" si="5"/>
        <v>1601.08</v>
      </c>
      <c r="G28" s="78">
        <f t="shared" si="5"/>
        <v>1605.5</v>
      </c>
      <c r="H28" s="78">
        <f t="shared" si="5"/>
        <v>1619.96</v>
      </c>
      <c r="I28" s="78">
        <f t="shared" si="5"/>
        <v>1623.3000000000002</v>
      </c>
      <c r="J28" s="78">
        <f t="shared" si="5"/>
        <v>1639.04</v>
      </c>
      <c r="K28" s="78">
        <f t="shared" si="5"/>
        <v>1631.7599999999998</v>
      </c>
      <c r="L28" s="78">
        <f t="shared" si="5"/>
        <v>1627.8999999999996</v>
      </c>
      <c r="M28" s="78">
        <f t="shared" si="5"/>
        <v>1616.2599999999998</v>
      </c>
      <c r="N28" s="78">
        <f t="shared" si="5"/>
        <v>1601.2400000000002</v>
      </c>
      <c r="O28" s="78">
        <f t="shared" si="5"/>
        <v>1612.7400000000002</v>
      </c>
      <c r="P28" s="78">
        <f t="shared" si="5"/>
        <v>1603.1799999999994</v>
      </c>
      <c r="Q28" s="77"/>
      <c r="R28" s="77"/>
      <c r="S28" s="77"/>
      <c r="T28" s="77"/>
      <c r="U28" s="99"/>
      <c r="V28" s="79"/>
      <c r="W28" s="80"/>
      <c r="X28" s="298"/>
      <c r="Z28" s="73"/>
      <c r="AA28" s="73"/>
      <c r="AB28" s="74"/>
      <c r="AC28" s="74"/>
      <c r="AD28" s="67"/>
      <c r="AE28" s="67"/>
    </row>
    <row r="29" spans="1:31">
      <c r="A29" s="68">
        <v>43125</v>
      </c>
      <c r="B29" s="69" t="s">
        <v>76</v>
      </c>
      <c r="C29" s="70" t="s">
        <v>77</v>
      </c>
      <c r="D29" s="49">
        <v>2793.52</v>
      </c>
      <c r="E29" s="49">
        <v>2743.21</v>
      </c>
      <c r="F29" s="49">
        <v>2715.21</v>
      </c>
      <c r="G29" s="49">
        <v>2703.8</v>
      </c>
      <c r="H29" s="49">
        <v>2709.83</v>
      </c>
      <c r="I29" s="49">
        <v>2737.59</v>
      </c>
      <c r="J29" s="49">
        <v>2791.91</v>
      </c>
      <c r="K29" s="49">
        <v>2801.56</v>
      </c>
      <c r="L29" s="49">
        <v>2740.25</v>
      </c>
      <c r="M29" s="49">
        <v>2706.11</v>
      </c>
      <c r="N29" s="49">
        <v>2722.96</v>
      </c>
      <c r="O29" s="49">
        <v>2767.42</v>
      </c>
      <c r="P29" s="49">
        <v>2847.29</v>
      </c>
      <c r="Q29" s="70">
        <f>IF((P30=""),"",MAX(D31:P31))</f>
        <v>1893.1799999999998</v>
      </c>
      <c r="R29" s="70">
        <f>IF(P30="","",MIN(D31:P31))</f>
        <v>1732.56</v>
      </c>
      <c r="S29" s="70">
        <f>IF((P31=""),"",AVERAGE(D31:P31))</f>
        <v>1827.4276923076925</v>
      </c>
      <c r="T29" s="70">
        <f>IF((P30=""),"",STDEV(D31:P31))</f>
        <v>44.857801654011787</v>
      </c>
      <c r="U29" s="97">
        <f>IF((P30=""),"",((Q29-R29)/(Q29+R29))*100)</f>
        <v>4.4299922222773809</v>
      </c>
      <c r="V29" s="71" t="str">
        <f>IF(P30="","",IF(U29&lt;7.2,IF(S29&gt;1700,IF(S29&lt;1950,"Pass","Fail"),"Fail"),"Fail"))</f>
        <v>Pass</v>
      </c>
      <c r="W29" s="72">
        <v>1428</v>
      </c>
      <c r="X29" s="130"/>
      <c r="Z29" s="73">
        <v>1600</v>
      </c>
      <c r="AA29" s="73">
        <v>2600</v>
      </c>
      <c r="AB29" s="74">
        <v>1700</v>
      </c>
      <c r="AC29" s="74">
        <v>1950</v>
      </c>
      <c r="AD29" s="67">
        <v>10</v>
      </c>
      <c r="AE29" s="67">
        <v>7.2</v>
      </c>
    </row>
    <row r="30" spans="1:31" ht="15.75">
      <c r="A30"/>
      <c r="B30" s="64"/>
      <c r="C30" s="64" t="s">
        <v>78</v>
      </c>
      <c r="D30" s="49">
        <v>1927.24</v>
      </c>
      <c r="E30" s="49">
        <v>1853.75</v>
      </c>
      <c r="F30" s="49">
        <v>1808.2</v>
      </c>
      <c r="G30" s="49">
        <v>1783.91</v>
      </c>
      <c r="H30" s="49">
        <v>1775.61</v>
      </c>
      <c r="I30" s="49">
        <v>1792.36</v>
      </c>
      <c r="J30" s="49">
        <v>1845.32</v>
      </c>
      <c r="K30" s="49">
        <v>1900.27</v>
      </c>
      <c r="L30" s="49">
        <v>1820.2</v>
      </c>
      <c r="M30" s="49">
        <v>1789.88</v>
      </c>
      <c r="N30" s="49">
        <v>1800.84</v>
      </c>
      <c r="O30" s="49">
        <v>1852.57</v>
      </c>
      <c r="P30" s="49">
        <v>1952.23</v>
      </c>
      <c r="Q30" s="64"/>
      <c r="R30" s="64"/>
      <c r="S30" s="64"/>
      <c r="T30" s="64"/>
      <c r="U30" s="98"/>
      <c r="V30" s="75"/>
      <c r="W30" s="76"/>
      <c r="X30" s="298"/>
      <c r="Z30" s="73"/>
      <c r="AA30" s="73"/>
      <c r="AB30" s="74"/>
      <c r="AC30" s="74"/>
      <c r="AD30" s="67"/>
      <c r="AE30" s="67"/>
    </row>
    <row r="31" spans="1:31" ht="60.75" thickBot="1">
      <c r="A31"/>
      <c r="B31" s="77"/>
      <c r="C31" s="77" t="s">
        <v>79</v>
      </c>
      <c r="D31" s="78">
        <f t="shared" ref="D31:P31" si="6">IF(((D29="")*AND(D30="")),"",(D29-D30)*2)</f>
        <v>1732.56</v>
      </c>
      <c r="E31" s="78">
        <f t="shared" si="6"/>
        <v>1778.92</v>
      </c>
      <c r="F31" s="78">
        <f t="shared" si="6"/>
        <v>1814.02</v>
      </c>
      <c r="G31" s="78">
        <f t="shared" si="6"/>
        <v>1839.7800000000002</v>
      </c>
      <c r="H31" s="78">
        <f t="shared" si="6"/>
        <v>1868.44</v>
      </c>
      <c r="I31" s="78">
        <f t="shared" si="6"/>
        <v>1890.4600000000005</v>
      </c>
      <c r="J31" s="78">
        <f t="shared" si="6"/>
        <v>1893.1799999999998</v>
      </c>
      <c r="K31" s="78">
        <f t="shared" si="6"/>
        <v>1802.58</v>
      </c>
      <c r="L31" s="78">
        <f t="shared" si="6"/>
        <v>1840.1</v>
      </c>
      <c r="M31" s="78">
        <f t="shared" si="6"/>
        <v>1832.46</v>
      </c>
      <c r="N31" s="78">
        <f t="shared" si="6"/>
        <v>1844.2400000000002</v>
      </c>
      <c r="O31" s="78">
        <f t="shared" si="6"/>
        <v>1829.7000000000003</v>
      </c>
      <c r="P31" s="78">
        <f t="shared" si="6"/>
        <v>1790.12</v>
      </c>
      <c r="Q31" s="77"/>
      <c r="R31" s="77"/>
      <c r="S31" s="77"/>
      <c r="T31" s="77"/>
      <c r="U31" s="99"/>
      <c r="V31" s="79"/>
      <c r="W31" s="80"/>
      <c r="X31" s="298"/>
      <c r="Z31" s="73"/>
      <c r="AA31" s="73"/>
      <c r="AB31" s="74"/>
      <c r="AC31" s="74"/>
      <c r="AD31" s="67"/>
      <c r="AE31" s="67"/>
    </row>
    <row r="32" spans="1:31">
      <c r="A32" s="68">
        <v>43129</v>
      </c>
      <c r="B32" s="69" t="s">
        <v>76</v>
      </c>
      <c r="C32" s="70" t="s">
        <v>77</v>
      </c>
      <c r="D32" s="49">
        <v>2800.06</v>
      </c>
      <c r="E32" s="49">
        <v>2763.44</v>
      </c>
      <c r="F32" s="49">
        <v>2743.37</v>
      </c>
      <c r="G32" s="49">
        <v>2740.53</v>
      </c>
      <c r="H32" s="49">
        <v>2755.46</v>
      </c>
      <c r="I32" s="49">
        <v>2792.96</v>
      </c>
      <c r="J32" s="49">
        <v>2857.82</v>
      </c>
      <c r="K32" s="49">
        <v>2849.31</v>
      </c>
      <c r="L32" s="49">
        <v>2788.47</v>
      </c>
      <c r="M32" s="49">
        <v>2754.96</v>
      </c>
      <c r="N32" s="49">
        <v>2744.99</v>
      </c>
      <c r="O32" s="49">
        <v>2769.76</v>
      </c>
      <c r="P32" s="49">
        <v>2806.74</v>
      </c>
      <c r="Q32" s="70">
        <f>IF((P33=""),"",MAX(D34:P34))</f>
        <v>1760.7600000000002</v>
      </c>
      <c r="R32" s="70">
        <f>IF(P33="","",MIN(D34:P34))</f>
        <v>1672.02</v>
      </c>
      <c r="S32" s="70">
        <f>IF((P34=""),"",AVERAGE(D34:P34))</f>
        <v>1718.6830769230769</v>
      </c>
      <c r="T32" s="70">
        <f>IF((P33=""),"",STDEV(D34:P34))</f>
        <v>24.237407515575246</v>
      </c>
      <c r="U32" s="97">
        <f>IF((P33=""),"",((Q32-R32)/(Q32+R32))*100)</f>
        <v>2.5850768182056592</v>
      </c>
      <c r="V32" s="71" t="str">
        <f>IF(P33="","",IF(U32&lt;7.2,IF(S32&gt;1700,IF(S32&lt;1950,"Pass","Fail"),"Fail"),"Fail"))</f>
        <v>Pass</v>
      </c>
      <c r="W32" s="72" t="s">
        <v>83</v>
      </c>
      <c r="X32" s="130"/>
      <c r="Z32" s="73">
        <v>1600</v>
      </c>
      <c r="AA32" s="73">
        <v>2600</v>
      </c>
      <c r="AB32" s="74">
        <v>1700</v>
      </c>
      <c r="AC32" s="74">
        <v>1950</v>
      </c>
      <c r="AD32" s="67">
        <v>10</v>
      </c>
      <c r="AE32" s="67">
        <v>7.2</v>
      </c>
    </row>
    <row r="33" spans="1:31" ht="15.75">
      <c r="A33"/>
      <c r="B33" s="64"/>
      <c r="C33" s="64" t="s">
        <v>78</v>
      </c>
      <c r="D33" s="49">
        <v>1964.05</v>
      </c>
      <c r="E33" s="49">
        <v>1917.33</v>
      </c>
      <c r="F33" s="49">
        <v>1891.16</v>
      </c>
      <c r="G33" s="49">
        <v>1880.57</v>
      </c>
      <c r="H33" s="49">
        <v>1886.59</v>
      </c>
      <c r="I33" s="49">
        <v>1916.36</v>
      </c>
      <c r="J33" s="49">
        <v>1977.44</v>
      </c>
      <c r="K33" s="49">
        <v>1992.5</v>
      </c>
      <c r="L33" s="49">
        <v>1924.97</v>
      </c>
      <c r="M33" s="49">
        <v>1894</v>
      </c>
      <c r="N33" s="49">
        <v>1884.23</v>
      </c>
      <c r="O33" s="49">
        <v>1908.5</v>
      </c>
      <c r="P33" s="49">
        <v>1958.73</v>
      </c>
      <c r="Q33" s="64"/>
      <c r="R33" s="64"/>
      <c r="S33" s="64"/>
      <c r="T33" s="64"/>
      <c r="U33" s="98"/>
      <c r="V33" s="75"/>
      <c r="W33" s="82"/>
      <c r="X33" s="298"/>
      <c r="Z33" s="73"/>
      <c r="AA33" s="73"/>
      <c r="AB33" s="74"/>
      <c r="AC33" s="74"/>
      <c r="AD33" s="67"/>
      <c r="AE33" s="67"/>
    </row>
    <row r="34" spans="1:31" ht="60.75" thickBot="1">
      <c r="A34"/>
      <c r="B34" s="101"/>
      <c r="C34" s="77" t="s">
        <v>79</v>
      </c>
      <c r="D34" s="78">
        <f t="shared" ref="D34:P34" si="7">IF(((D32="")*AND(D33="")),"",(D32-D33)*2)</f>
        <v>1672.02</v>
      </c>
      <c r="E34" s="78">
        <f t="shared" si="7"/>
        <v>1692.2200000000003</v>
      </c>
      <c r="F34" s="78">
        <f t="shared" si="7"/>
        <v>1704.4199999999996</v>
      </c>
      <c r="G34" s="78">
        <f t="shared" si="7"/>
        <v>1719.9200000000005</v>
      </c>
      <c r="H34" s="78">
        <f t="shared" si="7"/>
        <v>1737.7400000000002</v>
      </c>
      <c r="I34" s="78">
        <f t="shared" si="7"/>
        <v>1753.2000000000003</v>
      </c>
      <c r="J34" s="78">
        <f t="shared" si="7"/>
        <v>1760.7600000000002</v>
      </c>
      <c r="K34" s="78">
        <f t="shared" si="7"/>
        <v>1713.62</v>
      </c>
      <c r="L34" s="78">
        <f t="shared" si="7"/>
        <v>1726.9999999999995</v>
      </c>
      <c r="M34" s="78">
        <f t="shared" si="7"/>
        <v>1721.92</v>
      </c>
      <c r="N34" s="78">
        <f t="shared" si="7"/>
        <v>1721.5199999999995</v>
      </c>
      <c r="O34" s="78">
        <f t="shared" si="7"/>
        <v>1722.5200000000004</v>
      </c>
      <c r="P34" s="78">
        <f t="shared" si="7"/>
        <v>1696.0199999999995</v>
      </c>
      <c r="Q34" s="77"/>
      <c r="R34" s="77"/>
      <c r="S34" s="77"/>
      <c r="T34" s="77"/>
      <c r="U34" s="99"/>
      <c r="V34" s="79"/>
      <c r="W34" s="83"/>
      <c r="X34" s="298"/>
      <c r="Z34" s="73"/>
      <c r="AA34" s="73"/>
      <c r="AB34" s="74"/>
      <c r="AC34" s="74"/>
      <c r="AD34" s="67"/>
      <c r="AE34" s="67"/>
    </row>
    <row r="35" spans="1:31">
      <c r="A35" s="68">
        <v>43102</v>
      </c>
      <c r="B35" s="69" t="s">
        <v>76</v>
      </c>
      <c r="C35" s="70" t="s">
        <v>77</v>
      </c>
      <c r="D35" s="49">
        <v>2797.81</v>
      </c>
      <c r="E35" s="49">
        <v>2761.78</v>
      </c>
      <c r="F35" s="49">
        <v>2742</v>
      </c>
      <c r="G35" s="49">
        <v>2736.93</v>
      </c>
      <c r="H35" s="49">
        <v>2753.26</v>
      </c>
      <c r="I35" s="49">
        <v>2791.12</v>
      </c>
      <c r="J35" s="49">
        <v>2854.59</v>
      </c>
      <c r="K35" s="49">
        <v>2848.01</v>
      </c>
      <c r="L35" s="49">
        <v>2790.57</v>
      </c>
      <c r="M35" s="49">
        <v>2753.17</v>
      </c>
      <c r="N35" s="49">
        <v>2742.98</v>
      </c>
      <c r="O35" s="49">
        <v>2766.58</v>
      </c>
      <c r="P35" s="49">
        <v>2808.02</v>
      </c>
      <c r="Q35" s="70">
        <f>IF((P36=""),"",MAX(D37:P37))</f>
        <v>1912.2599999999998</v>
      </c>
      <c r="R35" s="70">
        <f>IF(P36="","",MIN(D37:P37))</f>
        <v>1761.38</v>
      </c>
      <c r="S35" s="70">
        <f>IF((P37=""),"",AVERAGE(D37:P37))</f>
        <v>1854.2046153846156</v>
      </c>
      <c r="T35" s="70">
        <f>IF((P36=""),"",STDEV(D37:P37))</f>
        <v>41.494186865011038</v>
      </c>
      <c r="U35" s="97">
        <f>IF((P36=""),"",((Q35-R35)/(Q35+R35))*100)</f>
        <v>4.107098136997628</v>
      </c>
      <c r="V35" s="71" t="str">
        <f>IF(P36="","",IF(U35&lt;7.2,IF(S35&gt;1700,IF(S35&lt;1950,"Pass","Fail"),"Fail"),"Fail"))</f>
        <v>Pass</v>
      </c>
      <c r="W35" s="72">
        <v>1335</v>
      </c>
      <c r="X35" s="130"/>
      <c r="Z35" s="73">
        <v>1600</v>
      </c>
      <c r="AA35" s="73">
        <v>2600</v>
      </c>
      <c r="AB35" s="74">
        <v>1700</v>
      </c>
      <c r="AC35" s="74">
        <v>1950</v>
      </c>
      <c r="AD35" s="67">
        <v>10</v>
      </c>
      <c r="AE35" s="67">
        <v>7.2</v>
      </c>
    </row>
    <row r="36" spans="1:31" ht="15.75">
      <c r="A36"/>
      <c r="B36" s="64"/>
      <c r="C36" s="64" t="s">
        <v>78</v>
      </c>
      <c r="D36" s="49">
        <v>1917.12</v>
      </c>
      <c r="E36" s="49">
        <v>1856.94</v>
      </c>
      <c r="F36" s="49">
        <v>1821.5</v>
      </c>
      <c r="G36" s="49">
        <v>1807.17</v>
      </c>
      <c r="H36" s="49">
        <v>1807.97</v>
      </c>
      <c r="I36" s="49">
        <v>1834.99</v>
      </c>
      <c r="J36" s="49">
        <v>1899.66</v>
      </c>
      <c r="K36" s="49">
        <v>1931.41</v>
      </c>
      <c r="L36" s="49">
        <v>1855.85</v>
      </c>
      <c r="M36" s="49">
        <v>1822.9</v>
      </c>
      <c r="N36" s="49">
        <v>1806.47</v>
      </c>
      <c r="O36" s="49">
        <v>1836.13</v>
      </c>
      <c r="P36" s="49">
        <v>1896.38</v>
      </c>
      <c r="Q36" s="64"/>
      <c r="R36" s="64"/>
      <c r="S36" s="64"/>
      <c r="T36" s="64"/>
      <c r="U36" s="98"/>
      <c r="V36" s="75"/>
      <c r="W36" s="76"/>
      <c r="X36" s="298"/>
      <c r="Z36" s="73"/>
      <c r="AA36" s="73"/>
      <c r="AB36" s="74"/>
      <c r="AC36" s="74"/>
      <c r="AD36" s="67"/>
      <c r="AE36" s="67"/>
    </row>
    <row r="37" spans="1:31" ht="60.75" thickBot="1">
      <c r="A37"/>
      <c r="B37" s="77"/>
      <c r="C37" s="77" t="s">
        <v>79</v>
      </c>
      <c r="D37" s="78">
        <f t="shared" ref="D37:P37" si="8">IF(((D35="")*AND(D36="")),"",(D35-D36)*2)</f>
        <v>1761.38</v>
      </c>
      <c r="E37" s="78">
        <f t="shared" si="8"/>
        <v>1809.6800000000003</v>
      </c>
      <c r="F37" s="78">
        <f t="shared" si="8"/>
        <v>1841</v>
      </c>
      <c r="G37" s="78">
        <f t="shared" si="8"/>
        <v>1859.5199999999995</v>
      </c>
      <c r="H37" s="78">
        <f t="shared" si="8"/>
        <v>1890.5800000000004</v>
      </c>
      <c r="I37" s="78">
        <f t="shared" si="8"/>
        <v>1912.2599999999998</v>
      </c>
      <c r="J37" s="78">
        <f t="shared" si="8"/>
        <v>1909.8600000000001</v>
      </c>
      <c r="K37" s="78">
        <f t="shared" si="8"/>
        <v>1833.2000000000003</v>
      </c>
      <c r="L37" s="78">
        <f t="shared" si="8"/>
        <v>1869.4400000000005</v>
      </c>
      <c r="M37" s="78">
        <f t="shared" si="8"/>
        <v>1860.54</v>
      </c>
      <c r="N37" s="78">
        <f t="shared" si="8"/>
        <v>1873.02</v>
      </c>
      <c r="O37" s="78">
        <f t="shared" si="8"/>
        <v>1860.8999999999996</v>
      </c>
      <c r="P37" s="78">
        <f t="shared" si="8"/>
        <v>1823.2799999999997</v>
      </c>
      <c r="Q37" s="77"/>
      <c r="R37" s="77"/>
      <c r="S37" s="77"/>
      <c r="T37" s="77"/>
      <c r="U37" s="99"/>
      <c r="V37" s="79"/>
      <c r="W37" s="80"/>
      <c r="X37" s="298"/>
      <c r="Z37" s="73"/>
      <c r="AA37" s="73"/>
      <c r="AB37" s="74"/>
      <c r="AC37" s="74"/>
      <c r="AD37" s="67"/>
      <c r="AE37" s="67"/>
    </row>
    <row r="38" spans="1:31">
      <c r="A38" s="68">
        <v>43137</v>
      </c>
      <c r="B38" s="69" t="s">
        <v>76</v>
      </c>
      <c r="C38" s="70" t="s">
        <v>77</v>
      </c>
      <c r="D38" s="49">
        <v>2801.4</v>
      </c>
      <c r="E38" s="49">
        <v>2763.07</v>
      </c>
      <c r="F38" s="49">
        <v>2746.7</v>
      </c>
      <c r="G38" s="49">
        <v>2745.26</v>
      </c>
      <c r="H38" s="49">
        <v>2757.36</v>
      </c>
      <c r="I38" s="49">
        <v>2795.17</v>
      </c>
      <c r="J38" s="49">
        <v>2860.04</v>
      </c>
      <c r="K38" s="49">
        <v>2851.3</v>
      </c>
      <c r="L38" s="49">
        <v>2791.4</v>
      </c>
      <c r="M38" s="49">
        <v>2754.99</v>
      </c>
      <c r="N38" s="49">
        <v>2748.24</v>
      </c>
      <c r="O38" s="49">
        <v>2772.19</v>
      </c>
      <c r="P38" s="49">
        <v>2808.04</v>
      </c>
      <c r="Q38" s="70">
        <f>IF((P39=""),"",MAX(D40:P40))</f>
        <v>1922.3199999999997</v>
      </c>
      <c r="R38" s="70">
        <f>IF(P39="","",MIN(D40:P40))</f>
        <v>1769.92</v>
      </c>
      <c r="S38" s="70">
        <f>IF((P40=""),"",AVERAGE(D40:P40))</f>
        <v>1861.3215384615387</v>
      </c>
      <c r="T38" s="70">
        <f>IF((P39=""),"",STDEV(D40:P40))</f>
        <v>42.533047905138432</v>
      </c>
      <c r="U38" s="97">
        <f>IF((P39=""),"",((Q38-R38)/(Q38+R38))*100)</f>
        <v>4.1275756722206483</v>
      </c>
      <c r="V38" s="71" t="str">
        <f>IF(P39="","",IF(U38&lt;7.2,IF(S38&gt;1700,IF(S38&lt;1950,"Pass","Fail"),"Fail"),"Fail"))</f>
        <v>Pass</v>
      </c>
      <c r="W38" s="72">
        <v>1519</v>
      </c>
      <c r="X38" s="130"/>
      <c r="Z38" s="73">
        <v>1600</v>
      </c>
      <c r="AA38" s="73">
        <v>2600</v>
      </c>
      <c r="AB38" s="74">
        <v>1700</v>
      </c>
      <c r="AC38" s="74">
        <v>1950</v>
      </c>
      <c r="AD38" s="67">
        <v>10</v>
      </c>
      <c r="AE38" s="67">
        <v>7.2</v>
      </c>
    </row>
    <row r="39" spans="1:31" ht="15.75">
      <c r="A39"/>
      <c r="B39" s="64"/>
      <c r="C39" s="64" t="s">
        <v>78</v>
      </c>
      <c r="D39" s="49">
        <v>1916.44</v>
      </c>
      <c r="E39" s="49">
        <v>1857.45</v>
      </c>
      <c r="F39" s="49">
        <v>1821.23</v>
      </c>
      <c r="G39" s="49">
        <v>1807.39</v>
      </c>
      <c r="H39" s="49">
        <v>1809.35</v>
      </c>
      <c r="I39" s="49">
        <v>1835.41</v>
      </c>
      <c r="J39" s="49">
        <v>1898.88</v>
      </c>
      <c r="K39" s="49">
        <v>1928.84</v>
      </c>
      <c r="L39" s="49">
        <v>1855.02</v>
      </c>
      <c r="M39" s="49">
        <v>1822.33</v>
      </c>
      <c r="N39" s="49">
        <v>1808.8</v>
      </c>
      <c r="O39" s="49">
        <v>1838.9</v>
      </c>
      <c r="P39" s="49">
        <v>1896.53</v>
      </c>
      <c r="U39" s="98"/>
      <c r="V39" s="75"/>
      <c r="W39" s="76"/>
      <c r="X39" s="298"/>
      <c r="Z39" s="73"/>
      <c r="AA39" s="73"/>
      <c r="AB39" s="74"/>
      <c r="AC39" s="74"/>
      <c r="AD39" s="67"/>
      <c r="AE39" s="67"/>
    </row>
    <row r="40" spans="1:31" ht="60.75" thickBot="1">
      <c r="A40"/>
      <c r="B40" s="77"/>
      <c r="C40" s="77" t="s">
        <v>79</v>
      </c>
      <c r="D40" s="78">
        <f t="shared" ref="D40:P40" si="9">IF(((D38="")*AND(D39="")),"",(D38-D39)*2)</f>
        <v>1769.92</v>
      </c>
      <c r="E40" s="78">
        <f t="shared" si="9"/>
        <v>1811.2400000000002</v>
      </c>
      <c r="F40" s="78">
        <f t="shared" si="9"/>
        <v>1850.9399999999996</v>
      </c>
      <c r="G40" s="78">
        <f t="shared" si="9"/>
        <v>1875.7400000000002</v>
      </c>
      <c r="H40" s="78">
        <f t="shared" si="9"/>
        <v>1896.0200000000004</v>
      </c>
      <c r="I40" s="78">
        <f t="shared" si="9"/>
        <v>1919.52</v>
      </c>
      <c r="J40" s="78">
        <f t="shared" si="9"/>
        <v>1922.3199999999997</v>
      </c>
      <c r="K40" s="78">
        <f t="shared" si="9"/>
        <v>1844.9200000000005</v>
      </c>
      <c r="L40" s="78">
        <f t="shared" si="9"/>
        <v>1872.7600000000002</v>
      </c>
      <c r="M40" s="78">
        <f t="shared" si="9"/>
        <v>1865.3199999999997</v>
      </c>
      <c r="N40" s="78">
        <f t="shared" si="9"/>
        <v>1878.8799999999997</v>
      </c>
      <c r="O40" s="78">
        <f t="shared" si="9"/>
        <v>1866.58</v>
      </c>
      <c r="P40" s="78">
        <f t="shared" si="9"/>
        <v>1823.02</v>
      </c>
      <c r="Q40" s="77"/>
      <c r="R40" s="77"/>
      <c r="S40" s="77"/>
      <c r="T40" s="77"/>
      <c r="U40" s="99"/>
      <c r="V40" s="79"/>
      <c r="W40" s="80"/>
      <c r="X40" s="298"/>
      <c r="Z40" s="73"/>
      <c r="AA40" s="73"/>
      <c r="AB40" s="74"/>
      <c r="AC40" s="74"/>
      <c r="AD40" s="67"/>
      <c r="AE40" s="67"/>
    </row>
    <row r="41" spans="1:31">
      <c r="A41" s="68">
        <v>43141</v>
      </c>
      <c r="B41" s="69" t="s">
        <v>76</v>
      </c>
      <c r="C41" s="70" t="s">
        <v>77</v>
      </c>
      <c r="D41" s="49">
        <v>2805.51</v>
      </c>
      <c r="E41" s="49">
        <v>2765.43</v>
      </c>
      <c r="F41" s="49">
        <v>2744.77</v>
      </c>
      <c r="G41" s="49">
        <v>2742.02</v>
      </c>
      <c r="H41" s="49">
        <v>2758.38</v>
      </c>
      <c r="I41" s="49">
        <v>2794.31</v>
      </c>
      <c r="J41" s="49">
        <v>2862.07</v>
      </c>
      <c r="K41" s="49">
        <v>2847.27</v>
      </c>
      <c r="L41" s="49">
        <v>2789.21</v>
      </c>
      <c r="M41" s="49">
        <v>2756.15</v>
      </c>
      <c r="N41" s="49">
        <v>2750.08</v>
      </c>
      <c r="O41" s="49">
        <v>2771.34</v>
      </c>
      <c r="P41" s="49">
        <v>2810.67</v>
      </c>
      <c r="Q41" s="70">
        <f>IF((P42=""),"",MAX(D43:P43))</f>
        <v>1630.7400000000002</v>
      </c>
      <c r="R41" s="70">
        <f>IF(P42="","",MIN(D43:P43))</f>
        <v>1596.1000000000004</v>
      </c>
      <c r="S41" s="70">
        <f>IF((P43=""),"",AVERAGE(D43:P43))</f>
        <v>1613.9353846153842</v>
      </c>
      <c r="T41" s="70">
        <f>IF((P42=""),"",STDEV(D43:P43))</f>
        <v>10.713496640126142</v>
      </c>
      <c r="U41" s="97">
        <f>IF((P42=""),"",((Q41-R41)/(Q41+R41))*100)</f>
        <v>1.0734960518649783</v>
      </c>
      <c r="V41" s="71" t="str">
        <f>IF(P42="","",IF(U41&lt;7.2,IF(S41&gt;1700,IF(S41&lt;1950,"Pass","Fail"),"Fail"),"Fail"))</f>
        <v>Fail</v>
      </c>
      <c r="W41" s="72">
        <v>102</v>
      </c>
      <c r="X41" s="130"/>
      <c r="Z41" s="73">
        <v>1600</v>
      </c>
      <c r="AA41" s="73">
        <v>2600</v>
      </c>
      <c r="AB41" s="74">
        <v>1700</v>
      </c>
      <c r="AC41" s="74">
        <v>1950</v>
      </c>
      <c r="AD41" s="67">
        <v>10</v>
      </c>
      <c r="AE41" s="67">
        <v>7.2</v>
      </c>
    </row>
    <row r="42" spans="1:31" ht="15.75">
      <c r="A42"/>
      <c r="B42" s="64"/>
      <c r="C42" s="64" t="s">
        <v>78</v>
      </c>
      <c r="D42" s="49">
        <v>1996.11</v>
      </c>
      <c r="E42" s="49">
        <v>1964.53</v>
      </c>
      <c r="F42" s="49">
        <v>1945.44</v>
      </c>
      <c r="G42" s="49">
        <v>1937.84</v>
      </c>
      <c r="H42" s="49">
        <v>1948.6</v>
      </c>
      <c r="I42" s="49">
        <v>1979.97</v>
      </c>
      <c r="J42" s="49">
        <v>2051.48</v>
      </c>
      <c r="K42" s="49">
        <v>2037.79</v>
      </c>
      <c r="L42" s="49">
        <v>1973.84</v>
      </c>
      <c r="M42" s="49">
        <v>1948.62</v>
      </c>
      <c r="N42" s="49">
        <v>1944.86</v>
      </c>
      <c r="O42" s="49">
        <v>1964.93</v>
      </c>
      <c r="P42" s="49">
        <v>2012.62</v>
      </c>
      <c r="Q42" s="64"/>
      <c r="R42" s="64"/>
      <c r="S42" s="64"/>
      <c r="T42" s="64"/>
      <c r="U42" s="98"/>
      <c r="V42" s="75"/>
      <c r="W42" s="76"/>
      <c r="X42" s="298"/>
      <c r="Z42" s="73"/>
      <c r="AA42" s="73"/>
      <c r="AB42" s="74"/>
      <c r="AC42" s="74"/>
      <c r="AD42" s="67"/>
      <c r="AE42" s="67"/>
    </row>
    <row r="43" spans="1:31" ht="60.75" thickBot="1">
      <c r="A43"/>
      <c r="B43" s="77"/>
      <c r="C43" s="77" t="s">
        <v>79</v>
      </c>
      <c r="D43" s="78">
        <f t="shared" ref="D43:P43" si="10">IF(((D41="")*AND(D42="")),"",(D41-D42)*2)</f>
        <v>1618.8000000000006</v>
      </c>
      <c r="E43" s="78">
        <f t="shared" si="10"/>
        <v>1601.7999999999997</v>
      </c>
      <c r="F43" s="78">
        <f t="shared" si="10"/>
        <v>1598.6599999999999</v>
      </c>
      <c r="G43" s="78">
        <f t="shared" si="10"/>
        <v>1608.3600000000001</v>
      </c>
      <c r="H43" s="78">
        <f t="shared" si="10"/>
        <v>1619.5600000000004</v>
      </c>
      <c r="I43" s="78">
        <f t="shared" si="10"/>
        <v>1628.6799999999998</v>
      </c>
      <c r="J43" s="78">
        <f t="shared" si="10"/>
        <v>1621.1800000000003</v>
      </c>
      <c r="K43" s="78">
        <f t="shared" si="10"/>
        <v>1618.96</v>
      </c>
      <c r="L43" s="78">
        <f t="shared" si="10"/>
        <v>1630.7400000000002</v>
      </c>
      <c r="M43" s="78">
        <f t="shared" si="10"/>
        <v>1615.0600000000004</v>
      </c>
      <c r="N43" s="78">
        <f t="shared" si="10"/>
        <v>1610.44</v>
      </c>
      <c r="O43" s="78">
        <f t="shared" si="10"/>
        <v>1612.8200000000002</v>
      </c>
      <c r="P43" s="78">
        <f t="shared" si="10"/>
        <v>1596.1000000000004</v>
      </c>
      <c r="Q43" s="77"/>
      <c r="R43" s="77"/>
      <c r="S43" s="77"/>
      <c r="T43" s="77"/>
      <c r="U43" s="99"/>
      <c r="V43" s="79"/>
      <c r="W43" s="80"/>
      <c r="X43" s="298"/>
      <c r="Z43" s="73"/>
      <c r="AA43" s="73"/>
      <c r="AB43" s="74"/>
      <c r="AC43" s="74"/>
      <c r="AD43" s="67"/>
      <c r="AE43" s="67"/>
    </row>
    <row r="44" spans="1:31">
      <c r="A44" s="68">
        <v>43146</v>
      </c>
      <c r="B44" s="69" t="s">
        <v>76</v>
      </c>
      <c r="C44" s="70" t="s">
        <v>77</v>
      </c>
      <c r="D44" s="49">
        <v>2804.03</v>
      </c>
      <c r="E44" s="49">
        <v>2766.94</v>
      </c>
      <c r="F44" s="49">
        <v>2748.11</v>
      </c>
      <c r="G44" s="49">
        <v>2744.28</v>
      </c>
      <c r="H44" s="49">
        <v>2758.15</v>
      </c>
      <c r="I44" s="49">
        <v>2789.9</v>
      </c>
      <c r="J44" s="49">
        <v>2850.56</v>
      </c>
      <c r="K44" s="49">
        <v>2852.76</v>
      </c>
      <c r="L44" s="49">
        <v>2792.22</v>
      </c>
      <c r="M44" s="49">
        <v>2759.22</v>
      </c>
      <c r="N44" s="49">
        <v>2748.08</v>
      </c>
      <c r="O44" s="49">
        <v>2772</v>
      </c>
      <c r="P44" s="49">
        <v>2819.61</v>
      </c>
      <c r="Q44" s="70">
        <f>IF((P45=""),"",MAX(D46:P46))</f>
        <v>1870.7000000000003</v>
      </c>
      <c r="R44" s="70">
        <f>IF(P45="","",MIN(D46:P46))</f>
        <v>1702.9800000000005</v>
      </c>
      <c r="S44" s="70">
        <f>IF((P46=""),"",AVERAGE(D46:P46))</f>
        <v>1812.7446153846156</v>
      </c>
      <c r="T44" s="70">
        <f>IF((P45=""),"",STDEV(D46:P46))</f>
        <v>53.322760089746815</v>
      </c>
      <c r="U44" s="97">
        <f>IF((P45=""),"",((Q44-R44)/(Q44+R44))*100)</f>
        <v>4.6932014058337561</v>
      </c>
      <c r="V44" s="71" t="str">
        <f>IF(P45="","",IF(U44&lt;7.2,IF(S44&gt;1700,IF(S44&lt;1950,"Pass","Fail"),"Fail"),"Fail"))</f>
        <v>Pass</v>
      </c>
      <c r="W44" s="72">
        <v>1335</v>
      </c>
      <c r="X44" s="130"/>
      <c r="Z44" s="73">
        <v>1600</v>
      </c>
      <c r="AA44" s="73">
        <v>2600</v>
      </c>
      <c r="AB44" s="74">
        <v>1700</v>
      </c>
      <c r="AC44" s="74">
        <v>1950</v>
      </c>
      <c r="AD44" s="67">
        <v>10</v>
      </c>
      <c r="AE44" s="67">
        <v>7.2</v>
      </c>
    </row>
    <row r="45" spans="1:31" ht="15.75">
      <c r="A45"/>
      <c r="B45" s="64"/>
      <c r="C45" s="64" t="s">
        <v>78</v>
      </c>
      <c r="D45" s="49">
        <v>1946.21</v>
      </c>
      <c r="E45" s="49">
        <v>1858.58</v>
      </c>
      <c r="F45" s="49">
        <v>1832.27</v>
      </c>
      <c r="G45" s="49">
        <v>1822.63</v>
      </c>
      <c r="H45" s="49">
        <v>1828.05</v>
      </c>
      <c r="I45" s="49">
        <v>1854.55</v>
      </c>
      <c r="J45" s="49">
        <v>1960.45</v>
      </c>
      <c r="K45" s="49">
        <v>1963.7</v>
      </c>
      <c r="L45" s="49">
        <v>1868.35</v>
      </c>
      <c r="M45" s="49">
        <v>1836.24</v>
      </c>
      <c r="N45" s="49">
        <v>1827.81</v>
      </c>
      <c r="O45" s="49">
        <v>1856.06</v>
      </c>
      <c r="P45" s="49">
        <v>1968.12</v>
      </c>
      <c r="Q45" s="64"/>
      <c r="R45" s="64"/>
      <c r="S45" s="64"/>
      <c r="T45" s="64"/>
      <c r="U45" s="98"/>
      <c r="V45" s="75"/>
      <c r="W45" s="76"/>
      <c r="X45" s="298"/>
      <c r="Z45" s="73"/>
      <c r="AA45" s="73"/>
      <c r="AB45" s="74"/>
      <c r="AC45" s="74"/>
      <c r="AD45" s="67"/>
      <c r="AE45" s="67"/>
    </row>
    <row r="46" spans="1:31" ht="60.75" thickBot="1">
      <c r="A46"/>
      <c r="B46" s="77"/>
      <c r="C46" s="77" t="s">
        <v>79</v>
      </c>
      <c r="D46" s="78">
        <f t="shared" ref="D46:P46" si="11">IF(((D44="")*AND(D45="")),"",(D44-D45)*2)</f>
        <v>1715.6400000000003</v>
      </c>
      <c r="E46" s="78">
        <f t="shared" si="11"/>
        <v>1816.7200000000003</v>
      </c>
      <c r="F46" s="78">
        <f t="shared" si="11"/>
        <v>1831.6800000000003</v>
      </c>
      <c r="G46" s="78">
        <f t="shared" si="11"/>
        <v>1843.3000000000002</v>
      </c>
      <c r="H46" s="78">
        <f t="shared" si="11"/>
        <v>1860.2000000000003</v>
      </c>
      <c r="I46" s="78">
        <f t="shared" si="11"/>
        <v>1870.7000000000003</v>
      </c>
      <c r="J46" s="78">
        <f t="shared" si="11"/>
        <v>1780.2199999999998</v>
      </c>
      <c r="K46" s="78">
        <f t="shared" si="11"/>
        <v>1778.1200000000003</v>
      </c>
      <c r="L46" s="78">
        <f t="shared" si="11"/>
        <v>1847.7399999999998</v>
      </c>
      <c r="M46" s="78">
        <f t="shared" si="11"/>
        <v>1845.9599999999996</v>
      </c>
      <c r="N46" s="78">
        <f t="shared" si="11"/>
        <v>1840.54</v>
      </c>
      <c r="O46" s="78">
        <f t="shared" si="11"/>
        <v>1831.88</v>
      </c>
      <c r="P46" s="78">
        <f t="shared" si="11"/>
        <v>1702.9800000000005</v>
      </c>
      <c r="Q46" s="77"/>
      <c r="R46" s="77"/>
      <c r="S46" s="77"/>
      <c r="T46" s="77"/>
      <c r="U46" s="99"/>
      <c r="V46" s="79"/>
      <c r="W46" s="80"/>
      <c r="X46" s="298"/>
      <c r="Z46" s="73"/>
      <c r="AA46" s="73"/>
      <c r="AB46" s="74"/>
      <c r="AC46" s="74"/>
      <c r="AD46" s="67"/>
      <c r="AE46" s="67"/>
    </row>
    <row r="47" spans="1:31">
      <c r="A47" s="68">
        <v>43151</v>
      </c>
      <c r="B47" s="69" t="s">
        <v>76</v>
      </c>
      <c r="C47" s="70" t="s">
        <v>77</v>
      </c>
      <c r="D47" s="49">
        <v>2810.79</v>
      </c>
      <c r="E47" s="49">
        <v>2765.9</v>
      </c>
      <c r="F47" s="49">
        <v>2742.16</v>
      </c>
      <c r="G47" s="49">
        <v>2744.85</v>
      </c>
      <c r="H47" s="49">
        <v>2758.8</v>
      </c>
      <c r="I47" s="49">
        <v>2795.28</v>
      </c>
      <c r="J47" s="49">
        <v>2857.08</v>
      </c>
      <c r="K47" s="49">
        <v>2831.79</v>
      </c>
      <c r="L47" s="49">
        <v>2780.56</v>
      </c>
      <c r="M47" s="49">
        <v>2752.63</v>
      </c>
      <c r="N47" s="49">
        <v>2746.9</v>
      </c>
      <c r="O47" s="49">
        <v>2768.82</v>
      </c>
      <c r="P47" s="49">
        <v>2817.39</v>
      </c>
      <c r="Q47" s="70">
        <f>IF((P48=""),"",MAX(D49:P49))</f>
        <v>1806.4400000000005</v>
      </c>
      <c r="R47" s="70">
        <f>IF(P48="","",MIN(D49:P49))</f>
        <v>1646.9199999999996</v>
      </c>
      <c r="S47" s="70">
        <f>IF((P49=""),"",AVERAGE(D49:P49))</f>
        <v>1755.7753846153848</v>
      </c>
      <c r="T47" s="70">
        <f>IF((P48=""),"",STDEV(D49:P49))</f>
        <v>53.737053730083503</v>
      </c>
      <c r="U47" s="97">
        <f>IF((P48=""),"",((Q47-R47)/(Q47+R47))*100)</f>
        <v>4.6192693492714598</v>
      </c>
      <c r="V47" s="71" t="str">
        <f>IF(P48="","",IF(U47&lt;7.2,IF(S47&gt;1700,IF(S47&lt;1950,"Pass","Fail"),"Fail"),"Fail"))</f>
        <v>Pass</v>
      </c>
      <c r="W47" s="72">
        <v>102</v>
      </c>
      <c r="X47" s="130"/>
      <c r="Z47" s="73">
        <v>1600</v>
      </c>
      <c r="AA47" s="73">
        <v>2600</v>
      </c>
      <c r="AB47" s="74">
        <v>1700</v>
      </c>
      <c r="AC47" s="74">
        <v>1950</v>
      </c>
      <c r="AD47" s="67">
        <v>10</v>
      </c>
      <c r="AE47" s="67">
        <v>7.2</v>
      </c>
    </row>
    <row r="48" spans="1:31" ht="15.75">
      <c r="A48"/>
      <c r="B48" s="64"/>
      <c r="C48" s="64" t="s">
        <v>78</v>
      </c>
      <c r="D48" s="49">
        <v>1976.29</v>
      </c>
      <c r="E48" s="49">
        <v>1881.73</v>
      </c>
      <c r="F48" s="49">
        <v>1854.23</v>
      </c>
      <c r="G48" s="49">
        <v>1848.7</v>
      </c>
      <c r="H48" s="49">
        <v>1857.16</v>
      </c>
      <c r="I48" s="49">
        <v>1892.06</v>
      </c>
      <c r="J48" s="49">
        <v>2006.78</v>
      </c>
      <c r="K48" s="49">
        <v>1973.57</v>
      </c>
      <c r="L48" s="49">
        <v>1884.61</v>
      </c>
      <c r="M48" s="49">
        <v>1857.43</v>
      </c>
      <c r="N48" s="49">
        <v>1852.4</v>
      </c>
      <c r="O48" s="49">
        <v>1881.52</v>
      </c>
      <c r="P48" s="49">
        <v>1993.93</v>
      </c>
      <c r="Q48" s="64"/>
      <c r="R48" s="64"/>
      <c r="S48" s="64"/>
      <c r="T48" s="64"/>
      <c r="U48" s="98"/>
      <c r="V48" s="75"/>
      <c r="W48" s="76"/>
      <c r="X48" s="298"/>
      <c r="Z48" s="73"/>
      <c r="AA48" s="73"/>
      <c r="AB48" s="74"/>
      <c r="AC48" s="74"/>
      <c r="AD48" s="67"/>
      <c r="AE48" s="67"/>
    </row>
    <row r="49" spans="1:31" ht="60.75" thickBot="1">
      <c r="A49"/>
      <c r="B49" s="77"/>
      <c r="C49" s="77" t="s">
        <v>79</v>
      </c>
      <c r="D49" s="78">
        <f t="shared" ref="D49:P49" si="12">IF(((D47="")*AND(D48="")),"",(D47-D48)*2)</f>
        <v>1669</v>
      </c>
      <c r="E49" s="78">
        <f t="shared" si="12"/>
        <v>1768.3400000000001</v>
      </c>
      <c r="F49" s="78">
        <f t="shared" si="12"/>
        <v>1775.8599999999997</v>
      </c>
      <c r="G49" s="78">
        <f t="shared" si="12"/>
        <v>1792.2999999999997</v>
      </c>
      <c r="H49" s="78">
        <f t="shared" si="12"/>
        <v>1803.2800000000002</v>
      </c>
      <c r="I49" s="78">
        <f t="shared" si="12"/>
        <v>1806.4400000000005</v>
      </c>
      <c r="J49" s="78">
        <f t="shared" si="12"/>
        <v>1700.6</v>
      </c>
      <c r="K49" s="78">
        <f t="shared" si="12"/>
        <v>1716.44</v>
      </c>
      <c r="L49" s="78">
        <f t="shared" si="12"/>
        <v>1791.9</v>
      </c>
      <c r="M49" s="78">
        <f t="shared" si="12"/>
        <v>1790.4</v>
      </c>
      <c r="N49" s="78">
        <f t="shared" si="12"/>
        <v>1789</v>
      </c>
      <c r="O49" s="78">
        <f t="shared" si="12"/>
        <v>1774.6000000000004</v>
      </c>
      <c r="P49" s="78">
        <f t="shared" si="12"/>
        <v>1646.9199999999996</v>
      </c>
      <c r="Q49" s="77"/>
      <c r="R49" s="77"/>
      <c r="S49" s="77"/>
      <c r="T49" s="77"/>
      <c r="U49" s="99"/>
      <c r="V49" s="79"/>
      <c r="W49" s="80"/>
      <c r="X49" s="298"/>
      <c r="Z49" s="73"/>
      <c r="AA49" s="73"/>
      <c r="AB49" s="74"/>
      <c r="AC49" s="74"/>
      <c r="AD49" s="67"/>
      <c r="AE49" s="67"/>
    </row>
    <row r="50" spans="1:31">
      <c r="A50" s="68">
        <v>43156</v>
      </c>
      <c r="B50" s="69" t="s">
        <v>76</v>
      </c>
      <c r="C50" s="70" t="s">
        <v>77</v>
      </c>
      <c r="D50" s="49">
        <v>1977.8</v>
      </c>
      <c r="E50" s="49">
        <v>1881.78</v>
      </c>
      <c r="F50" s="49">
        <v>1854.91</v>
      </c>
      <c r="G50" s="49">
        <v>1849.29</v>
      </c>
      <c r="H50" s="49">
        <v>1858.42</v>
      </c>
      <c r="I50" s="49">
        <v>1892.24</v>
      </c>
      <c r="J50" s="49">
        <v>2006.77</v>
      </c>
      <c r="K50" s="49">
        <v>1974.03</v>
      </c>
      <c r="L50" s="49">
        <v>1885.09</v>
      </c>
      <c r="M50" s="49">
        <v>1858.36</v>
      </c>
      <c r="N50" s="49">
        <v>1854.04</v>
      </c>
      <c r="O50" s="49">
        <v>1883.25</v>
      </c>
      <c r="P50" s="49">
        <v>1996.55</v>
      </c>
      <c r="Q50" s="70">
        <f>IF((P51=""),"",MAX(D52:P52))</f>
        <v>1915.22</v>
      </c>
      <c r="R50" s="70">
        <f>IF(P51="","",MIN(D52:P52))</f>
        <v>1730.42</v>
      </c>
      <c r="S50" s="70">
        <f>IF((P52=""),"",AVERAGE(D52:P52))</f>
        <v>1852.9107692307696</v>
      </c>
      <c r="T50" s="70">
        <f>IF((P51=""),"",STDEV(D52:P52))</f>
        <v>57.553774631711285</v>
      </c>
      <c r="U50" s="97">
        <f>IF((P51=""),"",((Q50-R50)/(Q50+R50))*100)</f>
        <v>5.0690688054772259</v>
      </c>
      <c r="V50" s="71" t="str">
        <f>IF(P51="","",IF(U50&lt;7.2,IF(S50&gt;1700,IF(S50&lt;1950,"Pass","Fail"),"Fail"),"Fail"))</f>
        <v>Pass</v>
      </c>
      <c r="W50" s="72"/>
      <c r="X50" s="130"/>
      <c r="Z50" s="73">
        <v>1600</v>
      </c>
      <c r="AA50" s="73">
        <v>2600</v>
      </c>
      <c r="AB50" s="74">
        <v>1700</v>
      </c>
      <c r="AC50" s="74">
        <v>1950</v>
      </c>
      <c r="AD50" s="67">
        <v>10</v>
      </c>
      <c r="AE50" s="67">
        <v>7.2</v>
      </c>
    </row>
    <row r="51" spans="1:31" ht="15.75">
      <c r="A51"/>
      <c r="B51" s="64"/>
      <c r="C51" s="64" t="s">
        <v>78</v>
      </c>
      <c r="D51" s="49">
        <v>1098.3</v>
      </c>
      <c r="E51" s="49">
        <v>951.57</v>
      </c>
      <c r="F51" s="49">
        <v>918.22</v>
      </c>
      <c r="G51" s="49">
        <v>908.47</v>
      </c>
      <c r="H51" s="49">
        <v>910.38</v>
      </c>
      <c r="I51" s="49">
        <v>934.63</v>
      </c>
      <c r="J51" s="49">
        <v>1102.67</v>
      </c>
      <c r="K51" s="49">
        <v>1068.56</v>
      </c>
      <c r="L51" s="49">
        <v>936.36</v>
      </c>
      <c r="M51" s="49">
        <v>915.99</v>
      </c>
      <c r="N51" s="49">
        <v>909.23</v>
      </c>
      <c r="O51" s="49">
        <v>942.89</v>
      </c>
      <c r="P51" s="49">
        <v>1131.3399999999999</v>
      </c>
      <c r="Q51" s="64"/>
      <c r="R51" s="64"/>
      <c r="S51" s="64"/>
      <c r="T51" s="64"/>
      <c r="U51" s="98"/>
      <c r="V51" s="75"/>
      <c r="W51" s="76"/>
      <c r="X51" s="298"/>
      <c r="Z51" s="73"/>
      <c r="AA51" s="73"/>
      <c r="AB51" s="74"/>
      <c r="AC51" s="74"/>
      <c r="AD51" s="67"/>
      <c r="AE51" s="67"/>
    </row>
    <row r="52" spans="1:31" ht="60.75" thickBot="1">
      <c r="A52"/>
      <c r="B52" s="77"/>
      <c r="C52" s="77" t="s">
        <v>79</v>
      </c>
      <c r="D52" s="78">
        <f t="shared" ref="D52:P52" si="13">IF(((D50="")*AND(D51="")),"",(D50-D51)*2)</f>
        <v>1759</v>
      </c>
      <c r="E52" s="78">
        <f t="shared" si="13"/>
        <v>1860.4199999999998</v>
      </c>
      <c r="F52" s="78">
        <f t="shared" si="13"/>
        <v>1873.38</v>
      </c>
      <c r="G52" s="78">
        <f t="shared" si="13"/>
        <v>1881.6399999999999</v>
      </c>
      <c r="H52" s="78">
        <f t="shared" si="13"/>
        <v>1896.0800000000002</v>
      </c>
      <c r="I52" s="78">
        <f t="shared" si="13"/>
        <v>1915.22</v>
      </c>
      <c r="J52" s="78">
        <f t="shared" si="13"/>
        <v>1808.1999999999998</v>
      </c>
      <c r="K52" s="78">
        <f t="shared" si="13"/>
        <v>1810.94</v>
      </c>
      <c r="L52" s="78">
        <f t="shared" si="13"/>
        <v>1897.4599999999998</v>
      </c>
      <c r="M52" s="78">
        <f t="shared" si="13"/>
        <v>1884.7399999999998</v>
      </c>
      <c r="N52" s="78">
        <f t="shared" si="13"/>
        <v>1889.62</v>
      </c>
      <c r="O52" s="78">
        <f t="shared" si="13"/>
        <v>1880.72</v>
      </c>
      <c r="P52" s="78">
        <f t="shared" si="13"/>
        <v>1730.42</v>
      </c>
      <c r="Q52" s="77"/>
      <c r="R52" s="77"/>
      <c r="S52" s="77"/>
      <c r="T52" s="77"/>
      <c r="U52" s="99"/>
      <c r="V52" s="79"/>
      <c r="W52" s="80"/>
      <c r="X52" s="298"/>
      <c r="Z52" s="73"/>
      <c r="AA52" s="73"/>
      <c r="AB52" s="74"/>
      <c r="AC52" s="74"/>
      <c r="AD52" s="67"/>
      <c r="AE52" s="67"/>
    </row>
    <row r="53" spans="1:31" ht="21" customHeight="1">
      <c r="A53" s="68">
        <v>43178</v>
      </c>
      <c r="B53" s="69" t="s">
        <v>76</v>
      </c>
      <c r="C53" s="70" t="s">
        <v>77</v>
      </c>
      <c r="D53" s="49">
        <v>2086</v>
      </c>
      <c r="E53" s="49">
        <v>2071</v>
      </c>
      <c r="F53" s="49">
        <v>2079</v>
      </c>
      <c r="G53" s="49">
        <v>2082</v>
      </c>
      <c r="H53" s="49">
        <v>2081</v>
      </c>
      <c r="I53" s="49">
        <v>2073</v>
      </c>
      <c r="J53" s="49">
        <v>2083</v>
      </c>
      <c r="K53" s="49">
        <v>2092</v>
      </c>
      <c r="L53" s="49">
        <v>2068</v>
      </c>
      <c r="M53" s="49">
        <v>2075</v>
      </c>
      <c r="N53" s="49">
        <v>2090</v>
      </c>
      <c r="O53" s="49">
        <v>2096</v>
      </c>
      <c r="P53" s="49">
        <v>2127</v>
      </c>
      <c r="Q53" s="70">
        <f>IF((P54=""),"",MAX(D55:P55))</f>
        <v>1958</v>
      </c>
      <c r="R53" s="70">
        <f>IF(P54="","",MIN(D55:P55))</f>
        <v>1786</v>
      </c>
      <c r="S53" s="70">
        <f>IF((P55=""),"",AVERAGE(D55:P55))</f>
        <v>1895.6923076923076</v>
      </c>
      <c r="T53" s="70">
        <f>IF((P54=""),"",STDEV(D55:P55))</f>
        <v>57.375059354194491</v>
      </c>
      <c r="U53" s="97">
        <f>IF((P54=""),"",((Q53-R53)/(Q53+R53))*100)</f>
        <v>4.5940170940170946</v>
      </c>
      <c r="V53" s="71" t="str">
        <f>IF(P54="","",IF(U53&lt;7.2,IF(S53&gt;1700,IF(S53&lt;2100,"Pass","Fail"),"Fail"),"Fail"))</f>
        <v>Pass</v>
      </c>
      <c r="W53" s="72">
        <v>121</v>
      </c>
      <c r="X53" s="130"/>
      <c r="Y53" s="292" t="s">
        <v>84</v>
      </c>
      <c r="Z53" s="73">
        <v>1600</v>
      </c>
      <c r="AA53" s="73">
        <v>2600</v>
      </c>
      <c r="AB53" s="74">
        <v>1700</v>
      </c>
      <c r="AC53" s="74">
        <v>2100</v>
      </c>
      <c r="AD53" s="67">
        <v>10</v>
      </c>
      <c r="AE53" s="67">
        <v>7.2</v>
      </c>
    </row>
    <row r="54" spans="1:31" ht="15.75">
      <c r="A54"/>
      <c r="B54" s="64"/>
      <c r="C54" s="64" t="s">
        <v>78</v>
      </c>
      <c r="D54" s="49">
        <v>1193</v>
      </c>
      <c r="E54" s="49">
        <v>1119</v>
      </c>
      <c r="F54" s="49">
        <v>1120</v>
      </c>
      <c r="G54" s="49">
        <v>1118</v>
      </c>
      <c r="H54" s="49">
        <v>1107</v>
      </c>
      <c r="I54" s="49">
        <v>1094</v>
      </c>
      <c r="J54" s="49">
        <v>1150</v>
      </c>
      <c r="K54" s="49">
        <v>1174</v>
      </c>
      <c r="L54" s="49">
        <v>1097</v>
      </c>
      <c r="M54" s="49">
        <v>1108</v>
      </c>
      <c r="N54" s="49">
        <v>1129</v>
      </c>
      <c r="O54" s="49">
        <v>1142</v>
      </c>
      <c r="P54" s="49">
        <v>1230</v>
      </c>
      <c r="Q54" s="64"/>
      <c r="R54" s="64"/>
      <c r="S54" s="64"/>
      <c r="T54" s="64"/>
      <c r="U54" s="98"/>
      <c r="V54" s="75"/>
      <c r="W54" s="82"/>
      <c r="X54" s="298"/>
      <c r="Z54" s="73"/>
      <c r="AA54" s="73"/>
      <c r="AB54" s="74"/>
      <c r="AC54" s="74"/>
      <c r="AD54" s="67"/>
      <c r="AE54" s="67"/>
    </row>
    <row r="55" spans="1:31" ht="60.75" thickBot="1">
      <c r="A55"/>
      <c r="B55" s="77"/>
      <c r="C55" s="77" t="s">
        <v>79</v>
      </c>
      <c r="D55" s="78">
        <f t="shared" ref="D55:P55" si="14">IF(((D53="")*AND(D54="")),"",(D53-D54)*2)</f>
        <v>1786</v>
      </c>
      <c r="E55" s="78">
        <f t="shared" si="14"/>
        <v>1904</v>
      </c>
      <c r="F55" s="78">
        <f t="shared" si="14"/>
        <v>1918</v>
      </c>
      <c r="G55" s="78">
        <f t="shared" si="14"/>
        <v>1928</v>
      </c>
      <c r="H55" s="78">
        <f t="shared" si="14"/>
        <v>1948</v>
      </c>
      <c r="I55" s="78">
        <f t="shared" si="14"/>
        <v>1958</v>
      </c>
      <c r="J55" s="78">
        <f t="shared" si="14"/>
        <v>1866</v>
      </c>
      <c r="K55" s="78">
        <f t="shared" si="14"/>
        <v>1836</v>
      </c>
      <c r="L55" s="78">
        <f t="shared" si="14"/>
        <v>1942</v>
      </c>
      <c r="M55" s="78">
        <f t="shared" si="14"/>
        <v>1934</v>
      </c>
      <c r="N55" s="78">
        <f t="shared" si="14"/>
        <v>1922</v>
      </c>
      <c r="O55" s="78">
        <f t="shared" si="14"/>
        <v>1908</v>
      </c>
      <c r="P55" s="78">
        <f t="shared" si="14"/>
        <v>1794</v>
      </c>
      <c r="Q55" s="77"/>
      <c r="R55" s="77"/>
      <c r="S55" s="77"/>
      <c r="T55" s="77"/>
      <c r="U55" s="99"/>
      <c r="V55" s="79"/>
      <c r="W55" s="83"/>
      <c r="X55" s="298"/>
      <c r="Z55" s="73"/>
      <c r="AA55" s="73"/>
      <c r="AB55" s="74"/>
      <c r="AC55" s="74"/>
      <c r="AD55" s="67"/>
      <c r="AE55" s="67"/>
    </row>
    <row r="56" spans="1:31" ht="19.5" customHeight="1" thickBot="1">
      <c r="A56" s="68">
        <v>43182</v>
      </c>
      <c r="B56" s="69" t="s">
        <v>76</v>
      </c>
      <c r="C56" s="70" t="s">
        <v>77</v>
      </c>
      <c r="D56" s="49">
        <v>1694.27</v>
      </c>
      <c r="E56" s="49">
        <v>1663.64</v>
      </c>
      <c r="F56" s="49">
        <v>1657.77</v>
      </c>
      <c r="G56" s="49">
        <v>1666.09</v>
      </c>
      <c r="H56" s="49">
        <v>1683.18</v>
      </c>
      <c r="I56" s="49">
        <v>1719.33</v>
      </c>
      <c r="J56" s="49">
        <v>1785.09</v>
      </c>
      <c r="K56" s="49">
        <v>1795.09</v>
      </c>
      <c r="L56" s="49">
        <v>1717.49</v>
      </c>
      <c r="M56" s="49">
        <v>1681.09</v>
      </c>
      <c r="N56" s="49">
        <v>1661.66</v>
      </c>
      <c r="O56" s="49">
        <v>1682.56</v>
      </c>
      <c r="P56" s="49">
        <v>1736.6</v>
      </c>
      <c r="Q56" s="70">
        <f>IF((P57=""),"",MAX(D58:P58))</f>
        <v>2100.7799999999997</v>
      </c>
      <c r="R56" s="70">
        <f>IF(P57="","",MIN(D58:P58))</f>
        <v>1889.8799999999999</v>
      </c>
      <c r="S56" s="70">
        <f>IF((P58=""),"",AVERAGE(D58:P58))</f>
        <v>2028.0369230769227</v>
      </c>
      <c r="T56" s="70">
        <f>IF((P57=""),"",STDEV(D58:P58))</f>
        <v>69.199323622010098</v>
      </c>
      <c r="U56" s="97">
        <f>IF((P57=""),"",((Q56-R56)/(Q56+R56))*100)</f>
        <v>5.2848401016373199</v>
      </c>
      <c r="V56" s="71" t="str">
        <f>IF(P57="","",IF(U56&lt;7.2,IF(S56&gt;1700,IF(S56&lt;2100,"Pass","Fail"),"Fail"),"Fail"))</f>
        <v>Pass</v>
      </c>
      <c r="W56" s="72">
        <v>1159</v>
      </c>
      <c r="X56" s="130" t="s">
        <v>115</v>
      </c>
      <c r="Y56" s="293" t="s">
        <v>156</v>
      </c>
      <c r="Z56" s="73">
        <v>1600</v>
      </c>
      <c r="AA56" s="73">
        <v>2600</v>
      </c>
      <c r="AB56" s="74">
        <v>1700</v>
      </c>
      <c r="AC56" s="74">
        <v>2100</v>
      </c>
      <c r="AD56" s="67">
        <v>10</v>
      </c>
      <c r="AE56" s="67">
        <v>7.2</v>
      </c>
    </row>
    <row r="57" spans="1:31" ht="16.5" thickBot="1">
      <c r="A57"/>
      <c r="B57" s="64"/>
      <c r="C57" s="64" t="s">
        <v>78</v>
      </c>
      <c r="D57" s="49">
        <v>722.2</v>
      </c>
      <c r="E57" s="49">
        <v>645.24</v>
      </c>
      <c r="F57" s="49">
        <v>629.16</v>
      </c>
      <c r="G57" s="49">
        <v>633.46</v>
      </c>
      <c r="H57" s="49">
        <v>639.61</v>
      </c>
      <c r="I57" s="49">
        <v>668.94</v>
      </c>
      <c r="J57" s="49">
        <v>823.32</v>
      </c>
      <c r="K57" s="49">
        <v>804.15</v>
      </c>
      <c r="L57" s="49">
        <v>677.19</v>
      </c>
      <c r="M57" s="49">
        <v>644.78</v>
      </c>
      <c r="N57" s="49">
        <v>627.19000000000005</v>
      </c>
      <c r="O57" s="49">
        <v>654.72</v>
      </c>
      <c r="P57" s="49">
        <v>791.66</v>
      </c>
      <c r="Q57" s="64"/>
      <c r="R57" s="64"/>
      <c r="S57" s="64"/>
      <c r="T57" s="64"/>
      <c r="U57" s="98"/>
      <c r="V57" s="71"/>
      <c r="W57" s="76"/>
      <c r="X57" s="298"/>
      <c r="Z57" s="73"/>
      <c r="AA57" s="73"/>
      <c r="AB57" s="74"/>
      <c r="AC57" s="74"/>
      <c r="AD57" s="67"/>
      <c r="AE57" s="67"/>
    </row>
    <row r="58" spans="1:31" ht="60.75" thickBot="1">
      <c r="A58"/>
      <c r="B58" s="77"/>
      <c r="C58" s="77" t="s">
        <v>79</v>
      </c>
      <c r="D58" s="78">
        <f t="shared" ref="D58:P58" si="15">IF(((D56="")*AND(D57="")),"",(D56-D57)*2)</f>
        <v>1944.1399999999999</v>
      </c>
      <c r="E58" s="78">
        <f t="shared" si="15"/>
        <v>2036.8000000000002</v>
      </c>
      <c r="F58" s="78">
        <f t="shared" si="15"/>
        <v>2057.2200000000003</v>
      </c>
      <c r="G58" s="78">
        <f t="shared" si="15"/>
        <v>2065.2599999999998</v>
      </c>
      <c r="H58" s="78">
        <f t="shared" si="15"/>
        <v>2087.1400000000003</v>
      </c>
      <c r="I58" s="78">
        <f t="shared" si="15"/>
        <v>2100.7799999999997</v>
      </c>
      <c r="J58" s="78">
        <f t="shared" si="15"/>
        <v>1923.5399999999997</v>
      </c>
      <c r="K58" s="78">
        <f t="shared" si="15"/>
        <v>1981.8799999999999</v>
      </c>
      <c r="L58" s="78">
        <f t="shared" si="15"/>
        <v>2080.6</v>
      </c>
      <c r="M58" s="78">
        <f t="shared" si="15"/>
        <v>2072.62</v>
      </c>
      <c r="N58" s="78">
        <f t="shared" si="15"/>
        <v>2068.94</v>
      </c>
      <c r="O58" s="78">
        <f t="shared" si="15"/>
        <v>2055.6799999999998</v>
      </c>
      <c r="P58" s="78">
        <f t="shared" si="15"/>
        <v>1889.8799999999999</v>
      </c>
      <c r="Q58" s="77"/>
      <c r="R58" s="77"/>
      <c r="S58" s="77"/>
      <c r="T58" s="77"/>
      <c r="U58" s="99"/>
      <c r="V58" s="71"/>
      <c r="W58" s="80"/>
      <c r="X58" s="298"/>
      <c r="Z58" s="73"/>
      <c r="AA58" s="73"/>
      <c r="AB58" s="74"/>
      <c r="AC58" s="74"/>
      <c r="AD58" s="67"/>
      <c r="AE58" s="67"/>
    </row>
    <row r="59" spans="1:31" ht="15.75" thickBot="1">
      <c r="A59" s="68">
        <v>43199</v>
      </c>
      <c r="B59" s="69" t="s">
        <v>76</v>
      </c>
      <c r="C59" s="70" t="s">
        <v>77</v>
      </c>
      <c r="D59" s="49">
        <v>2848.83</v>
      </c>
      <c r="E59" s="49">
        <v>2795.94</v>
      </c>
      <c r="F59" s="49">
        <v>2770.6</v>
      </c>
      <c r="G59" s="49">
        <v>2768</v>
      </c>
      <c r="H59" s="49">
        <v>2786.83</v>
      </c>
      <c r="I59" s="49">
        <v>2829.43</v>
      </c>
      <c r="J59" s="49">
        <v>2898.66</v>
      </c>
      <c r="K59" s="49">
        <v>2853.14</v>
      </c>
      <c r="L59" s="49">
        <v>2803.42</v>
      </c>
      <c r="M59" s="49">
        <v>2777.19</v>
      </c>
      <c r="N59" s="49">
        <v>2775.68</v>
      </c>
      <c r="O59" s="49">
        <v>2801.03</v>
      </c>
      <c r="P59" s="49">
        <v>2857</v>
      </c>
      <c r="Q59" s="70">
        <f>IF((P60=""),"",MAX(D61:P61))</f>
        <v>1921.9199999999996</v>
      </c>
      <c r="R59" s="70">
        <f>IF(P60="","",MIN(D61:P61))</f>
        <v>1750.04</v>
      </c>
      <c r="S59" s="70">
        <f>IF((P61=""),"",AVERAGE(D61:P61))</f>
        <v>1868.4461538461535</v>
      </c>
      <c r="T59" s="70">
        <f>IF((P60=""),"",STDEV(D61:P61))</f>
        <v>57.095189163729387</v>
      </c>
      <c r="U59" s="97">
        <f>IF((P60=""),"",((Q59-R59)/(Q59+R59))*100)</f>
        <v>4.6808788766762071</v>
      </c>
      <c r="V59" s="71" t="str">
        <f>IF(P60="","",IF(U59&lt;7.2,IF(S59&gt;1700,IF(S59&lt;2100,"Pass","Fail"),"Fail"),"Fail"))</f>
        <v>Pass</v>
      </c>
      <c r="W59" s="72">
        <v>1159</v>
      </c>
      <c r="X59" s="130"/>
      <c r="Z59" s="73">
        <v>1600</v>
      </c>
      <c r="AA59" s="73">
        <v>2600</v>
      </c>
      <c r="AB59" s="74">
        <v>1700</v>
      </c>
      <c r="AC59" s="74">
        <v>2100</v>
      </c>
      <c r="AD59" s="67">
        <v>10</v>
      </c>
      <c r="AE59" s="67">
        <v>7.2</v>
      </c>
    </row>
    <row r="60" spans="1:31" ht="16.5" thickBot="1">
      <c r="A60"/>
      <c r="B60" s="64"/>
      <c r="C60" s="64" t="s">
        <v>78</v>
      </c>
      <c r="D60" s="49">
        <v>1960.15</v>
      </c>
      <c r="E60" s="49">
        <v>1853.09</v>
      </c>
      <c r="F60" s="49">
        <v>1823.07</v>
      </c>
      <c r="G60" s="49">
        <v>1816.36</v>
      </c>
      <c r="H60" s="49">
        <v>1827.88</v>
      </c>
      <c r="I60" s="49">
        <v>1868.47</v>
      </c>
      <c r="J60" s="49">
        <v>1993.5</v>
      </c>
      <c r="K60" s="49">
        <v>1939.2</v>
      </c>
      <c r="L60" s="49">
        <v>1850.84</v>
      </c>
      <c r="M60" s="49">
        <v>1823.47</v>
      </c>
      <c r="N60" s="49">
        <v>1825.36</v>
      </c>
      <c r="O60" s="49">
        <v>1857.48</v>
      </c>
      <c r="P60" s="49">
        <v>1981.98</v>
      </c>
      <c r="Q60" s="64"/>
      <c r="R60" s="64"/>
      <c r="S60" s="64"/>
      <c r="T60" s="64"/>
      <c r="U60" s="98"/>
      <c r="V60" s="71"/>
      <c r="W60" s="76"/>
      <c r="X60" s="298"/>
      <c r="Z60" s="73"/>
      <c r="AA60" s="73"/>
      <c r="AB60" s="74"/>
      <c r="AC60" s="74"/>
      <c r="AD60" s="67"/>
      <c r="AE60" s="67"/>
    </row>
    <row r="61" spans="1:31" ht="60.75" thickBot="1">
      <c r="A61"/>
      <c r="B61" s="77"/>
      <c r="C61" s="77" t="s">
        <v>79</v>
      </c>
      <c r="D61" s="78">
        <f t="shared" ref="D61:P61" si="16">IF(((D59="")*AND(D60="")),"",(D59-D60)*2)</f>
        <v>1777.3599999999997</v>
      </c>
      <c r="E61" s="78">
        <f t="shared" si="16"/>
        <v>1885.7000000000003</v>
      </c>
      <c r="F61" s="78">
        <f t="shared" si="16"/>
        <v>1895.06</v>
      </c>
      <c r="G61" s="78">
        <f t="shared" si="16"/>
        <v>1903.2800000000002</v>
      </c>
      <c r="H61" s="78">
        <f t="shared" si="16"/>
        <v>1917.8999999999996</v>
      </c>
      <c r="I61" s="78">
        <f t="shared" si="16"/>
        <v>1921.9199999999996</v>
      </c>
      <c r="J61" s="78">
        <f t="shared" si="16"/>
        <v>1810.3199999999997</v>
      </c>
      <c r="K61" s="78">
        <f t="shared" si="16"/>
        <v>1827.8799999999997</v>
      </c>
      <c r="L61" s="78">
        <f t="shared" si="16"/>
        <v>1905.1600000000003</v>
      </c>
      <c r="M61" s="78">
        <f t="shared" si="16"/>
        <v>1907.44</v>
      </c>
      <c r="N61" s="78">
        <f t="shared" si="16"/>
        <v>1900.6399999999999</v>
      </c>
      <c r="O61" s="78">
        <f t="shared" si="16"/>
        <v>1887.1000000000004</v>
      </c>
      <c r="P61" s="78">
        <f t="shared" si="16"/>
        <v>1750.04</v>
      </c>
      <c r="Q61" s="77"/>
      <c r="R61" s="77"/>
      <c r="S61" s="77"/>
      <c r="T61" s="77"/>
      <c r="U61" s="99"/>
      <c r="V61" s="71"/>
      <c r="W61" s="80"/>
      <c r="X61" s="298"/>
      <c r="Z61" s="73"/>
      <c r="AA61" s="73"/>
      <c r="AB61" s="74"/>
      <c r="AC61" s="74"/>
      <c r="AD61" s="67"/>
      <c r="AE61" s="67"/>
    </row>
    <row r="62" spans="1:31" ht="15.75" thickBot="1">
      <c r="A62" s="68">
        <v>43203</v>
      </c>
      <c r="B62" s="69" t="s">
        <v>76</v>
      </c>
      <c r="C62" s="70" t="s">
        <v>77</v>
      </c>
      <c r="D62" s="49">
        <v>2850.67</v>
      </c>
      <c r="E62" s="49">
        <v>2795.39</v>
      </c>
      <c r="F62" s="49">
        <v>2771.85</v>
      </c>
      <c r="G62" s="49">
        <v>2769.19</v>
      </c>
      <c r="H62" s="49">
        <v>2788.03</v>
      </c>
      <c r="I62" s="49">
        <v>2829.75</v>
      </c>
      <c r="J62" s="49">
        <v>2901</v>
      </c>
      <c r="K62" s="49">
        <v>2860.82</v>
      </c>
      <c r="L62" s="49">
        <v>2806.84</v>
      </c>
      <c r="M62" s="49">
        <v>2781.85</v>
      </c>
      <c r="N62" s="49">
        <v>2776.5</v>
      </c>
      <c r="O62" s="49">
        <v>2804.22</v>
      </c>
      <c r="P62" s="49">
        <v>2856.48</v>
      </c>
      <c r="Q62" s="70">
        <f>IF((P63=""),"",MAX(D64:P64))</f>
        <v>1996.7800000000002</v>
      </c>
      <c r="R62" s="70">
        <f>IF(P63="","",MIN(D64:P64))</f>
        <v>1806.9</v>
      </c>
      <c r="S62" s="70">
        <f>IF((P64=""),"",AVERAGE(D64:P64))</f>
        <v>1934.6107692307692</v>
      </c>
      <c r="T62" s="70">
        <f>IF((P63=""),"",STDEV(D64:P64))</f>
        <v>59.856565006351502</v>
      </c>
      <c r="U62" s="97">
        <f>IF((P63=""),"",((Q62-R62)/(Q62+R62))*100)</f>
        <v>4.9920077398729674</v>
      </c>
      <c r="V62" s="71" t="str">
        <f>IF(P63="","",IF(U62&lt;7.2,IF(S62&gt;1700,IF(S62&lt;2100,"Pass","Fail"),"Fail"),"Fail"))</f>
        <v>Pass</v>
      </c>
      <c r="W62" s="72">
        <v>1159</v>
      </c>
      <c r="X62" s="130"/>
      <c r="Z62" s="73">
        <v>1600</v>
      </c>
      <c r="AA62" s="73">
        <v>2600</v>
      </c>
      <c r="AB62" s="74">
        <v>1700</v>
      </c>
      <c r="AC62" s="74">
        <v>2100</v>
      </c>
      <c r="AD62" s="67">
        <v>10</v>
      </c>
      <c r="AE62" s="67">
        <v>7.2</v>
      </c>
    </row>
    <row r="63" spans="1:31" ht="16.5" thickBot="1">
      <c r="A63"/>
      <c r="B63" s="64"/>
      <c r="C63" s="64" t="s">
        <v>78</v>
      </c>
      <c r="D63" s="49">
        <v>1934.28</v>
      </c>
      <c r="E63" s="49">
        <v>1825.29</v>
      </c>
      <c r="F63" s="49">
        <v>1792.56</v>
      </c>
      <c r="G63" s="49">
        <v>1785.44</v>
      </c>
      <c r="H63" s="49">
        <v>1795.65</v>
      </c>
      <c r="I63" s="49">
        <v>1831.36</v>
      </c>
      <c r="J63" s="49">
        <v>1955.73</v>
      </c>
      <c r="K63" s="49">
        <v>1912.08</v>
      </c>
      <c r="L63" s="49">
        <v>1819.6</v>
      </c>
      <c r="M63" s="49">
        <v>1792.59</v>
      </c>
      <c r="N63" s="49">
        <v>1793.75</v>
      </c>
      <c r="O63" s="49">
        <v>1826.26</v>
      </c>
      <c r="P63" s="49">
        <v>1953.03</v>
      </c>
      <c r="Q63" s="64"/>
      <c r="R63" s="64"/>
      <c r="S63" s="64"/>
      <c r="T63" s="64"/>
      <c r="U63" s="98"/>
      <c r="V63" s="71"/>
      <c r="W63" s="82"/>
      <c r="X63" s="298"/>
      <c r="Z63" s="73"/>
      <c r="AA63" s="73"/>
      <c r="AB63" s="74"/>
      <c r="AC63" s="74"/>
      <c r="AD63" s="67"/>
      <c r="AE63" s="67"/>
    </row>
    <row r="64" spans="1:31" ht="60.75" thickBot="1">
      <c r="A64"/>
      <c r="B64" s="77"/>
      <c r="C64" s="77" t="s">
        <v>79</v>
      </c>
      <c r="D64" s="78">
        <f t="shared" ref="D64:P64" si="17">IF(((D62="")*AND(D63="")),"",(D62-D63)*2)</f>
        <v>1832.7800000000002</v>
      </c>
      <c r="E64" s="78">
        <f t="shared" si="17"/>
        <v>1940.1999999999998</v>
      </c>
      <c r="F64" s="78">
        <f t="shared" si="17"/>
        <v>1958.58</v>
      </c>
      <c r="G64" s="78">
        <f t="shared" si="17"/>
        <v>1967.5</v>
      </c>
      <c r="H64" s="78">
        <f t="shared" si="17"/>
        <v>1984.7600000000002</v>
      </c>
      <c r="I64" s="78">
        <f t="shared" si="17"/>
        <v>1996.7800000000002</v>
      </c>
      <c r="J64" s="78">
        <f t="shared" si="17"/>
        <v>1890.54</v>
      </c>
      <c r="K64" s="78">
        <f t="shared" si="17"/>
        <v>1897.4800000000005</v>
      </c>
      <c r="L64" s="78">
        <f t="shared" si="17"/>
        <v>1974.4800000000005</v>
      </c>
      <c r="M64" s="78">
        <f t="shared" si="17"/>
        <v>1978.52</v>
      </c>
      <c r="N64" s="78">
        <f t="shared" si="17"/>
        <v>1965.5</v>
      </c>
      <c r="O64" s="78">
        <f t="shared" si="17"/>
        <v>1955.9199999999996</v>
      </c>
      <c r="P64" s="78">
        <f t="shared" si="17"/>
        <v>1806.9</v>
      </c>
      <c r="Q64" s="77"/>
      <c r="R64" s="77"/>
      <c r="S64" s="77"/>
      <c r="T64" s="77"/>
      <c r="U64" s="99"/>
      <c r="V64" s="71"/>
      <c r="W64" s="83"/>
      <c r="X64" s="298"/>
      <c r="Z64" s="73"/>
      <c r="AA64" s="73"/>
      <c r="AB64" s="74"/>
      <c r="AC64" s="74"/>
      <c r="AD64" s="67"/>
      <c r="AE64" s="67"/>
    </row>
    <row r="65" spans="1:31" ht="15.75" customHeight="1" thickBot="1">
      <c r="A65" s="68">
        <v>43206</v>
      </c>
      <c r="B65" s="69" t="s">
        <v>76</v>
      </c>
      <c r="C65" s="70" t="s">
        <v>77</v>
      </c>
      <c r="D65" s="49">
        <v>1822.56</v>
      </c>
      <c r="E65" s="49">
        <v>1902.75</v>
      </c>
      <c r="F65" s="49">
        <v>1927.24</v>
      </c>
      <c r="G65" s="49">
        <v>1945.8</v>
      </c>
      <c r="H65" s="49">
        <v>1936.23</v>
      </c>
      <c r="I65" s="49">
        <v>1919.78</v>
      </c>
      <c r="J65" s="49">
        <v>1852.97</v>
      </c>
      <c r="K65" s="49">
        <v>1875.21</v>
      </c>
      <c r="L65" s="49">
        <v>1922.29</v>
      </c>
      <c r="M65" s="49">
        <v>1937.33</v>
      </c>
      <c r="N65" s="49">
        <v>1929.16</v>
      </c>
      <c r="O65" s="49">
        <v>1898.57</v>
      </c>
      <c r="P65" s="49">
        <v>1803.03</v>
      </c>
      <c r="Q65" s="70">
        <f>IF((P66=""),"",MAX(D67:P67))</f>
        <v>2311</v>
      </c>
      <c r="R65" s="70">
        <f>IF(P66="","",MIN(D67:P67))</f>
        <v>1373.1599999999999</v>
      </c>
      <c r="S65" s="70">
        <f>IF((P67=""),"",AVERAGE(D67:P67))</f>
        <v>2024.4861538461539</v>
      </c>
      <c r="T65" s="70">
        <f>IF((P66=""),"",STDEV(D67:P67))</f>
        <v>335.93839766487241</v>
      </c>
      <c r="U65" s="97">
        <f>IF((P66=""),"",((Q65-R65)/(Q65+R65))*100)</f>
        <v>25.456006253800055</v>
      </c>
      <c r="V65" s="71" t="str">
        <f>IF(P66="","",IF(U65&lt;7.2,IF(S65&gt;1700,IF(S65&lt;2100,"Pass","Fail"),"Fail"),"Fail"))</f>
        <v>Fail</v>
      </c>
      <c r="W65" s="72">
        <v>1335</v>
      </c>
      <c r="X65" s="130"/>
      <c r="Y65" s="299" t="s">
        <v>157</v>
      </c>
      <c r="Z65" s="73">
        <v>1600</v>
      </c>
      <c r="AA65" s="73">
        <v>2600</v>
      </c>
      <c r="AB65" s="74">
        <v>1700</v>
      </c>
      <c r="AC65" s="74">
        <v>2100</v>
      </c>
      <c r="AD65" s="67">
        <v>10</v>
      </c>
      <c r="AE65" s="67">
        <v>7.2</v>
      </c>
    </row>
    <row r="66" spans="1:31" ht="16.5" thickBot="1">
      <c r="A66"/>
      <c r="B66" s="64"/>
      <c r="C66" s="64" t="s">
        <v>78</v>
      </c>
      <c r="D66" s="49">
        <v>1053.49</v>
      </c>
      <c r="E66" s="49">
        <v>835.18</v>
      </c>
      <c r="F66" s="49">
        <v>799.04</v>
      </c>
      <c r="G66" s="49">
        <v>790.3</v>
      </c>
      <c r="H66" s="49">
        <v>789.25</v>
      </c>
      <c r="I66" s="49">
        <v>822.04</v>
      </c>
      <c r="J66" s="49">
        <v>1065.76</v>
      </c>
      <c r="K66" s="49">
        <v>996.09</v>
      </c>
      <c r="L66" s="49">
        <v>820.53</v>
      </c>
      <c r="M66" s="49">
        <v>792.66</v>
      </c>
      <c r="N66" s="49">
        <v>796.62</v>
      </c>
      <c r="O66" s="49">
        <v>836.35</v>
      </c>
      <c r="P66" s="49">
        <v>1116.45</v>
      </c>
      <c r="Q66" s="64"/>
      <c r="R66" s="64"/>
      <c r="S66" s="64"/>
      <c r="T66" s="64"/>
      <c r="U66" s="98"/>
      <c r="V66" s="71"/>
      <c r="W66" s="82"/>
      <c r="X66" s="298"/>
      <c r="Z66" s="73"/>
      <c r="AA66" s="73"/>
      <c r="AB66" s="74"/>
      <c r="AC66" s="74"/>
      <c r="AD66" s="67"/>
      <c r="AE66" s="67"/>
    </row>
    <row r="67" spans="1:31" ht="60.75" thickBot="1">
      <c r="A67"/>
      <c r="B67" s="77"/>
      <c r="C67" s="77" t="s">
        <v>79</v>
      </c>
      <c r="D67" s="78">
        <f t="shared" ref="D67:P67" si="18">IF(((D65="")*AND(D66="")),"",(D65-D66)*2)</f>
        <v>1538.1399999999999</v>
      </c>
      <c r="E67" s="78">
        <f t="shared" si="18"/>
        <v>2135.1400000000003</v>
      </c>
      <c r="F67" s="78">
        <f t="shared" si="18"/>
        <v>2256.4</v>
      </c>
      <c r="G67" s="78">
        <f t="shared" si="18"/>
        <v>2311</v>
      </c>
      <c r="H67" s="78">
        <f t="shared" si="18"/>
        <v>2293.96</v>
      </c>
      <c r="I67" s="78">
        <f t="shared" si="18"/>
        <v>2195.48</v>
      </c>
      <c r="J67" s="78">
        <f t="shared" si="18"/>
        <v>1574.42</v>
      </c>
      <c r="K67" s="78">
        <f t="shared" si="18"/>
        <v>1758.24</v>
      </c>
      <c r="L67" s="78">
        <f t="shared" si="18"/>
        <v>2203.52</v>
      </c>
      <c r="M67" s="78">
        <f t="shared" si="18"/>
        <v>2289.34</v>
      </c>
      <c r="N67" s="78">
        <f t="shared" si="18"/>
        <v>2265.08</v>
      </c>
      <c r="O67" s="78">
        <f t="shared" si="18"/>
        <v>2124.4399999999996</v>
      </c>
      <c r="P67" s="78">
        <f t="shared" si="18"/>
        <v>1373.1599999999999</v>
      </c>
      <c r="Q67" s="70"/>
      <c r="R67" s="77"/>
      <c r="S67" s="77"/>
      <c r="T67" s="77"/>
      <c r="U67" s="99"/>
      <c r="V67" s="71"/>
      <c r="W67" s="83"/>
      <c r="X67" s="298"/>
      <c r="Z67" s="73"/>
      <c r="AA67" s="73"/>
      <c r="AB67" s="74"/>
      <c r="AC67" s="74"/>
      <c r="AD67" s="67"/>
      <c r="AE67" s="67"/>
    </row>
    <row r="68" spans="1:31" ht="15.75" thickBot="1">
      <c r="A68" s="68">
        <v>43206</v>
      </c>
      <c r="B68" s="69" t="s">
        <v>76</v>
      </c>
      <c r="C68" s="70" t="s">
        <v>77</v>
      </c>
      <c r="D68" s="49">
        <v>2827.49</v>
      </c>
      <c r="E68" s="49">
        <v>2793.11</v>
      </c>
      <c r="F68" s="49">
        <v>2772.53</v>
      </c>
      <c r="G68" s="49">
        <v>2768.29</v>
      </c>
      <c r="H68" s="49">
        <v>2785.89</v>
      </c>
      <c r="I68" s="49">
        <v>2825.25</v>
      </c>
      <c r="J68" s="49">
        <v>2891.3</v>
      </c>
      <c r="K68" s="49">
        <v>2885.79</v>
      </c>
      <c r="L68" s="49">
        <v>2820.17</v>
      </c>
      <c r="M68" s="49">
        <v>2783.56</v>
      </c>
      <c r="N68" s="49">
        <v>2774.21</v>
      </c>
      <c r="O68" s="49">
        <v>2800.37</v>
      </c>
      <c r="P68" s="49">
        <v>2841.25</v>
      </c>
      <c r="Q68" s="70">
        <f>IF((P69=""),"",MAX(D70:P70))</f>
        <v>1968.2399999999998</v>
      </c>
      <c r="R68" s="70">
        <f>IF(P69="","",MIN(D70:P70))</f>
        <v>1787.3200000000002</v>
      </c>
      <c r="S68" s="70">
        <f>IF((P70=""),"",AVERAGE(D70:P70))</f>
        <v>1905.2538461538461</v>
      </c>
      <c r="T68" s="70">
        <f>IF((P69=""),"",STDEV(D70:P70))</f>
        <v>57.469295213242994</v>
      </c>
      <c r="U68" s="97">
        <f>IF((P69=""),"",((Q68-R68)/(Q68+R68))*100)</f>
        <v>4.8173907486499914</v>
      </c>
      <c r="V68" s="71" t="str">
        <f>IF(P69="","",IF(U68&lt;7.2,IF(S68&gt;1700,IF(S68&lt;2100,"Pass","Fail"),"Fail"),"Fail"))</f>
        <v>Pass</v>
      </c>
      <c r="W68" s="72">
        <v>121</v>
      </c>
      <c r="X68" s="130"/>
      <c r="Z68" s="73">
        <v>1600</v>
      </c>
      <c r="AA68" s="73">
        <v>2600</v>
      </c>
      <c r="AB68" s="74">
        <v>1700</v>
      </c>
      <c r="AC68" s="74">
        <v>2100</v>
      </c>
      <c r="AD68" s="67">
        <v>10</v>
      </c>
      <c r="AE68" s="67">
        <v>7.2</v>
      </c>
    </row>
    <row r="69" spans="1:31" ht="16.5" thickBot="1">
      <c r="A69"/>
      <c r="B69" s="64"/>
      <c r="C69" s="64" t="s">
        <v>78</v>
      </c>
      <c r="D69" s="49">
        <v>1922.97</v>
      </c>
      <c r="E69" s="49">
        <v>1835.44</v>
      </c>
      <c r="F69" s="49">
        <v>1807.48</v>
      </c>
      <c r="G69" s="49">
        <v>1800.98</v>
      </c>
      <c r="H69" s="49">
        <v>1807.58</v>
      </c>
      <c r="I69" s="49">
        <v>1841.13</v>
      </c>
      <c r="J69" s="49">
        <v>1964.71</v>
      </c>
      <c r="K69" s="49">
        <v>1952.01</v>
      </c>
      <c r="L69" s="49">
        <v>1847.66</v>
      </c>
      <c r="M69" s="49">
        <v>1812.96</v>
      </c>
      <c r="N69" s="49">
        <v>1806.79</v>
      </c>
      <c r="O69" s="49">
        <v>1837.76</v>
      </c>
      <c r="P69" s="49">
        <v>1947.59</v>
      </c>
      <c r="Q69" s="64"/>
      <c r="R69" s="64"/>
      <c r="S69" s="64"/>
      <c r="T69" s="64"/>
      <c r="U69" s="98"/>
      <c r="V69" s="71"/>
      <c r="W69" s="76"/>
      <c r="X69" s="298"/>
      <c r="Z69" s="73"/>
      <c r="AA69" s="73"/>
      <c r="AB69" s="74"/>
      <c r="AC69" s="74"/>
      <c r="AD69" s="67"/>
      <c r="AE69" s="67"/>
    </row>
    <row r="70" spans="1:31" ht="60.75" thickBot="1">
      <c r="A70"/>
      <c r="B70" s="77"/>
      <c r="C70" s="77" t="s">
        <v>79</v>
      </c>
      <c r="D70" s="78">
        <f t="shared" ref="D70:P70" si="19">IF(((D68="")*AND(D69="")),"",(D68-D69)*2)</f>
        <v>1809.0399999999995</v>
      </c>
      <c r="E70" s="78">
        <f t="shared" si="19"/>
        <v>1915.3400000000001</v>
      </c>
      <c r="F70" s="78">
        <f t="shared" si="19"/>
        <v>1930.1000000000004</v>
      </c>
      <c r="G70" s="78">
        <f t="shared" si="19"/>
        <v>1934.62</v>
      </c>
      <c r="H70" s="78">
        <f t="shared" si="19"/>
        <v>1956.62</v>
      </c>
      <c r="I70" s="78">
        <f t="shared" si="19"/>
        <v>1968.2399999999998</v>
      </c>
      <c r="J70" s="78">
        <f t="shared" si="19"/>
        <v>1853.1800000000003</v>
      </c>
      <c r="K70" s="78">
        <f t="shared" si="19"/>
        <v>1867.56</v>
      </c>
      <c r="L70" s="78">
        <f t="shared" si="19"/>
        <v>1945.02</v>
      </c>
      <c r="M70" s="78">
        <f t="shared" si="19"/>
        <v>1941.1999999999998</v>
      </c>
      <c r="N70" s="78">
        <f t="shared" si="19"/>
        <v>1934.8400000000001</v>
      </c>
      <c r="O70" s="78">
        <f t="shared" si="19"/>
        <v>1925.2199999999998</v>
      </c>
      <c r="P70" s="78">
        <f t="shared" si="19"/>
        <v>1787.3200000000002</v>
      </c>
      <c r="Q70" s="77"/>
      <c r="R70" s="77"/>
      <c r="S70" s="77"/>
      <c r="T70" s="77"/>
      <c r="U70" s="99"/>
      <c r="V70" s="71"/>
      <c r="W70" s="80"/>
      <c r="X70" s="298"/>
      <c r="Z70" s="73"/>
      <c r="AA70" s="73"/>
      <c r="AB70" s="74"/>
      <c r="AC70" s="74"/>
      <c r="AD70" s="67"/>
      <c r="AE70" s="67"/>
    </row>
    <row r="71" spans="1:31" ht="15.75" thickBot="1">
      <c r="A71" s="68">
        <v>43214</v>
      </c>
      <c r="B71" s="69" t="s">
        <v>76</v>
      </c>
      <c r="C71" s="70" t="s">
        <v>77</v>
      </c>
      <c r="D71" s="49">
        <v>2831.07</v>
      </c>
      <c r="E71" s="49">
        <v>2791.85</v>
      </c>
      <c r="F71" s="49">
        <v>2770.33</v>
      </c>
      <c r="G71" s="49">
        <v>2767.81</v>
      </c>
      <c r="H71" s="49">
        <v>2787.38</v>
      </c>
      <c r="I71" s="49">
        <v>2826.33</v>
      </c>
      <c r="J71" s="49">
        <v>2892.93</v>
      </c>
      <c r="K71" s="49">
        <v>2879.14</v>
      </c>
      <c r="L71" s="49">
        <v>2816.68</v>
      </c>
      <c r="M71" s="49">
        <v>2780.65</v>
      </c>
      <c r="N71" s="49">
        <v>2773.8</v>
      </c>
      <c r="O71" s="49">
        <v>2799.22</v>
      </c>
      <c r="P71" s="49">
        <v>2844.14</v>
      </c>
      <c r="Q71" s="70">
        <f>IF((P72=""),"",MAX(D73:P73))</f>
        <v>1992.0199999999995</v>
      </c>
      <c r="R71" s="70">
        <f>IF(P72="","",MIN(D73:P73))</f>
        <v>1810.7400000000002</v>
      </c>
      <c r="S71" s="70">
        <f>IF((P73=""),"",AVERAGE(D73:P73))</f>
        <v>1924.1892307692308</v>
      </c>
      <c r="T71" s="70">
        <f>IF((P72=""),"",STDEV(D73:P73))</f>
        <v>67.607403744156017</v>
      </c>
      <c r="U71" s="97">
        <f>IF((P72=""),"",((Q71-R71)/(Q71+R71))*100)</f>
        <v>4.7670639219934818</v>
      </c>
      <c r="V71" s="71" t="str">
        <f>IF(P72="","",IF(U71&lt;7.2,IF(S71&gt;1700,IF(S71&lt;2100,"Pass","Fail"),"Fail"),"Fail"))</f>
        <v>Pass</v>
      </c>
      <c r="W71" s="72">
        <v>74</v>
      </c>
      <c r="X71" s="130"/>
      <c r="Z71" s="73">
        <v>1600</v>
      </c>
      <c r="AA71" s="73">
        <v>2600</v>
      </c>
      <c r="AB71" s="74">
        <v>1700</v>
      </c>
      <c r="AC71" s="74">
        <v>2100</v>
      </c>
      <c r="AD71" s="67">
        <v>10</v>
      </c>
      <c r="AE71" s="67">
        <v>7.2</v>
      </c>
    </row>
    <row r="72" spans="1:31" ht="16.5" thickBot="1">
      <c r="A72"/>
      <c r="B72" s="64"/>
      <c r="C72" s="64" t="s">
        <v>78</v>
      </c>
      <c r="D72" s="49">
        <v>1902.91</v>
      </c>
      <c r="E72" s="49">
        <v>1811.64</v>
      </c>
      <c r="F72" s="49">
        <v>1780.8</v>
      </c>
      <c r="G72" s="49">
        <v>1775.33</v>
      </c>
      <c r="H72" s="49">
        <v>1882.01</v>
      </c>
      <c r="I72" s="49">
        <v>1890.16</v>
      </c>
      <c r="J72" s="49">
        <v>1942.15</v>
      </c>
      <c r="K72" s="49">
        <v>1928.64</v>
      </c>
      <c r="L72" s="49">
        <v>1820.67</v>
      </c>
      <c r="M72" s="49">
        <v>1785.96</v>
      </c>
      <c r="N72" s="49">
        <v>1782.26</v>
      </c>
      <c r="O72" s="49">
        <v>1815.91</v>
      </c>
      <c r="P72" s="49">
        <v>1935.66</v>
      </c>
      <c r="Q72" s="64"/>
      <c r="R72" s="64"/>
      <c r="S72" s="64"/>
      <c r="T72" s="64"/>
      <c r="U72" s="98"/>
      <c r="V72" s="71"/>
      <c r="W72" s="76"/>
      <c r="X72" s="298"/>
      <c r="Z72" s="73"/>
      <c r="AA72" s="73"/>
      <c r="AB72" s="74"/>
      <c r="AC72" s="74"/>
      <c r="AD72" s="67"/>
      <c r="AE72" s="67"/>
    </row>
    <row r="73" spans="1:31" ht="60.75" thickBot="1">
      <c r="A73"/>
      <c r="B73" s="77"/>
      <c r="C73" s="77" t="s">
        <v>79</v>
      </c>
      <c r="D73" s="78">
        <f t="shared" ref="D73:P73" si="20">IF(((D71="")*AND(D72="")),"",(D71-D72)*2)</f>
        <v>1856.3200000000002</v>
      </c>
      <c r="E73" s="78">
        <f t="shared" si="20"/>
        <v>1960.4199999999996</v>
      </c>
      <c r="F73" s="78">
        <f t="shared" si="20"/>
        <v>1979.06</v>
      </c>
      <c r="G73" s="78">
        <f t="shared" si="20"/>
        <v>1984.96</v>
      </c>
      <c r="H73" s="78">
        <f t="shared" si="20"/>
        <v>1810.7400000000002</v>
      </c>
      <c r="I73" s="78">
        <f t="shared" si="20"/>
        <v>1872.3399999999997</v>
      </c>
      <c r="J73" s="78">
        <f t="shared" si="20"/>
        <v>1901.5599999999995</v>
      </c>
      <c r="K73" s="78">
        <f t="shared" si="20"/>
        <v>1900.9999999999995</v>
      </c>
      <c r="L73" s="78">
        <f t="shared" si="20"/>
        <v>1992.0199999999995</v>
      </c>
      <c r="M73" s="78">
        <f t="shared" si="20"/>
        <v>1989.38</v>
      </c>
      <c r="N73" s="78">
        <f t="shared" si="20"/>
        <v>1983.0800000000004</v>
      </c>
      <c r="O73" s="78">
        <f t="shared" si="20"/>
        <v>1966.6199999999994</v>
      </c>
      <c r="P73" s="78">
        <f t="shared" si="20"/>
        <v>1816.9599999999996</v>
      </c>
      <c r="Q73" s="77"/>
      <c r="R73" s="77"/>
      <c r="S73" s="77"/>
      <c r="T73" s="77"/>
      <c r="U73" s="99"/>
      <c r="V73" s="71"/>
      <c r="W73" s="80"/>
      <c r="X73" s="298"/>
      <c r="Z73" s="73"/>
      <c r="AA73" s="73"/>
      <c r="AB73" s="74"/>
      <c r="AC73" s="74"/>
      <c r="AD73" s="67"/>
      <c r="AE73" s="67"/>
    </row>
    <row r="74" spans="1:31" ht="15.75" thickBot="1">
      <c r="A74" s="68">
        <v>43221</v>
      </c>
      <c r="B74" s="69" t="s">
        <v>76</v>
      </c>
      <c r="C74" s="70" t="s">
        <v>77</v>
      </c>
      <c r="D74" s="49">
        <v>2894.61</v>
      </c>
      <c r="E74" s="49">
        <v>2828.62</v>
      </c>
      <c r="F74" s="49">
        <v>2791.79</v>
      </c>
      <c r="G74" s="49">
        <v>2771.88</v>
      </c>
      <c r="H74" s="49">
        <v>2777.05</v>
      </c>
      <c r="I74" s="49">
        <v>2805.66</v>
      </c>
      <c r="J74" s="49">
        <v>2860.28</v>
      </c>
      <c r="K74" s="49">
        <v>2851.57</v>
      </c>
      <c r="L74" s="49">
        <v>2804.65</v>
      </c>
      <c r="M74" s="49">
        <v>2777.56</v>
      </c>
      <c r="N74" s="49">
        <v>2779.48</v>
      </c>
      <c r="O74" s="49">
        <v>2810.13</v>
      </c>
      <c r="P74" s="49">
        <v>2851.81</v>
      </c>
      <c r="Q74" s="70">
        <f>IF((P75=""),"",MAX(D76:P76))</f>
        <v>2011.3599999999997</v>
      </c>
      <c r="R74" s="70">
        <f>IF(P75="","",MIN(D76:P76))</f>
        <v>1818.98</v>
      </c>
      <c r="S74" s="70">
        <f>IF((P76=""),"",AVERAGE(D76:P76))</f>
        <v>1940.7707692307695</v>
      </c>
      <c r="T74" s="70">
        <f>IF((P75=""),"",STDEV(D76:P76))</f>
        <v>62.572369629289</v>
      </c>
      <c r="U74" s="97">
        <f>IF((P75=""),"",((Q74-R74)/(Q74+R74))*100)</f>
        <v>5.0225306369669447</v>
      </c>
      <c r="V74" s="71" t="str">
        <f>IF(P75="","",IF(U74&lt;7.2,IF(S74&gt;1700,IF(S74&lt;2100,"Pass","Fail"),"Fail"),"Fail"))</f>
        <v>Pass</v>
      </c>
      <c r="W74" s="72">
        <v>74</v>
      </c>
      <c r="X74" s="130"/>
      <c r="Z74" s="73">
        <v>1600</v>
      </c>
      <c r="AA74" s="73">
        <v>2600</v>
      </c>
      <c r="AB74" s="74">
        <v>1700</v>
      </c>
      <c r="AC74" s="74">
        <v>2100</v>
      </c>
      <c r="AD74" s="67">
        <v>10</v>
      </c>
      <c r="AE74" s="67">
        <v>7.2</v>
      </c>
    </row>
    <row r="75" spans="1:31" ht="16.5" thickBot="1">
      <c r="A75"/>
      <c r="B75" s="64"/>
      <c r="C75" s="64" t="s">
        <v>78</v>
      </c>
      <c r="D75" s="49">
        <v>1977.74</v>
      </c>
      <c r="E75" s="49">
        <v>1854.95</v>
      </c>
      <c r="F75" s="49">
        <v>1806.37</v>
      </c>
      <c r="G75" s="49">
        <v>1785.16</v>
      </c>
      <c r="H75" s="49">
        <v>1777.7</v>
      </c>
      <c r="I75" s="49">
        <v>1799.98</v>
      </c>
      <c r="J75" s="49">
        <v>1917.69</v>
      </c>
      <c r="K75" s="49">
        <v>1905.7</v>
      </c>
      <c r="L75" s="49">
        <v>1811.67</v>
      </c>
      <c r="M75" s="49">
        <v>1788.99</v>
      </c>
      <c r="N75" s="49">
        <v>1793.94</v>
      </c>
      <c r="O75" s="49">
        <v>1827.87</v>
      </c>
      <c r="P75" s="49">
        <v>1942.32</v>
      </c>
      <c r="Q75" s="64"/>
      <c r="R75" s="64"/>
      <c r="S75" s="64"/>
      <c r="T75" s="64"/>
      <c r="U75" s="98"/>
      <c r="V75" s="71"/>
      <c r="W75" s="76"/>
      <c r="X75" s="298"/>
      <c r="Z75" s="73"/>
      <c r="AA75" s="73"/>
      <c r="AB75" s="74"/>
      <c r="AC75" s="74"/>
      <c r="AD75" s="67"/>
      <c r="AE75" s="67"/>
    </row>
    <row r="76" spans="1:31" ht="60.75" thickBot="1">
      <c r="A76"/>
      <c r="B76" s="77"/>
      <c r="C76" s="77" t="s">
        <v>79</v>
      </c>
      <c r="D76" s="78">
        <f t="shared" ref="D76:P76" si="21">IF(((D74="")*AND(D75="")),"",(D74-D75)*2)</f>
        <v>1833.7400000000002</v>
      </c>
      <c r="E76" s="78">
        <f t="shared" si="21"/>
        <v>1947.3399999999997</v>
      </c>
      <c r="F76" s="78">
        <f t="shared" si="21"/>
        <v>1970.8400000000001</v>
      </c>
      <c r="G76" s="78">
        <f t="shared" si="21"/>
        <v>1973.44</v>
      </c>
      <c r="H76" s="78">
        <f t="shared" si="21"/>
        <v>1998.7000000000003</v>
      </c>
      <c r="I76" s="78">
        <f t="shared" si="21"/>
        <v>2011.3599999999997</v>
      </c>
      <c r="J76" s="78">
        <f t="shared" si="21"/>
        <v>1885.1800000000003</v>
      </c>
      <c r="K76" s="78">
        <f t="shared" si="21"/>
        <v>1891.7400000000002</v>
      </c>
      <c r="L76" s="78">
        <f t="shared" si="21"/>
        <v>1985.96</v>
      </c>
      <c r="M76" s="78">
        <f t="shared" si="21"/>
        <v>1977.1399999999999</v>
      </c>
      <c r="N76" s="78">
        <f t="shared" si="21"/>
        <v>1971.08</v>
      </c>
      <c r="O76" s="78">
        <f t="shared" si="21"/>
        <v>1964.5200000000004</v>
      </c>
      <c r="P76" s="78">
        <f t="shared" si="21"/>
        <v>1818.98</v>
      </c>
      <c r="Q76" s="77"/>
      <c r="R76" s="77"/>
      <c r="S76" s="77"/>
      <c r="T76" s="77"/>
      <c r="U76" s="99"/>
      <c r="V76" s="71"/>
      <c r="W76" s="80"/>
      <c r="X76" s="298"/>
      <c r="Z76" s="73"/>
      <c r="AA76" s="73"/>
      <c r="AB76" s="74"/>
      <c r="AC76" s="74"/>
      <c r="AD76" s="67"/>
      <c r="AE76" s="67"/>
    </row>
    <row r="77" spans="1:31" ht="15.75" thickBot="1">
      <c r="A77" s="68">
        <v>43234</v>
      </c>
      <c r="B77" s="69" t="s">
        <v>76</v>
      </c>
      <c r="C77" s="70" t="s">
        <v>77</v>
      </c>
      <c r="D77" s="49">
        <v>2851.37</v>
      </c>
      <c r="E77" s="49">
        <v>2801.2</v>
      </c>
      <c r="F77" s="49">
        <v>2777.81</v>
      </c>
      <c r="G77" s="49">
        <v>2774.83</v>
      </c>
      <c r="H77" s="49">
        <v>2794.63</v>
      </c>
      <c r="I77" s="49">
        <v>2835.56</v>
      </c>
      <c r="J77" s="49">
        <v>2902.38</v>
      </c>
      <c r="K77" s="49">
        <v>2855.2</v>
      </c>
      <c r="L77" s="49">
        <v>2809.89</v>
      </c>
      <c r="M77" s="49">
        <v>2781.68</v>
      </c>
      <c r="N77" s="49">
        <v>2781.46</v>
      </c>
      <c r="O77" s="49">
        <v>2808.46</v>
      </c>
      <c r="P77" s="49">
        <v>2861.82</v>
      </c>
      <c r="Q77" s="70">
        <f>IF((P78=""),"",MAX(D79:P79))</f>
        <v>2043.08</v>
      </c>
      <c r="R77" s="70">
        <f>IF(P78="","",MIN(D79:P79))</f>
        <v>1854.4400000000005</v>
      </c>
      <c r="S77" s="70">
        <f>IF((P79=""),"",AVERAGE(D79:P79))</f>
        <v>1977.1692307692306</v>
      </c>
      <c r="T77" s="70">
        <f>IF((P78=""),"",STDEV(D79:P79))</f>
        <v>61.697980850482296</v>
      </c>
      <c r="U77" s="97">
        <f>IF((P78=""),"",((Q77-R77)/(Q77+R77))*100)</f>
        <v>4.8400008210348986</v>
      </c>
      <c r="V77" s="71" t="str">
        <f>IF(P78="","",IF(U77&lt;7.2,IF(S77&gt;1700,IF(S77&lt;2100,"Pass","Fail"),"Fail"),"Fail"))</f>
        <v>Pass</v>
      </c>
      <c r="W77" s="72" t="s">
        <v>85</v>
      </c>
      <c r="X77" s="375" t="s">
        <v>86</v>
      </c>
      <c r="Z77" s="73">
        <v>1600</v>
      </c>
      <c r="AA77" s="73">
        <v>2600</v>
      </c>
      <c r="AB77" s="74">
        <v>1700</v>
      </c>
      <c r="AC77" s="74">
        <v>2100</v>
      </c>
      <c r="AD77" s="67">
        <v>10</v>
      </c>
      <c r="AE77" s="67">
        <v>7.2</v>
      </c>
    </row>
    <row r="78" spans="1:31" ht="16.5" thickBot="1">
      <c r="A78"/>
      <c r="B78" s="64"/>
      <c r="C78" s="64" t="s">
        <v>78</v>
      </c>
      <c r="D78" s="49">
        <v>1915.41</v>
      </c>
      <c r="E78" s="49">
        <v>1808.65</v>
      </c>
      <c r="F78" s="49">
        <v>1774.62</v>
      </c>
      <c r="G78" s="49">
        <v>1767.94</v>
      </c>
      <c r="H78" s="49">
        <v>1777.77</v>
      </c>
      <c r="I78" s="49">
        <v>1814.02</v>
      </c>
      <c r="J78" s="49">
        <v>1939.91</v>
      </c>
      <c r="K78" s="49">
        <v>1890.91</v>
      </c>
      <c r="L78" s="49">
        <v>1800.18</v>
      </c>
      <c r="M78" s="49">
        <v>1775.42</v>
      </c>
      <c r="N78" s="49">
        <v>1775.49</v>
      </c>
      <c r="O78" s="49">
        <v>1809.77</v>
      </c>
      <c r="P78" s="49">
        <v>1934.6</v>
      </c>
      <c r="Q78" s="77"/>
      <c r="R78" s="64"/>
      <c r="S78" s="64"/>
      <c r="T78" s="64"/>
      <c r="U78" s="98"/>
      <c r="V78" s="71"/>
      <c r="W78" s="82"/>
      <c r="X78" s="298"/>
      <c r="Z78" s="73"/>
      <c r="AA78" s="73"/>
      <c r="AB78" s="74"/>
      <c r="AC78" s="74"/>
      <c r="AD78" s="67"/>
      <c r="AE78" s="67"/>
    </row>
    <row r="79" spans="1:31" ht="60.75" thickBot="1">
      <c r="A79"/>
      <c r="B79" s="77"/>
      <c r="C79" s="77" t="s">
        <v>79</v>
      </c>
      <c r="D79" s="78">
        <f t="shared" ref="D79:P79" si="22">IF(((D77="")*AND(D78="")),"",(D77-D78)*2)</f>
        <v>1871.9199999999996</v>
      </c>
      <c r="E79" s="78">
        <f t="shared" si="22"/>
        <v>1985.0999999999995</v>
      </c>
      <c r="F79" s="78">
        <f t="shared" si="22"/>
        <v>2006.38</v>
      </c>
      <c r="G79" s="78">
        <f t="shared" si="22"/>
        <v>2013.7799999999997</v>
      </c>
      <c r="H79" s="78">
        <f t="shared" si="22"/>
        <v>2033.7200000000003</v>
      </c>
      <c r="I79" s="78">
        <f t="shared" si="22"/>
        <v>2043.08</v>
      </c>
      <c r="J79" s="78">
        <f t="shared" si="22"/>
        <v>1924.94</v>
      </c>
      <c r="K79" s="78">
        <f t="shared" si="22"/>
        <v>1928.5799999999995</v>
      </c>
      <c r="L79" s="78">
        <f t="shared" si="22"/>
        <v>2019.4199999999996</v>
      </c>
      <c r="M79" s="78">
        <f t="shared" si="22"/>
        <v>2012.5199999999995</v>
      </c>
      <c r="N79" s="78">
        <f t="shared" si="22"/>
        <v>2011.94</v>
      </c>
      <c r="O79" s="78">
        <f t="shared" si="22"/>
        <v>1997.38</v>
      </c>
      <c r="P79" s="78">
        <f t="shared" si="22"/>
        <v>1854.4400000000005</v>
      </c>
      <c r="Q79" s="70"/>
      <c r="R79" s="77"/>
      <c r="S79" s="77"/>
      <c r="T79" s="77"/>
      <c r="U79" s="99"/>
      <c r="V79" s="71"/>
      <c r="W79" s="83"/>
      <c r="X79" s="298"/>
      <c r="Z79" s="73"/>
      <c r="AA79" s="73"/>
      <c r="AB79" s="74"/>
      <c r="AC79" s="74"/>
      <c r="AD79" s="67"/>
      <c r="AE79" s="67"/>
    </row>
    <row r="80" spans="1:31" ht="15.75" thickBot="1">
      <c r="A80" s="68">
        <v>43238</v>
      </c>
      <c r="B80" s="69" t="s">
        <v>76</v>
      </c>
      <c r="C80" s="70" t="s">
        <v>77</v>
      </c>
      <c r="D80" s="49">
        <v>2855.91</v>
      </c>
      <c r="E80" s="49">
        <v>2798.55</v>
      </c>
      <c r="F80" s="49">
        <v>2777.59</v>
      </c>
      <c r="G80" s="49">
        <v>2774.69</v>
      </c>
      <c r="H80" s="49">
        <v>2794.53</v>
      </c>
      <c r="I80" s="49">
        <v>2835.38</v>
      </c>
      <c r="J80" s="49">
        <v>2906.43</v>
      </c>
      <c r="K80" s="49">
        <v>2852.14</v>
      </c>
      <c r="L80" s="49">
        <v>2806.58</v>
      </c>
      <c r="M80" s="49">
        <v>2782.73</v>
      </c>
      <c r="N80" s="49">
        <v>2781.72</v>
      </c>
      <c r="O80" s="49">
        <v>2808.52</v>
      </c>
      <c r="P80" s="49">
        <v>2863.06</v>
      </c>
      <c r="Q80" s="70">
        <f>IF((P81=""),"",MAX(D82:P82))</f>
        <v>2034.6800000000003</v>
      </c>
      <c r="R80" s="70">
        <f>IF(P81="","",MIN(D82:P82))</f>
        <v>1859.1599999999999</v>
      </c>
      <c r="S80" s="70">
        <f>IF((P82=""),"",AVERAGE(D82:P82))</f>
        <v>1976.7246153846152</v>
      </c>
      <c r="T80" s="70">
        <f>IF((P81=""),"",STDEV(D82:P82))</f>
        <v>57.481531616010223</v>
      </c>
      <c r="U80" s="97">
        <f>IF((P81=""),"",((Q80-R80)/(Q80+R80))*100)</f>
        <v>4.5076325683644018</v>
      </c>
      <c r="V80" s="71" t="str">
        <f>IF(P81="","",IF(U80&lt;7.2,IF(S80&gt;1700,IF(S80&lt;2100,"Pass","Fail"),"Fail"),"Fail"))</f>
        <v>Pass</v>
      </c>
      <c r="W80" s="72">
        <v>64</v>
      </c>
      <c r="X80" s="130"/>
      <c r="Z80" s="73">
        <v>1600</v>
      </c>
      <c r="AA80" s="73">
        <v>2600</v>
      </c>
      <c r="AB80" s="74">
        <v>1700</v>
      </c>
      <c r="AC80" s="74">
        <v>2100</v>
      </c>
      <c r="AD80" s="67">
        <v>10</v>
      </c>
      <c r="AE80" s="67">
        <v>7.2</v>
      </c>
    </row>
    <row r="81" spans="1:31" ht="16.5" thickBot="1">
      <c r="A81"/>
      <c r="B81" s="64"/>
      <c r="C81" s="64" t="s">
        <v>78</v>
      </c>
      <c r="D81" s="49">
        <v>1907.48</v>
      </c>
      <c r="E81" s="49">
        <v>1806.74</v>
      </c>
      <c r="F81" s="49">
        <v>1774.24</v>
      </c>
      <c r="G81" s="49">
        <v>1770.38</v>
      </c>
      <c r="H81" s="49">
        <v>1780.28</v>
      </c>
      <c r="I81" s="49">
        <v>1818.04</v>
      </c>
      <c r="J81" s="49">
        <v>1952.93</v>
      </c>
      <c r="K81" s="49">
        <v>1885.94</v>
      </c>
      <c r="L81" s="49">
        <v>1798.39</v>
      </c>
      <c r="M81" s="49">
        <v>1775.43</v>
      </c>
      <c r="N81" s="49">
        <v>1776.41</v>
      </c>
      <c r="O81" s="49">
        <v>1809.38</v>
      </c>
      <c r="P81" s="49">
        <v>1933.48</v>
      </c>
      <c r="Q81" s="77"/>
      <c r="R81" s="64"/>
      <c r="S81" s="64"/>
      <c r="T81" s="64"/>
      <c r="U81" s="98"/>
      <c r="V81" s="71"/>
      <c r="W81" s="76"/>
      <c r="X81" s="298"/>
      <c r="Z81" s="73"/>
      <c r="AA81" s="73"/>
      <c r="AB81" s="74"/>
      <c r="AC81" s="74"/>
      <c r="AD81" s="67"/>
      <c r="AE81" s="67"/>
    </row>
    <row r="82" spans="1:31" ht="60.75" thickBot="1">
      <c r="A82"/>
      <c r="B82" s="77"/>
      <c r="C82" s="77" t="s">
        <v>79</v>
      </c>
      <c r="D82" s="78">
        <f t="shared" ref="D82:P82" si="23">IF(((D80="")*AND(D81="")),"",(D80-D81)*2)</f>
        <v>1896.8599999999997</v>
      </c>
      <c r="E82" s="78">
        <f t="shared" si="23"/>
        <v>1983.6200000000003</v>
      </c>
      <c r="F82" s="78">
        <f t="shared" si="23"/>
        <v>2006.7000000000003</v>
      </c>
      <c r="G82" s="78">
        <f t="shared" si="23"/>
        <v>2008.62</v>
      </c>
      <c r="H82" s="78">
        <f t="shared" si="23"/>
        <v>2028.5000000000005</v>
      </c>
      <c r="I82" s="78">
        <f t="shared" si="23"/>
        <v>2034.6800000000003</v>
      </c>
      <c r="J82" s="78">
        <f t="shared" si="23"/>
        <v>1906.9999999999995</v>
      </c>
      <c r="K82" s="78">
        <f t="shared" si="23"/>
        <v>1932.3999999999996</v>
      </c>
      <c r="L82" s="78">
        <f t="shared" si="23"/>
        <v>2016.3799999999997</v>
      </c>
      <c r="M82" s="78">
        <f t="shared" si="23"/>
        <v>2014.6</v>
      </c>
      <c r="N82" s="78">
        <f t="shared" si="23"/>
        <v>2010.6199999999994</v>
      </c>
      <c r="O82" s="78">
        <f t="shared" si="23"/>
        <v>1998.2799999999997</v>
      </c>
      <c r="P82" s="78">
        <f t="shared" si="23"/>
        <v>1859.1599999999999</v>
      </c>
      <c r="Q82" s="70"/>
      <c r="R82" s="77"/>
      <c r="S82" s="77"/>
      <c r="T82" s="77"/>
      <c r="U82" s="99"/>
      <c r="V82" s="71"/>
      <c r="W82" s="80"/>
      <c r="X82" s="298"/>
      <c r="Z82" s="73"/>
      <c r="AA82" s="73"/>
      <c r="AB82" s="74"/>
      <c r="AC82" s="74"/>
      <c r="AD82" s="67"/>
      <c r="AE82" s="67"/>
    </row>
    <row r="83" spans="1:31" ht="15.75" thickBot="1">
      <c r="A83" s="68">
        <v>43242</v>
      </c>
      <c r="B83" s="69" t="s">
        <v>76</v>
      </c>
      <c r="C83" s="70" t="s">
        <v>77</v>
      </c>
      <c r="D83" s="49">
        <v>2841</v>
      </c>
      <c r="E83" s="49">
        <v>2800.72</v>
      </c>
      <c r="F83" s="49">
        <v>2775.89</v>
      </c>
      <c r="G83" s="49">
        <v>2773.69</v>
      </c>
      <c r="H83" s="49">
        <v>2792.68</v>
      </c>
      <c r="I83" s="49">
        <v>2832.59</v>
      </c>
      <c r="J83" s="49">
        <v>2900.12</v>
      </c>
      <c r="K83" s="49">
        <v>2881.32</v>
      </c>
      <c r="L83" s="49">
        <v>2819.25</v>
      </c>
      <c r="M83" s="49">
        <v>2785.71</v>
      </c>
      <c r="N83" s="49">
        <v>2779.83</v>
      </c>
      <c r="O83" s="49">
        <v>2804.39</v>
      </c>
      <c r="P83" s="49">
        <v>2857.55</v>
      </c>
      <c r="Q83" s="70">
        <f>IF((P84=""),"",MAX(D85:P85))</f>
        <v>2035.4</v>
      </c>
      <c r="R83" s="70">
        <f>IF(P84="","",MIN(D85:P85))</f>
        <v>1861.7400000000002</v>
      </c>
      <c r="S83" s="70">
        <f>IF((P85=""),"",AVERAGE(D85:P85))</f>
        <v>1973.590769230769</v>
      </c>
      <c r="T83" s="70">
        <f>IF((P84=""),"",STDEV(D85:P85))</f>
        <v>56.305023230848796</v>
      </c>
      <c r="U83" s="97">
        <f>IF((P84=""),"",((Q83-R83)/(Q83+R83))*100)</f>
        <v>4.4560883109151801</v>
      </c>
      <c r="V83" s="71" t="str">
        <f>IF(P84="","",IF(U83&lt;7.2,IF(S83&gt;1700,IF(S83&lt;2100,"Pass","Fail"),"Fail"),"Fail"))</f>
        <v>Pass</v>
      </c>
      <c r="W83" s="72">
        <v>102</v>
      </c>
      <c r="X83" s="130"/>
      <c r="Z83" s="73">
        <v>1600</v>
      </c>
      <c r="AA83" s="73">
        <v>2600</v>
      </c>
      <c r="AB83" s="74">
        <v>1700</v>
      </c>
      <c r="AC83" s="74">
        <v>2100</v>
      </c>
      <c r="AD83" s="67">
        <v>10</v>
      </c>
      <c r="AE83" s="67">
        <v>7.2</v>
      </c>
    </row>
    <row r="84" spans="1:31" ht="16.5" thickBot="1">
      <c r="A84"/>
      <c r="B84" s="64"/>
      <c r="C84" s="64" t="s">
        <v>78</v>
      </c>
      <c r="D84" s="49">
        <v>1894.26</v>
      </c>
      <c r="E84" s="49">
        <v>1805.61</v>
      </c>
      <c r="F84" s="49">
        <v>1778.94</v>
      </c>
      <c r="G84" s="49">
        <v>1774.18</v>
      </c>
      <c r="H84" s="49">
        <v>1780.44</v>
      </c>
      <c r="I84" s="49">
        <v>1814.89</v>
      </c>
      <c r="J84" s="49">
        <v>1950.25</v>
      </c>
      <c r="K84" s="49">
        <v>1914.27</v>
      </c>
      <c r="L84" s="49">
        <v>1812.95</v>
      </c>
      <c r="M84" s="49">
        <v>1782.66</v>
      </c>
      <c r="N84" s="49">
        <v>1775.78</v>
      </c>
      <c r="O84" s="49">
        <v>1805.49</v>
      </c>
      <c r="P84" s="49">
        <v>1926.68</v>
      </c>
      <c r="Q84" s="77"/>
      <c r="R84" s="64"/>
      <c r="S84" s="64"/>
      <c r="T84" s="64"/>
      <c r="U84" s="98"/>
      <c r="V84" s="71"/>
      <c r="W84" s="76"/>
      <c r="X84" s="298"/>
      <c r="Z84" s="73"/>
      <c r="AA84" s="73"/>
      <c r="AB84" s="74"/>
      <c r="AC84" s="74"/>
      <c r="AD84" s="67"/>
      <c r="AE84" s="67"/>
    </row>
    <row r="85" spans="1:31" ht="60.75" thickBot="1">
      <c r="A85"/>
      <c r="B85" s="77"/>
      <c r="C85" s="77" t="s">
        <v>79</v>
      </c>
      <c r="D85" s="78">
        <f t="shared" ref="D85:P85" si="24">IF(((D83="")*AND(D84="")),"",(D83-D84)*2)</f>
        <v>1893.48</v>
      </c>
      <c r="E85" s="78">
        <f t="shared" si="24"/>
        <v>1990.2199999999998</v>
      </c>
      <c r="F85" s="78">
        <f t="shared" si="24"/>
        <v>1993.8999999999996</v>
      </c>
      <c r="G85" s="78">
        <f t="shared" si="24"/>
        <v>1999.02</v>
      </c>
      <c r="H85" s="78">
        <f t="shared" si="24"/>
        <v>2024.4799999999996</v>
      </c>
      <c r="I85" s="78">
        <f t="shared" si="24"/>
        <v>2035.4</v>
      </c>
      <c r="J85" s="78">
        <f t="shared" si="24"/>
        <v>1899.7399999999998</v>
      </c>
      <c r="K85" s="78">
        <f t="shared" si="24"/>
        <v>1934.1000000000004</v>
      </c>
      <c r="L85" s="78">
        <f t="shared" si="24"/>
        <v>2012.6</v>
      </c>
      <c r="M85" s="78">
        <f t="shared" si="24"/>
        <v>2006.1</v>
      </c>
      <c r="N85" s="78">
        <f t="shared" si="24"/>
        <v>2008.1</v>
      </c>
      <c r="O85" s="78">
        <f t="shared" si="24"/>
        <v>1997.7999999999997</v>
      </c>
      <c r="P85" s="78">
        <f t="shared" si="24"/>
        <v>1861.7400000000002</v>
      </c>
      <c r="R85" s="77"/>
      <c r="S85" s="77"/>
      <c r="T85" s="77"/>
      <c r="U85" s="99"/>
      <c r="V85" s="71"/>
      <c r="W85" s="80"/>
      <c r="X85" s="298"/>
      <c r="Z85" s="73"/>
      <c r="AA85" s="73"/>
      <c r="AB85" s="74"/>
      <c r="AC85" s="74"/>
      <c r="AD85" s="67"/>
      <c r="AE85" s="67"/>
    </row>
    <row r="86" spans="1:31" ht="15.75" thickBot="1">
      <c r="A86" s="68">
        <v>43243</v>
      </c>
      <c r="B86" s="69" t="s">
        <v>76</v>
      </c>
      <c r="C86" s="70" t="s">
        <v>77</v>
      </c>
      <c r="D86" s="49">
        <v>2859.43</v>
      </c>
      <c r="E86" s="49">
        <v>2805.48</v>
      </c>
      <c r="F86" s="49">
        <v>2781.02</v>
      </c>
      <c r="G86" s="49">
        <v>2778.58</v>
      </c>
      <c r="H86" s="49">
        <v>2798.16</v>
      </c>
      <c r="I86" s="49">
        <v>2840.8</v>
      </c>
      <c r="J86" s="49">
        <v>2910.98</v>
      </c>
      <c r="K86" s="49">
        <v>2879.24</v>
      </c>
      <c r="L86" s="49">
        <v>2821.14</v>
      </c>
      <c r="M86" s="49">
        <v>2788.78</v>
      </c>
      <c r="N86" s="49">
        <v>2784.55</v>
      </c>
      <c r="O86" s="49">
        <v>2813.1</v>
      </c>
      <c r="P86" s="49">
        <v>2872.83</v>
      </c>
      <c r="Q86" s="70">
        <f>IF((P87=""),"",MAX(D88:P88))</f>
        <v>2102.0800000000004</v>
      </c>
      <c r="R86" s="70">
        <f>IF(P87="","",MIN(D88:P88))</f>
        <v>1941.1599999999999</v>
      </c>
      <c r="S86" s="70">
        <f>IF((P88=""),"",AVERAGE(D88:P88))</f>
        <v>2051.7784615384617</v>
      </c>
      <c r="T86" s="70">
        <f>IF((P87=""),"",STDEV(D88:P88))</f>
        <v>52.286188400337423</v>
      </c>
      <c r="U86" s="97">
        <f>IF((P87=""),"",((Q86-R86)/(Q86+R86))*100)</f>
        <v>3.9799764545265806</v>
      </c>
      <c r="V86" s="71" t="str">
        <f>IF(P87="","",IF(U86&lt;7.2,IF(S86&gt;1700,IF(S86&lt;2100,"Pass","Fail"),"Fail"),"Fail"))</f>
        <v>Pass</v>
      </c>
      <c r="W86" s="72">
        <v>1159</v>
      </c>
      <c r="X86" s="130"/>
      <c r="Z86" s="73">
        <v>1600</v>
      </c>
      <c r="AA86" s="73">
        <v>2600</v>
      </c>
      <c r="AB86" s="74">
        <v>1700</v>
      </c>
      <c r="AC86" s="74">
        <v>2100</v>
      </c>
      <c r="AD86" s="67">
        <v>10</v>
      </c>
      <c r="AE86" s="67">
        <v>7.2</v>
      </c>
    </row>
    <row r="87" spans="1:31" ht="16.5" thickBot="1">
      <c r="A87"/>
      <c r="B87" s="64"/>
      <c r="C87" s="64" t="s">
        <v>78</v>
      </c>
      <c r="D87" s="49">
        <v>1882.82</v>
      </c>
      <c r="E87" s="49">
        <v>1775.1</v>
      </c>
      <c r="F87" s="49">
        <v>1744.36</v>
      </c>
      <c r="G87" s="49">
        <v>1741.51</v>
      </c>
      <c r="H87" s="49">
        <v>1749.38</v>
      </c>
      <c r="I87" s="49">
        <v>1789.76</v>
      </c>
      <c r="J87" s="49">
        <v>1896.89</v>
      </c>
      <c r="K87" s="49">
        <v>1868.5</v>
      </c>
      <c r="L87" s="49">
        <v>1774.88</v>
      </c>
      <c r="M87" s="49">
        <v>1747.81</v>
      </c>
      <c r="N87" s="49">
        <v>1742.77</v>
      </c>
      <c r="O87" s="49">
        <v>1781.5</v>
      </c>
      <c r="P87" s="49">
        <v>1902.25</v>
      </c>
      <c r="Q87" s="77"/>
      <c r="R87" s="64"/>
      <c r="S87" s="64"/>
      <c r="T87" s="64"/>
      <c r="U87" s="98"/>
      <c r="V87" s="71"/>
      <c r="W87" s="76"/>
      <c r="X87" s="298"/>
      <c r="Z87" s="73"/>
      <c r="AA87" s="73"/>
      <c r="AB87" s="74"/>
      <c r="AC87" s="74"/>
      <c r="AD87" s="67"/>
      <c r="AE87" s="67"/>
    </row>
    <row r="88" spans="1:31" ht="60.75" thickBot="1">
      <c r="A88"/>
      <c r="B88" s="77"/>
      <c r="C88" s="77" t="s">
        <v>79</v>
      </c>
      <c r="D88" s="78">
        <f t="shared" ref="D88:P88" si="25">IF(((D86="")*AND(D87="")),"",(D86-D87)*2)</f>
        <v>1953.2199999999998</v>
      </c>
      <c r="E88" s="78">
        <f t="shared" si="25"/>
        <v>2060.7600000000002</v>
      </c>
      <c r="F88" s="78">
        <f t="shared" si="25"/>
        <v>2073.3200000000002</v>
      </c>
      <c r="G88" s="78">
        <f t="shared" si="25"/>
        <v>2074.14</v>
      </c>
      <c r="H88" s="78">
        <f t="shared" si="25"/>
        <v>2097.5599999999995</v>
      </c>
      <c r="I88" s="78">
        <f t="shared" si="25"/>
        <v>2102.0800000000004</v>
      </c>
      <c r="J88" s="78">
        <f t="shared" si="25"/>
        <v>2028.1799999999998</v>
      </c>
      <c r="K88" s="78">
        <f t="shared" si="25"/>
        <v>2021.4799999999996</v>
      </c>
      <c r="L88" s="78">
        <f t="shared" si="25"/>
        <v>2092.5199999999995</v>
      </c>
      <c r="M88" s="78">
        <f t="shared" si="25"/>
        <v>2081.9400000000005</v>
      </c>
      <c r="N88" s="78">
        <f t="shared" si="25"/>
        <v>2083.5600000000004</v>
      </c>
      <c r="O88" s="78">
        <f t="shared" si="25"/>
        <v>2063.1999999999998</v>
      </c>
      <c r="P88" s="78">
        <f t="shared" si="25"/>
        <v>1941.1599999999999</v>
      </c>
      <c r="Q88" s="70"/>
      <c r="R88" s="77"/>
      <c r="S88" s="77"/>
      <c r="T88" s="77"/>
      <c r="U88" s="99"/>
      <c r="V88" s="71"/>
      <c r="W88" s="80"/>
      <c r="X88" s="298"/>
      <c r="Z88" s="73"/>
      <c r="AA88" s="73"/>
      <c r="AB88" s="74"/>
      <c r="AC88" s="74"/>
      <c r="AD88" s="67"/>
      <c r="AE88" s="67"/>
    </row>
    <row r="89" spans="1:31" ht="15.75" thickBot="1">
      <c r="A89" s="68">
        <v>43248</v>
      </c>
      <c r="B89" s="69" t="s">
        <v>76</v>
      </c>
      <c r="C89" s="70" t="s">
        <v>77</v>
      </c>
      <c r="D89" s="49">
        <v>2835.96</v>
      </c>
      <c r="E89" s="49">
        <v>2779.57</v>
      </c>
      <c r="F89" s="49">
        <v>2751.51</v>
      </c>
      <c r="G89" s="49">
        <v>2748.35</v>
      </c>
      <c r="H89" s="49">
        <v>2762.42</v>
      </c>
      <c r="I89" s="49">
        <v>2793.27</v>
      </c>
      <c r="J89" s="49">
        <v>2855.41</v>
      </c>
      <c r="K89" s="49">
        <v>2833.13</v>
      </c>
      <c r="L89" s="49">
        <v>2776.1</v>
      </c>
      <c r="M89" s="49">
        <v>2752.12</v>
      </c>
      <c r="N89" s="49">
        <v>2770.46</v>
      </c>
      <c r="O89" s="49">
        <v>2815.28</v>
      </c>
      <c r="P89" s="49">
        <v>2891.11</v>
      </c>
      <c r="Q89" s="70">
        <f>IF((P90=""),"",MAX(D91:P91))</f>
        <v>2079</v>
      </c>
      <c r="R89" s="70">
        <f>IF(P90="","",MIN(D91:P91))</f>
        <v>1918.6000000000004</v>
      </c>
      <c r="S89" s="70">
        <f>IF((P91=""),"",AVERAGE(D91:P91))</f>
        <v>2019.8015384615383</v>
      </c>
      <c r="T89" s="70">
        <f>IF((P90=""),"",STDEV(D91:P91))</f>
        <v>53.735423115831843</v>
      </c>
      <c r="U89" s="97">
        <f>IF((P90=""),"",((Q89-R89)/(Q89+R89))*100)</f>
        <v>4.0124074444666711</v>
      </c>
      <c r="V89" s="71" t="str">
        <f>IF(P90="","",IF(U89&lt;7.2,IF(S89&gt;1700,IF(S89&lt;2100,"Pass","Fail"),"Fail"),"Fail"))</f>
        <v>Pass</v>
      </c>
      <c r="W89" s="72">
        <v>102</v>
      </c>
      <c r="X89" s="130"/>
      <c r="Z89" s="73">
        <v>1600</v>
      </c>
      <c r="AA89" s="73">
        <v>2600</v>
      </c>
      <c r="AB89" s="74">
        <v>1700</v>
      </c>
      <c r="AC89" s="74">
        <v>2100</v>
      </c>
      <c r="AD89" s="67">
        <v>10</v>
      </c>
      <c r="AE89" s="67">
        <v>7.2</v>
      </c>
    </row>
    <row r="90" spans="1:31" ht="16.5" thickBot="1">
      <c r="A90"/>
      <c r="B90" s="64"/>
      <c r="C90" s="64" t="s">
        <v>78</v>
      </c>
      <c r="D90" s="49">
        <v>1863.84</v>
      </c>
      <c r="E90" s="49">
        <v>1766.94</v>
      </c>
      <c r="F90" s="49">
        <v>1731.31</v>
      </c>
      <c r="G90" s="49">
        <v>1727.24</v>
      </c>
      <c r="H90" s="49">
        <v>1726.87</v>
      </c>
      <c r="I90" s="49">
        <v>1753.77</v>
      </c>
      <c r="J90" s="49">
        <v>1875.62</v>
      </c>
      <c r="K90" s="49">
        <v>1852.04</v>
      </c>
      <c r="L90" s="49">
        <v>1751.52</v>
      </c>
      <c r="M90" s="49">
        <v>1722.66</v>
      </c>
      <c r="N90" s="49">
        <v>1742.55</v>
      </c>
      <c r="O90" s="49">
        <v>1789.81</v>
      </c>
      <c r="P90" s="49">
        <v>1931.81</v>
      </c>
      <c r="Q90" s="77"/>
      <c r="R90" s="64"/>
      <c r="S90" s="64"/>
      <c r="T90" s="64"/>
      <c r="U90" s="98"/>
      <c r="V90" s="71"/>
      <c r="W90" s="76"/>
      <c r="X90" s="298"/>
      <c r="Z90" s="73"/>
      <c r="AA90" s="73"/>
      <c r="AB90" s="74"/>
      <c r="AC90" s="74"/>
      <c r="AD90" s="67"/>
      <c r="AE90" s="67"/>
    </row>
    <row r="91" spans="1:31" ht="60.75" thickBot="1">
      <c r="A91"/>
      <c r="B91" s="77"/>
      <c r="C91" s="77" t="s">
        <v>79</v>
      </c>
      <c r="D91" s="78">
        <f t="shared" ref="D91:P91" si="26">IF(((D89="")*AND(D90="")),"",(D89-D90)*2)</f>
        <v>1944.2400000000002</v>
      </c>
      <c r="E91" s="78">
        <f t="shared" si="26"/>
        <v>2025.2600000000002</v>
      </c>
      <c r="F91" s="78">
        <f t="shared" si="26"/>
        <v>2040.4000000000005</v>
      </c>
      <c r="G91" s="78">
        <f t="shared" si="26"/>
        <v>2042.2199999999998</v>
      </c>
      <c r="H91" s="78">
        <f t="shared" si="26"/>
        <v>2071.1000000000004</v>
      </c>
      <c r="I91" s="78">
        <f t="shared" si="26"/>
        <v>2079</v>
      </c>
      <c r="J91" s="78">
        <f t="shared" si="26"/>
        <v>1959.58</v>
      </c>
      <c r="K91" s="78">
        <f t="shared" si="26"/>
        <v>1962.1800000000003</v>
      </c>
      <c r="L91" s="78">
        <f t="shared" si="26"/>
        <v>2049.16</v>
      </c>
      <c r="M91" s="78">
        <f t="shared" si="26"/>
        <v>2058.9199999999996</v>
      </c>
      <c r="N91" s="78">
        <f t="shared" si="26"/>
        <v>2055.8200000000002</v>
      </c>
      <c r="O91" s="78">
        <f t="shared" si="26"/>
        <v>2050.9400000000005</v>
      </c>
      <c r="P91" s="78">
        <f t="shared" si="26"/>
        <v>1918.6000000000004</v>
      </c>
      <c r="R91" s="77"/>
      <c r="S91" s="77"/>
      <c r="T91" s="77"/>
      <c r="U91" s="99"/>
      <c r="V91" s="71"/>
      <c r="W91" s="80"/>
      <c r="X91" s="298"/>
      <c r="Z91" s="73"/>
      <c r="AA91" s="73"/>
      <c r="AB91" s="74"/>
      <c r="AC91" s="74"/>
      <c r="AD91" s="67"/>
      <c r="AE91" s="67"/>
    </row>
    <row r="92" spans="1:31" ht="15.75" thickBot="1">
      <c r="A92" s="68">
        <v>43251</v>
      </c>
      <c r="B92" s="69" t="s">
        <v>76</v>
      </c>
      <c r="C92" s="70" t="s">
        <v>77</v>
      </c>
      <c r="D92" s="49">
        <v>2827.97</v>
      </c>
      <c r="E92" s="49">
        <v>2775.93</v>
      </c>
      <c r="F92" s="49">
        <v>2751.82</v>
      </c>
      <c r="G92" s="49">
        <v>2742.93</v>
      </c>
      <c r="H92" s="49">
        <v>2754.51</v>
      </c>
      <c r="I92" s="49">
        <v>2789.71</v>
      </c>
      <c r="J92" s="49">
        <v>2852.9</v>
      </c>
      <c r="K92" s="49">
        <v>2827.49</v>
      </c>
      <c r="L92" s="49">
        <v>2771.21</v>
      </c>
      <c r="M92" s="49">
        <v>2743.07</v>
      </c>
      <c r="N92" s="49">
        <v>2765.45</v>
      </c>
      <c r="O92" s="49">
        <v>2809.58</v>
      </c>
      <c r="P92" s="49">
        <v>2888.62</v>
      </c>
      <c r="Q92" s="70">
        <f>IF((P93=""),"",MAX(D94:P94))</f>
        <v>2076.42</v>
      </c>
      <c r="R92" s="70">
        <f>IF(P93="","",MIN(D94:P94))</f>
        <v>1911.1799999999998</v>
      </c>
      <c r="S92" s="70">
        <f>IF((P94=""),"",AVERAGE(D94:P94))</f>
        <v>2013.2861538461539</v>
      </c>
      <c r="T92" s="70">
        <f>IF((P93=""),"",STDEV(D94:P94))</f>
        <v>56.520848297839414</v>
      </c>
      <c r="U92" s="97">
        <f>IF((P93=""),"",((Q92-R92)/(Q92+R92))*100)</f>
        <v>4.1438459223593194</v>
      </c>
      <c r="V92" s="71" t="str">
        <f>IF(P93="","",IF(U92&lt;7.2,IF(S92&gt;1700,IF(S92&lt;2100,"Pass","Fail"),"Fail"),"Fail"))</f>
        <v>Pass</v>
      </c>
      <c r="W92" s="72">
        <v>102</v>
      </c>
      <c r="X92" s="130"/>
      <c r="Z92" s="73">
        <v>1600</v>
      </c>
      <c r="AA92" s="73">
        <v>2600</v>
      </c>
      <c r="AB92" s="74">
        <v>1700</v>
      </c>
      <c r="AC92" s="74">
        <v>2100</v>
      </c>
      <c r="AD92" s="67">
        <v>10</v>
      </c>
      <c r="AE92" s="67">
        <v>7.2</v>
      </c>
    </row>
    <row r="93" spans="1:31" ht="16.5" thickBot="1">
      <c r="A93"/>
      <c r="B93" s="64"/>
      <c r="C93" s="64" t="s">
        <v>78</v>
      </c>
      <c r="D93" s="49">
        <v>1869.46</v>
      </c>
      <c r="E93" s="49">
        <v>1766.13</v>
      </c>
      <c r="F93" s="49">
        <v>1731.15</v>
      </c>
      <c r="G93" s="49">
        <v>1718.43</v>
      </c>
      <c r="H93" s="49">
        <v>1725</v>
      </c>
      <c r="I93" s="49">
        <v>1751.5</v>
      </c>
      <c r="J93" s="49">
        <v>1871.12</v>
      </c>
      <c r="K93" s="49">
        <v>1850.33</v>
      </c>
      <c r="L93" s="49">
        <v>1744.61</v>
      </c>
      <c r="M93" s="49">
        <v>1720.64</v>
      </c>
      <c r="N93" s="49">
        <v>1738.33</v>
      </c>
      <c r="O93" s="49">
        <v>1795.1</v>
      </c>
      <c r="P93" s="49">
        <v>1933.03</v>
      </c>
      <c r="Q93" s="77"/>
      <c r="R93" s="64"/>
      <c r="S93" s="64"/>
      <c r="T93" s="64"/>
      <c r="U93" s="98"/>
      <c r="V93" s="71"/>
      <c r="W93" s="76"/>
      <c r="X93" s="298"/>
      <c r="Z93" s="73"/>
      <c r="AA93" s="73"/>
      <c r="AB93" s="74"/>
      <c r="AC93" s="74"/>
      <c r="AD93" s="67"/>
      <c r="AE93" s="67"/>
    </row>
    <row r="94" spans="1:31" ht="60.75" thickBot="1">
      <c r="A94"/>
      <c r="B94" s="77"/>
      <c r="C94" s="77" t="s">
        <v>79</v>
      </c>
      <c r="D94" s="78">
        <f t="shared" ref="D94:P94" si="27">IF(((D92="")*AND(D93="")),"",(D92-D93)*2)</f>
        <v>1917.0199999999995</v>
      </c>
      <c r="E94" s="78">
        <f t="shared" si="27"/>
        <v>2019.5999999999995</v>
      </c>
      <c r="F94" s="78">
        <f t="shared" si="27"/>
        <v>2041.3400000000001</v>
      </c>
      <c r="G94" s="78">
        <f t="shared" si="27"/>
        <v>2048.9999999999995</v>
      </c>
      <c r="H94" s="78">
        <f t="shared" si="27"/>
        <v>2059.0200000000004</v>
      </c>
      <c r="I94" s="78">
        <f t="shared" si="27"/>
        <v>2076.42</v>
      </c>
      <c r="J94" s="78">
        <f t="shared" si="27"/>
        <v>1963.5600000000004</v>
      </c>
      <c r="K94" s="78">
        <f t="shared" si="27"/>
        <v>1954.3199999999997</v>
      </c>
      <c r="L94" s="78">
        <f t="shared" si="27"/>
        <v>2053.2000000000003</v>
      </c>
      <c r="M94" s="78">
        <f t="shared" si="27"/>
        <v>2044.8600000000001</v>
      </c>
      <c r="N94" s="78">
        <f t="shared" si="27"/>
        <v>2054.2399999999998</v>
      </c>
      <c r="O94" s="78">
        <f t="shared" si="27"/>
        <v>2028.96</v>
      </c>
      <c r="P94" s="78">
        <f t="shared" si="27"/>
        <v>1911.1799999999998</v>
      </c>
      <c r="R94" s="77"/>
      <c r="S94" s="77"/>
      <c r="T94" s="77"/>
      <c r="U94" s="99"/>
      <c r="V94" s="71"/>
      <c r="W94" s="80"/>
      <c r="X94" s="298"/>
      <c r="Z94" s="73"/>
      <c r="AA94" s="73"/>
      <c r="AB94" s="74"/>
      <c r="AC94" s="74"/>
      <c r="AD94" s="67"/>
      <c r="AE94" s="67"/>
    </row>
    <row r="95" spans="1:31" ht="15.75" thickBot="1">
      <c r="A95" s="68">
        <v>43255</v>
      </c>
      <c r="B95" s="69" t="s">
        <v>76</v>
      </c>
      <c r="C95" s="70" t="s">
        <v>77</v>
      </c>
      <c r="D95" s="49">
        <v>2838.69</v>
      </c>
      <c r="E95" s="49">
        <v>2785.48</v>
      </c>
      <c r="F95" s="49">
        <v>2758.61</v>
      </c>
      <c r="G95" s="49">
        <v>2755.47</v>
      </c>
      <c r="H95" s="49">
        <v>2769.04</v>
      </c>
      <c r="I95" s="49">
        <v>2803.19</v>
      </c>
      <c r="J95" s="49">
        <v>2868</v>
      </c>
      <c r="K95" s="49">
        <v>2835.89</v>
      </c>
      <c r="L95" s="49">
        <v>2784.08</v>
      </c>
      <c r="M95" s="49">
        <v>2754.42</v>
      </c>
      <c r="N95" s="49">
        <v>2776.44</v>
      </c>
      <c r="O95" s="49">
        <v>2821.04</v>
      </c>
      <c r="P95" s="49">
        <v>2899.01</v>
      </c>
      <c r="Q95" s="70">
        <f>IF((P96=""),"",MAX(D97:P97))</f>
        <v>2091</v>
      </c>
      <c r="R95" s="70">
        <f>IF(P96="","",MIN(D97:P97))</f>
        <v>1932.2400000000002</v>
      </c>
      <c r="S95" s="70">
        <f>IF((P97=""),"",AVERAGE(D97:P97))</f>
        <v>2025.9861538461535</v>
      </c>
      <c r="T95" s="70">
        <f>IF((P96=""),"",STDEV(D97:P97))</f>
        <v>54.205675216171159</v>
      </c>
      <c r="U95" s="97">
        <f>IF((P96=""),"",((Q95-R95)/(Q95+R95))*100)</f>
        <v>3.9460733140453903</v>
      </c>
      <c r="V95" s="71" t="str">
        <f>IF(P96="","",IF(U95&lt;7.2,IF(S95&gt;1700,IF(S95&lt;2100,"Pass","Fail"),"Fail"),"Fail"))</f>
        <v>Pass</v>
      </c>
      <c r="W95" s="72">
        <v>1335</v>
      </c>
      <c r="X95" s="130"/>
      <c r="Z95" s="73">
        <v>1600</v>
      </c>
      <c r="AA95" s="73">
        <v>2600</v>
      </c>
      <c r="AB95" s="74">
        <v>1700</v>
      </c>
      <c r="AC95" s="74">
        <v>2100</v>
      </c>
      <c r="AD95" s="67">
        <v>10</v>
      </c>
      <c r="AE95" s="67">
        <v>7.2</v>
      </c>
    </row>
    <row r="96" spans="1:31" ht="16.5" thickBot="1">
      <c r="A96"/>
      <c r="B96" s="64"/>
      <c r="C96" s="64" t="s">
        <v>78</v>
      </c>
      <c r="D96" s="49">
        <v>1866.73</v>
      </c>
      <c r="E96" s="49">
        <v>1770.97</v>
      </c>
      <c r="F96" s="49">
        <v>1736.44</v>
      </c>
      <c r="G96" s="49">
        <v>1727.45</v>
      </c>
      <c r="H96" s="49">
        <v>1723.54</v>
      </c>
      <c r="I96" s="49">
        <v>1760.38</v>
      </c>
      <c r="J96" s="49">
        <v>1885.43</v>
      </c>
      <c r="K96" s="49">
        <v>1851.83</v>
      </c>
      <c r="L96" s="49">
        <v>1751.1</v>
      </c>
      <c r="M96" s="49">
        <v>1727.69</v>
      </c>
      <c r="N96" s="49">
        <v>1750.53</v>
      </c>
      <c r="O96" s="49">
        <v>1795.47</v>
      </c>
      <c r="P96" s="49">
        <v>1932.89</v>
      </c>
      <c r="Q96" s="77"/>
      <c r="R96" s="64"/>
      <c r="S96" s="64"/>
      <c r="T96" s="64"/>
      <c r="U96" s="98"/>
      <c r="V96" s="71"/>
      <c r="W96" s="76"/>
      <c r="X96" s="298"/>
      <c r="Z96" s="73"/>
      <c r="AA96" s="73"/>
      <c r="AB96" s="74"/>
      <c r="AC96" s="74"/>
      <c r="AD96" s="67"/>
      <c r="AE96" s="67"/>
    </row>
    <row r="97" spans="1:31" ht="60.75" thickBot="1">
      <c r="A97"/>
      <c r="B97" s="77"/>
      <c r="C97" s="77" t="s">
        <v>79</v>
      </c>
      <c r="D97" s="78">
        <f t="shared" ref="D97:P97" si="28">IF(((D95="")*AND(D96="")),"",(D95-D96)*2)</f>
        <v>1943.92</v>
      </c>
      <c r="E97" s="78">
        <f t="shared" si="28"/>
        <v>2029.02</v>
      </c>
      <c r="F97" s="78">
        <f t="shared" si="28"/>
        <v>2044.3400000000001</v>
      </c>
      <c r="G97" s="78">
        <f t="shared" si="28"/>
        <v>2056.0399999999995</v>
      </c>
      <c r="H97" s="78">
        <f t="shared" si="28"/>
        <v>2091</v>
      </c>
      <c r="I97" s="78">
        <f t="shared" si="28"/>
        <v>2085.62</v>
      </c>
      <c r="J97" s="78">
        <f t="shared" si="28"/>
        <v>1965.1399999999999</v>
      </c>
      <c r="K97" s="78">
        <f t="shared" si="28"/>
        <v>1968.12</v>
      </c>
      <c r="L97" s="78">
        <f t="shared" si="28"/>
        <v>2065.96</v>
      </c>
      <c r="M97" s="78">
        <f t="shared" si="28"/>
        <v>2053.46</v>
      </c>
      <c r="N97" s="78">
        <f t="shared" si="28"/>
        <v>2051.8200000000002</v>
      </c>
      <c r="O97" s="78">
        <f t="shared" si="28"/>
        <v>2051.14</v>
      </c>
      <c r="P97" s="78">
        <f t="shared" si="28"/>
        <v>1932.2400000000002</v>
      </c>
      <c r="R97" s="77"/>
      <c r="S97" s="77"/>
      <c r="T97" s="77"/>
      <c r="U97" s="99"/>
      <c r="V97" s="71"/>
      <c r="W97" s="80"/>
      <c r="X97" s="298"/>
      <c r="Z97" s="73"/>
      <c r="AA97" s="73"/>
      <c r="AB97" s="74"/>
      <c r="AC97" s="74"/>
      <c r="AD97" s="67"/>
      <c r="AE97" s="67"/>
    </row>
    <row r="98" spans="1:31" ht="15.75" thickBot="1">
      <c r="A98" s="68">
        <v>43258</v>
      </c>
      <c r="B98" s="69" t="s">
        <v>76</v>
      </c>
      <c r="C98" s="70" t="s">
        <v>77</v>
      </c>
      <c r="D98" s="49">
        <v>2837.68</v>
      </c>
      <c r="E98" s="49">
        <v>2783.49</v>
      </c>
      <c r="F98" s="49">
        <v>2756.92</v>
      </c>
      <c r="G98" s="49">
        <v>2750.51</v>
      </c>
      <c r="H98" s="49">
        <v>2765.96</v>
      </c>
      <c r="I98" s="49">
        <v>2797.96</v>
      </c>
      <c r="J98" s="49">
        <v>2865.5</v>
      </c>
      <c r="K98" s="49">
        <v>2837.46</v>
      </c>
      <c r="L98" s="49">
        <v>2778.93</v>
      </c>
      <c r="M98" s="49">
        <v>2752.68</v>
      </c>
      <c r="N98" s="49">
        <v>2774.41</v>
      </c>
      <c r="O98" s="49">
        <v>2818.7</v>
      </c>
      <c r="P98" s="49">
        <v>2896.55</v>
      </c>
      <c r="Q98" s="70">
        <f>IF((P99=""),"",MAX(D100:P100))</f>
        <v>1990.42</v>
      </c>
      <c r="R98" s="70">
        <f>IF(P99="","",MIN(D100:P100))</f>
        <v>1870.0999999999995</v>
      </c>
      <c r="S98" s="70">
        <f>IF((P100=""),"",AVERAGE(D100:P100))</f>
        <v>1944.6923076923074</v>
      </c>
      <c r="T98" s="70">
        <f>IF((P99=""),"",STDEV(D100:P100))</f>
        <v>37.473298527951684</v>
      </c>
      <c r="U98" s="97">
        <f>IF((P99=""),"",((Q98-R98)/(Q98+R98))*100)</f>
        <v>3.1166785821599325</v>
      </c>
      <c r="V98" s="71" t="str">
        <f>IF(P99="","",IF(U98&lt;7.2,IF(S98&gt;1700,IF(S98&lt;2100,"Pass","Fail"),"Fail"),"Fail"))</f>
        <v>Pass</v>
      </c>
      <c r="W98" s="72">
        <v>1335</v>
      </c>
      <c r="X98" s="130"/>
      <c r="Z98" s="73">
        <v>1600</v>
      </c>
      <c r="AA98" s="73">
        <v>2600</v>
      </c>
      <c r="AB98" s="74">
        <v>1700</v>
      </c>
      <c r="AC98" s="74">
        <v>2100</v>
      </c>
      <c r="AD98" s="67">
        <v>10</v>
      </c>
      <c r="AE98" s="67">
        <v>7.2</v>
      </c>
    </row>
    <row r="99" spans="1:31" ht="16.5" thickBot="1">
      <c r="A99"/>
      <c r="B99" s="64"/>
      <c r="C99" s="64" t="s">
        <v>78</v>
      </c>
      <c r="D99" s="49">
        <v>1902.63</v>
      </c>
      <c r="E99" s="49">
        <v>1806.76</v>
      </c>
      <c r="F99" s="49">
        <v>1777.94</v>
      </c>
      <c r="G99" s="49">
        <v>1772.46</v>
      </c>
      <c r="H99" s="49">
        <v>1770.75</v>
      </c>
      <c r="I99" s="49">
        <v>1806.24</v>
      </c>
      <c r="J99" s="49">
        <v>1912.02</v>
      </c>
      <c r="K99" s="49">
        <v>1876.33</v>
      </c>
      <c r="L99" s="49">
        <v>1794.4</v>
      </c>
      <c r="M99" s="49">
        <v>1768.13</v>
      </c>
      <c r="N99" s="49">
        <v>1793.18</v>
      </c>
      <c r="O99" s="49">
        <v>1840.6</v>
      </c>
      <c r="P99" s="49">
        <v>1954.81</v>
      </c>
      <c r="Q99" s="77"/>
      <c r="R99" s="64"/>
      <c r="S99" s="64"/>
      <c r="T99" s="64"/>
      <c r="U99" s="98"/>
      <c r="V99" s="71"/>
      <c r="W99" s="76"/>
      <c r="X99" s="298"/>
      <c r="Z99" s="73"/>
      <c r="AA99" s="73"/>
      <c r="AB99" s="74"/>
      <c r="AC99" s="74"/>
      <c r="AD99" s="67"/>
      <c r="AE99" s="67"/>
    </row>
    <row r="100" spans="1:31" ht="60.75" thickBot="1">
      <c r="A100"/>
      <c r="B100" s="77"/>
      <c r="C100" s="77" t="s">
        <v>79</v>
      </c>
      <c r="D100" s="78">
        <f t="shared" ref="D100:P100" si="29">IF(((D98="")*AND(D99="")),"",(D98-D99)*2)</f>
        <v>1870.0999999999995</v>
      </c>
      <c r="E100" s="78">
        <f t="shared" si="29"/>
        <v>1953.4599999999996</v>
      </c>
      <c r="F100" s="78">
        <f t="shared" si="29"/>
        <v>1957.96</v>
      </c>
      <c r="G100" s="78">
        <f t="shared" si="29"/>
        <v>1956.1000000000004</v>
      </c>
      <c r="H100" s="78">
        <f t="shared" si="29"/>
        <v>1990.42</v>
      </c>
      <c r="I100" s="78">
        <f t="shared" si="29"/>
        <v>1983.44</v>
      </c>
      <c r="J100" s="78">
        <f t="shared" si="29"/>
        <v>1906.96</v>
      </c>
      <c r="K100" s="78">
        <f t="shared" si="29"/>
        <v>1922.2600000000002</v>
      </c>
      <c r="L100" s="78">
        <f t="shared" si="29"/>
        <v>1969.0599999999995</v>
      </c>
      <c r="M100" s="78">
        <f t="shared" si="29"/>
        <v>1969.0999999999995</v>
      </c>
      <c r="N100" s="78">
        <f t="shared" si="29"/>
        <v>1962.4599999999996</v>
      </c>
      <c r="O100" s="78">
        <f t="shared" si="29"/>
        <v>1956.1999999999998</v>
      </c>
      <c r="P100" s="78">
        <f t="shared" si="29"/>
        <v>1883.4800000000005</v>
      </c>
      <c r="R100" s="77"/>
      <c r="S100" s="77"/>
      <c r="T100" s="77"/>
      <c r="U100" s="99"/>
      <c r="V100" s="71"/>
      <c r="W100" s="80"/>
      <c r="X100" s="298"/>
      <c r="Z100" s="73"/>
      <c r="AA100" s="73"/>
      <c r="AB100" s="74"/>
      <c r="AC100" s="74"/>
      <c r="AD100" s="67"/>
      <c r="AE100" s="67"/>
    </row>
    <row r="101" spans="1:31" ht="15.75" thickBot="1">
      <c r="A101" s="68">
        <v>43262</v>
      </c>
      <c r="B101" s="69" t="s">
        <v>76</v>
      </c>
      <c r="C101" s="70" t="s">
        <v>77</v>
      </c>
      <c r="D101" s="49">
        <v>2837.78</v>
      </c>
      <c r="E101" s="49">
        <v>2782.63</v>
      </c>
      <c r="F101" s="49">
        <v>2758.42</v>
      </c>
      <c r="G101" s="49">
        <v>2751.33</v>
      </c>
      <c r="H101" s="49">
        <v>2765.05</v>
      </c>
      <c r="I101" s="49">
        <v>2799.38</v>
      </c>
      <c r="J101" s="49">
        <v>2860.25</v>
      </c>
      <c r="K101" s="49">
        <v>2836.14</v>
      </c>
      <c r="L101" s="49">
        <v>2779.3</v>
      </c>
      <c r="M101" s="49">
        <v>2752.47</v>
      </c>
      <c r="N101" s="49">
        <v>2773.57</v>
      </c>
      <c r="O101" s="49">
        <v>2818.75</v>
      </c>
      <c r="P101" s="49">
        <v>2898.29</v>
      </c>
      <c r="Q101" s="70">
        <f>IF((P102=""),"",MAX(D103:P103))</f>
        <v>2099.92</v>
      </c>
      <c r="R101" s="70">
        <f>IF(P102="","",MIN(D103:P103))</f>
        <v>1936.8200000000006</v>
      </c>
      <c r="S101" s="70">
        <f>IF((P103=""),"",AVERAGE(D103:P103))</f>
        <v>2033.6353846153847</v>
      </c>
      <c r="T101" s="70">
        <f>IF((P102=""),"",STDEV(D103:P103))</f>
        <v>49.782467565632793</v>
      </c>
      <c r="U101" s="97">
        <f>IF((P102=""),"",((Q101-R101)/(Q101+R101))*100)</f>
        <v>4.0403890267889295</v>
      </c>
      <c r="V101" s="71" t="str">
        <f>IF(P102="","",IF(U101&lt;7.2,IF(S101&gt;1700,IF(S101&lt;2100,"Pass","Fail"),"Fail"),"Fail"))</f>
        <v>Pass</v>
      </c>
      <c r="W101" s="72">
        <v>1159</v>
      </c>
      <c r="X101" s="375" t="s">
        <v>87</v>
      </c>
      <c r="Z101" s="73">
        <v>1600</v>
      </c>
      <c r="AA101" s="73">
        <v>2600</v>
      </c>
      <c r="AB101" s="74">
        <v>1700</v>
      </c>
      <c r="AC101" s="74">
        <v>2100</v>
      </c>
      <c r="AD101" s="67">
        <v>10</v>
      </c>
      <c r="AE101" s="67">
        <v>7.2</v>
      </c>
    </row>
    <row r="102" spans="1:31" ht="16.5" thickBot="1">
      <c r="A102"/>
      <c r="B102" s="64"/>
      <c r="C102" s="64" t="s">
        <v>78</v>
      </c>
      <c r="D102" s="49">
        <v>1869.37</v>
      </c>
      <c r="E102" s="49">
        <v>1766.33</v>
      </c>
      <c r="F102" s="49">
        <v>1735.83</v>
      </c>
      <c r="G102" s="49">
        <v>1720.89</v>
      </c>
      <c r="H102" s="49">
        <v>1722.49</v>
      </c>
      <c r="I102" s="49">
        <v>1749.42</v>
      </c>
      <c r="J102" s="49">
        <v>1860.11</v>
      </c>
      <c r="K102" s="49">
        <v>1839.03</v>
      </c>
      <c r="L102" s="49">
        <v>1744.3</v>
      </c>
      <c r="M102" s="49">
        <v>1721.76</v>
      </c>
      <c r="N102" s="49">
        <v>1745.4</v>
      </c>
      <c r="O102" s="49">
        <v>1796.36</v>
      </c>
      <c r="P102" s="49">
        <v>1923.44</v>
      </c>
      <c r="Q102" s="77"/>
      <c r="R102" s="64"/>
      <c r="S102" s="64"/>
      <c r="T102" s="64"/>
      <c r="U102" s="98"/>
      <c r="V102" s="71"/>
      <c r="W102" s="76"/>
      <c r="X102" s="298"/>
      <c r="Z102" s="73"/>
      <c r="AA102" s="73"/>
      <c r="AB102" s="74"/>
      <c r="AC102" s="74"/>
      <c r="AD102" s="67"/>
      <c r="AE102" s="67"/>
    </row>
    <row r="103" spans="1:31" ht="60.75" thickBot="1">
      <c r="A103"/>
      <c r="B103" s="77"/>
      <c r="C103" s="77" t="s">
        <v>79</v>
      </c>
      <c r="D103" s="78">
        <f t="shared" ref="D103:P103" si="30">IF(((D101="")*AND(D102="")),"",(D101-D102)*2)</f>
        <v>1936.8200000000006</v>
      </c>
      <c r="E103" s="78">
        <f t="shared" si="30"/>
        <v>2032.6000000000004</v>
      </c>
      <c r="F103" s="78">
        <f t="shared" si="30"/>
        <v>2045.1800000000003</v>
      </c>
      <c r="G103" s="78">
        <f t="shared" si="30"/>
        <v>2060.8799999999997</v>
      </c>
      <c r="H103" s="78">
        <f t="shared" si="30"/>
        <v>2085.1200000000003</v>
      </c>
      <c r="I103" s="78">
        <f t="shared" si="30"/>
        <v>2099.92</v>
      </c>
      <c r="J103" s="78">
        <f t="shared" si="30"/>
        <v>2000.2800000000002</v>
      </c>
      <c r="K103" s="78">
        <f t="shared" si="30"/>
        <v>1994.2199999999998</v>
      </c>
      <c r="L103" s="78">
        <f t="shared" si="30"/>
        <v>2070.0000000000005</v>
      </c>
      <c r="M103" s="78">
        <f t="shared" si="30"/>
        <v>2061.4199999999996</v>
      </c>
      <c r="N103" s="78">
        <f t="shared" si="30"/>
        <v>2056.34</v>
      </c>
      <c r="O103" s="78">
        <f t="shared" si="30"/>
        <v>2044.7800000000002</v>
      </c>
      <c r="P103" s="78">
        <f t="shared" si="30"/>
        <v>1949.6999999999998</v>
      </c>
      <c r="R103" s="77"/>
      <c r="S103" s="77"/>
      <c r="T103" s="77"/>
      <c r="U103" s="99"/>
      <c r="V103" s="71"/>
      <c r="W103" s="80"/>
      <c r="X103" s="298"/>
      <c r="Z103" s="73"/>
      <c r="AA103" s="73"/>
      <c r="AB103" s="74"/>
      <c r="AC103" s="74"/>
      <c r="AD103" s="67"/>
      <c r="AE103" s="67"/>
    </row>
    <row r="104" spans="1:31" ht="15.75" thickBot="1">
      <c r="A104" s="68">
        <v>43272</v>
      </c>
      <c r="B104" s="69" t="s">
        <v>76</v>
      </c>
      <c r="C104" s="70" t="s">
        <v>77</v>
      </c>
      <c r="D104" s="49">
        <v>2850.58</v>
      </c>
      <c r="E104" s="49">
        <v>2798.67</v>
      </c>
      <c r="F104" s="49">
        <v>2770.12</v>
      </c>
      <c r="G104" s="49">
        <v>2763.32</v>
      </c>
      <c r="H104" s="49">
        <v>2774.3</v>
      </c>
      <c r="I104" s="49">
        <v>2803.54</v>
      </c>
      <c r="J104" s="49">
        <v>2857.04</v>
      </c>
      <c r="K104" s="49">
        <v>2853.5</v>
      </c>
      <c r="L104" s="49">
        <v>2791.26</v>
      </c>
      <c r="M104" s="49">
        <v>2765.58</v>
      </c>
      <c r="N104" s="49">
        <v>2783.64</v>
      </c>
      <c r="O104" s="49">
        <v>2828.68</v>
      </c>
      <c r="P104" s="49">
        <v>2907.68</v>
      </c>
      <c r="Q104" s="70">
        <f>IF((P105=""),"",MAX(D106:P106))</f>
        <v>2060.7599999999998</v>
      </c>
      <c r="R104" s="70">
        <f>IF(P105="","",MIN(D106:P106))</f>
        <v>1928.8599999999997</v>
      </c>
      <c r="S104" s="70">
        <f>IF((P106=""),"",AVERAGE(D106:P106))</f>
        <v>2012.436923076923</v>
      </c>
      <c r="T104" s="70">
        <f>IF((P105=""),"",STDEV(D106:P106))</f>
        <v>44.99255038050795</v>
      </c>
      <c r="U104" s="97">
        <f>IF((P105=""),"",((Q104-R104)/(Q104+R104))*100)</f>
        <v>3.3060792757204971</v>
      </c>
      <c r="V104" s="71" t="str">
        <f>IF(P105="","",IF(U104&lt;7.2,IF(S104&gt;1700,IF(S104&lt;2100,"Pass","Fail"),"Fail"),"Fail"))</f>
        <v>Pass</v>
      </c>
      <c r="W104" s="72">
        <v>1159</v>
      </c>
      <c r="X104" s="375" t="s">
        <v>88</v>
      </c>
      <c r="Z104" s="73">
        <v>1600</v>
      </c>
      <c r="AA104" s="73">
        <v>2600</v>
      </c>
      <c r="AB104" s="74">
        <v>1700</v>
      </c>
      <c r="AC104" s="74">
        <v>2100</v>
      </c>
      <c r="AD104" s="67">
        <v>10</v>
      </c>
      <c r="AE104" s="67">
        <v>7.2</v>
      </c>
    </row>
    <row r="105" spans="1:31" ht="16.5" thickBot="1">
      <c r="A105"/>
      <c r="B105" s="64"/>
      <c r="C105" s="64" t="s">
        <v>78</v>
      </c>
      <c r="D105" s="49">
        <v>1881.54</v>
      </c>
      <c r="E105" s="49">
        <v>1785.47</v>
      </c>
      <c r="F105" s="49">
        <v>1755.71</v>
      </c>
      <c r="G105" s="49">
        <v>1747.13</v>
      </c>
      <c r="H105" s="49">
        <v>1746.39</v>
      </c>
      <c r="I105" s="49">
        <v>1773.16</v>
      </c>
      <c r="J105" s="49">
        <v>1878.05</v>
      </c>
      <c r="K105" s="49">
        <v>1862.56</v>
      </c>
      <c r="L105" s="49">
        <v>1767.49</v>
      </c>
      <c r="M105" s="49">
        <v>1746.99</v>
      </c>
      <c r="N105" s="49">
        <v>1763.42</v>
      </c>
      <c r="O105" s="49">
        <v>1815.91</v>
      </c>
      <c r="P105" s="49">
        <v>1943.25</v>
      </c>
      <c r="Q105" s="77"/>
      <c r="R105" s="64"/>
      <c r="S105" s="64"/>
      <c r="T105" s="64"/>
      <c r="U105" s="98"/>
      <c r="V105" s="71"/>
      <c r="W105" s="76"/>
      <c r="X105" s="298"/>
      <c r="Z105" s="73"/>
      <c r="AA105" s="73"/>
      <c r="AB105" s="74"/>
      <c r="AC105" s="74"/>
      <c r="AD105" s="67"/>
      <c r="AE105" s="67"/>
    </row>
    <row r="106" spans="1:31" ht="60.75" thickBot="1">
      <c r="A106"/>
      <c r="B106" s="77"/>
      <c r="C106" s="77" t="s">
        <v>79</v>
      </c>
      <c r="D106" s="78">
        <f t="shared" ref="D106:P106" si="31">IF(((D104="")*AND(D105="")),"",(D104-D105)*2)</f>
        <v>1938.08</v>
      </c>
      <c r="E106" s="78">
        <f t="shared" si="31"/>
        <v>2026.4</v>
      </c>
      <c r="F106" s="78">
        <f t="shared" si="31"/>
        <v>2028.8199999999997</v>
      </c>
      <c r="G106" s="78">
        <f t="shared" si="31"/>
        <v>2032.38</v>
      </c>
      <c r="H106" s="78">
        <f t="shared" si="31"/>
        <v>2055.8200000000002</v>
      </c>
      <c r="I106" s="78">
        <f t="shared" si="31"/>
        <v>2060.7599999999998</v>
      </c>
      <c r="J106" s="78">
        <f t="shared" si="31"/>
        <v>1957.98</v>
      </c>
      <c r="K106" s="78">
        <f t="shared" si="31"/>
        <v>1981.88</v>
      </c>
      <c r="L106" s="78">
        <f t="shared" si="31"/>
        <v>2047.5400000000004</v>
      </c>
      <c r="M106" s="78">
        <f t="shared" si="31"/>
        <v>2037.1799999999998</v>
      </c>
      <c r="N106" s="78">
        <f t="shared" si="31"/>
        <v>2040.4399999999996</v>
      </c>
      <c r="O106" s="78">
        <f t="shared" si="31"/>
        <v>2025.5399999999995</v>
      </c>
      <c r="P106" s="78">
        <f t="shared" si="31"/>
        <v>1928.8599999999997</v>
      </c>
      <c r="R106" s="77"/>
      <c r="S106" s="77"/>
      <c r="T106" s="77"/>
      <c r="U106" s="99"/>
      <c r="V106" s="71"/>
      <c r="W106" s="80"/>
      <c r="X106" s="298"/>
      <c r="Z106" s="73"/>
      <c r="AA106" s="73"/>
      <c r="AB106" s="74"/>
      <c r="AC106" s="74"/>
      <c r="AD106" s="67"/>
      <c r="AE106" s="67"/>
    </row>
    <row r="107" spans="1:31" ht="15.75" thickBot="1">
      <c r="A107" s="68">
        <v>43283</v>
      </c>
      <c r="B107" s="69" t="s">
        <v>76</v>
      </c>
      <c r="C107" s="70" t="s">
        <v>77</v>
      </c>
      <c r="D107" s="49">
        <v>2894.05</v>
      </c>
      <c r="E107" s="49">
        <v>2800.34</v>
      </c>
      <c r="F107" s="49">
        <v>2765.08</v>
      </c>
      <c r="G107" s="49">
        <v>2765.08</v>
      </c>
      <c r="H107" s="49">
        <v>2765.08</v>
      </c>
      <c r="I107" s="49">
        <v>2778.91</v>
      </c>
      <c r="J107" s="49">
        <v>2844.98</v>
      </c>
      <c r="K107" s="49">
        <v>2841.96</v>
      </c>
      <c r="L107" s="49">
        <v>2779.7</v>
      </c>
      <c r="M107" s="49">
        <v>2765.08</v>
      </c>
      <c r="N107" s="49">
        <v>2765.08</v>
      </c>
      <c r="O107" s="49">
        <v>2795.62</v>
      </c>
      <c r="P107" s="49">
        <v>2884.21</v>
      </c>
      <c r="Q107" s="70">
        <f>IF((P108=""),"",MAX(D109:P109))</f>
        <v>1910.08</v>
      </c>
      <c r="R107" s="70">
        <f>IF(P108="","",MIN(D109:P109))</f>
        <v>1759.7000000000003</v>
      </c>
      <c r="S107" s="70">
        <f>IF((P109=""),"",AVERAGE(D109:P109))</f>
        <v>1866.6276923076925</v>
      </c>
      <c r="T107" s="70">
        <f>IF((P108=""),"",STDEV(D109:P109))</f>
        <v>47.539288690824812</v>
      </c>
      <c r="U107" s="97">
        <f>IF((P108=""),"",((Q107-R107)/(Q107+R107))*100)</f>
        <v>4.0977933282104004</v>
      </c>
      <c r="V107" s="71" t="str">
        <f>IF(P108="","",IF(U107&lt;7.2,IF(S107&gt;1700,IF(S107&lt;2100,"Pass","Fail"),"Fail"),"Fail"))</f>
        <v>Pass</v>
      </c>
      <c r="W107" s="72">
        <v>1340</v>
      </c>
      <c r="X107" s="130"/>
      <c r="Z107" s="73">
        <v>1600</v>
      </c>
      <c r="AA107" s="73">
        <v>2600</v>
      </c>
      <c r="AB107" s="74">
        <v>1700</v>
      </c>
      <c r="AC107" s="74">
        <v>2100</v>
      </c>
      <c r="AD107" s="67">
        <v>10</v>
      </c>
      <c r="AE107" s="67">
        <v>7.2</v>
      </c>
    </row>
    <row r="108" spans="1:31" ht="16.5" thickBot="1">
      <c r="A108"/>
      <c r="B108" s="64"/>
      <c r="C108" s="64" t="s">
        <v>78</v>
      </c>
      <c r="D108" s="49">
        <v>1981.93</v>
      </c>
      <c r="E108" s="49">
        <v>1854.05</v>
      </c>
      <c r="F108" s="49">
        <v>1819.98</v>
      </c>
      <c r="G108" s="49">
        <v>1819.98</v>
      </c>
      <c r="H108" s="49">
        <v>1819.98</v>
      </c>
      <c r="I108" s="49">
        <v>1823.87</v>
      </c>
      <c r="J108" s="49">
        <v>1950.2</v>
      </c>
      <c r="K108" s="49">
        <v>1920.28</v>
      </c>
      <c r="L108" s="49">
        <v>1826.87</v>
      </c>
      <c r="M108" s="49">
        <v>1819.98</v>
      </c>
      <c r="N108" s="49">
        <v>1819.98</v>
      </c>
      <c r="O108" s="49">
        <v>1850.63</v>
      </c>
      <c r="P108" s="49">
        <v>2004.36</v>
      </c>
      <c r="Q108" s="77"/>
      <c r="R108" s="64"/>
      <c r="S108" s="64"/>
      <c r="T108" s="64"/>
      <c r="U108" s="98"/>
      <c r="V108" s="71"/>
      <c r="W108" s="76"/>
      <c r="X108" s="298"/>
      <c r="Z108" s="73"/>
      <c r="AA108" s="73"/>
      <c r="AB108" s="74"/>
      <c r="AC108" s="74"/>
      <c r="AD108" s="67"/>
      <c r="AE108" s="67"/>
    </row>
    <row r="109" spans="1:31" ht="60.75" thickBot="1">
      <c r="A109"/>
      <c r="B109" s="77"/>
      <c r="C109" s="77" t="s">
        <v>79</v>
      </c>
      <c r="D109" s="78">
        <f t="shared" ref="D109:P109" si="32">IF(((D107="")*AND(D108="")),"",(D107-D108)*2)</f>
        <v>1824.2400000000002</v>
      </c>
      <c r="E109" s="78">
        <f t="shared" si="32"/>
        <v>1892.5800000000004</v>
      </c>
      <c r="F109" s="78">
        <f t="shared" si="32"/>
        <v>1890.1999999999998</v>
      </c>
      <c r="G109" s="78">
        <f t="shared" si="32"/>
        <v>1890.1999999999998</v>
      </c>
      <c r="H109" s="78">
        <f t="shared" si="32"/>
        <v>1890.1999999999998</v>
      </c>
      <c r="I109" s="78">
        <f t="shared" si="32"/>
        <v>1910.08</v>
      </c>
      <c r="J109" s="78">
        <f t="shared" si="32"/>
        <v>1789.56</v>
      </c>
      <c r="K109" s="78">
        <f t="shared" si="32"/>
        <v>1843.3600000000001</v>
      </c>
      <c r="L109" s="78">
        <f t="shared" si="32"/>
        <v>1905.6599999999999</v>
      </c>
      <c r="M109" s="78">
        <f t="shared" si="32"/>
        <v>1890.1999999999998</v>
      </c>
      <c r="N109" s="78">
        <f t="shared" si="32"/>
        <v>1890.1999999999998</v>
      </c>
      <c r="O109" s="78">
        <f t="shared" si="32"/>
        <v>1889.9799999999996</v>
      </c>
      <c r="P109" s="78">
        <f t="shared" si="32"/>
        <v>1759.7000000000003</v>
      </c>
      <c r="R109" s="77"/>
      <c r="S109" s="77"/>
      <c r="T109" s="77"/>
      <c r="U109" s="99"/>
      <c r="V109" s="71"/>
      <c r="W109" s="80"/>
      <c r="X109" s="298"/>
      <c r="Z109" s="73"/>
      <c r="AA109" s="73"/>
      <c r="AB109" s="74"/>
      <c r="AC109" s="74"/>
      <c r="AD109" s="67"/>
      <c r="AE109" s="67"/>
    </row>
    <row r="110" spans="1:31" ht="15.75" thickBot="1">
      <c r="A110" s="68">
        <v>43287</v>
      </c>
      <c r="B110" s="69" t="s">
        <v>76</v>
      </c>
      <c r="C110" s="70" t="s">
        <v>77</v>
      </c>
      <c r="D110" s="49">
        <v>1703.27</v>
      </c>
      <c r="E110" s="49">
        <v>1654.74</v>
      </c>
      <c r="F110" s="49">
        <v>1646.98</v>
      </c>
      <c r="G110" s="49">
        <v>1650.84</v>
      </c>
      <c r="H110" s="49">
        <v>1660.32</v>
      </c>
      <c r="I110" s="49">
        <v>1691.77</v>
      </c>
      <c r="J110" s="49">
        <v>1755.09</v>
      </c>
      <c r="K110" s="49">
        <v>1749.01</v>
      </c>
      <c r="L110" s="49">
        <v>1679.99</v>
      </c>
      <c r="M110" s="49">
        <v>1648.8</v>
      </c>
      <c r="N110" s="49">
        <v>1661.82</v>
      </c>
      <c r="O110" s="49">
        <v>1702.31</v>
      </c>
      <c r="P110" s="49">
        <v>1791.62</v>
      </c>
      <c r="Q110" s="70">
        <f>IF((P111=""),"",MAX(D112:P112))</f>
        <v>2102.34</v>
      </c>
      <c r="R110" s="70">
        <f>IF(P111="","",MIN(D112:P112))</f>
        <v>1963.4999999999998</v>
      </c>
      <c r="S110" s="70">
        <f>IF((P112=""),"",AVERAGE(D112:P112))</f>
        <v>2004.6092307692306</v>
      </c>
      <c r="T110" s="70">
        <f>IF((P111=""),"",STDEV(D112:P112))</f>
        <v>38.745414021434023</v>
      </c>
      <c r="U110" s="97">
        <f>IF((P111=""),"",((Q110-R110)/(Q110+R110))*100)</f>
        <v>3.41479251519982</v>
      </c>
      <c r="V110" s="71" t="str">
        <f>IF(P111="","",IF(U110&lt;7.2,IF(S110&gt;1700,IF(S110&lt;2100,"Pass","Fail"),"Fail"),"Fail"))</f>
        <v>Pass</v>
      </c>
      <c r="W110" s="72">
        <v>1428</v>
      </c>
      <c r="X110" s="130"/>
      <c r="Z110" s="73">
        <v>1600</v>
      </c>
      <c r="AA110" s="73">
        <v>2600</v>
      </c>
      <c r="AB110" s="74">
        <v>1700</v>
      </c>
      <c r="AC110" s="74">
        <v>2100</v>
      </c>
      <c r="AD110" s="67">
        <v>10</v>
      </c>
      <c r="AE110" s="67">
        <v>7.2</v>
      </c>
    </row>
    <row r="111" spans="1:31" ht="16.5" thickBot="1">
      <c r="A111"/>
      <c r="B111" s="64"/>
      <c r="C111" s="64" t="s">
        <v>78</v>
      </c>
      <c r="D111" s="49">
        <v>652.1</v>
      </c>
      <c r="E111" s="49">
        <v>625.86</v>
      </c>
      <c r="F111" s="49">
        <v>635.79999999999995</v>
      </c>
      <c r="G111" s="49">
        <v>652.21</v>
      </c>
      <c r="H111" s="49">
        <v>671.01</v>
      </c>
      <c r="I111" s="49">
        <v>704.52</v>
      </c>
      <c r="J111" s="49">
        <v>773.34</v>
      </c>
      <c r="K111" s="49">
        <v>764.73</v>
      </c>
      <c r="L111" s="49">
        <v>680.06</v>
      </c>
      <c r="M111" s="49">
        <v>657.5</v>
      </c>
      <c r="N111" s="49">
        <v>663.04</v>
      </c>
      <c r="O111" s="49">
        <v>694.62</v>
      </c>
      <c r="P111" s="49">
        <v>791.81</v>
      </c>
      <c r="Q111" s="77"/>
      <c r="R111" s="64"/>
      <c r="S111" s="64"/>
      <c r="T111" s="64"/>
      <c r="U111" s="98"/>
      <c r="V111" s="71"/>
      <c r="W111" s="76"/>
      <c r="X111" s="298"/>
      <c r="Z111" s="73"/>
      <c r="AA111" s="73"/>
      <c r="AB111" s="74"/>
      <c r="AC111" s="74"/>
      <c r="AD111" s="67"/>
      <c r="AE111" s="67"/>
    </row>
    <row r="112" spans="1:31" ht="60.75" thickBot="1">
      <c r="A112"/>
      <c r="B112" s="77"/>
      <c r="C112" s="77" t="s">
        <v>79</v>
      </c>
      <c r="D112" s="78">
        <f t="shared" ref="D112:P112" si="33">IF(((D110="")*AND(D111="")),"",(D110-D111)*2)</f>
        <v>2102.34</v>
      </c>
      <c r="E112" s="78">
        <f t="shared" si="33"/>
        <v>2057.7600000000002</v>
      </c>
      <c r="F112" s="78">
        <f t="shared" si="33"/>
        <v>2022.3600000000001</v>
      </c>
      <c r="G112" s="78">
        <f t="shared" si="33"/>
        <v>1997.2599999999998</v>
      </c>
      <c r="H112" s="78">
        <f t="shared" si="33"/>
        <v>1978.62</v>
      </c>
      <c r="I112" s="78">
        <f t="shared" si="33"/>
        <v>1974.5</v>
      </c>
      <c r="J112" s="78">
        <f t="shared" si="33"/>
        <v>1963.4999999999998</v>
      </c>
      <c r="K112" s="78">
        <f t="shared" si="33"/>
        <v>1968.56</v>
      </c>
      <c r="L112" s="78">
        <f t="shared" si="33"/>
        <v>1999.8600000000001</v>
      </c>
      <c r="M112" s="78">
        <f t="shared" si="33"/>
        <v>1982.6</v>
      </c>
      <c r="N112" s="78">
        <f t="shared" si="33"/>
        <v>1997.56</v>
      </c>
      <c r="O112" s="78">
        <f t="shared" si="33"/>
        <v>2015.3799999999999</v>
      </c>
      <c r="P112" s="78">
        <f t="shared" si="33"/>
        <v>1999.62</v>
      </c>
      <c r="R112" s="77"/>
      <c r="S112" s="77"/>
      <c r="T112" s="77"/>
      <c r="U112" s="99"/>
      <c r="V112" s="71"/>
      <c r="W112" s="80"/>
      <c r="X112" s="298"/>
      <c r="Z112" s="73"/>
      <c r="AA112" s="73"/>
      <c r="AB112" s="74"/>
      <c r="AC112" s="74"/>
      <c r="AD112" s="67"/>
      <c r="AE112" s="67"/>
    </row>
    <row r="113" spans="1:31">
      <c r="A113" s="85">
        <v>43294</v>
      </c>
      <c r="B113" s="69" t="s">
        <v>76</v>
      </c>
      <c r="C113" s="70" t="s">
        <v>77</v>
      </c>
      <c r="D113" s="86">
        <v>2924.56</v>
      </c>
      <c r="E113" s="86">
        <v>2852.36</v>
      </c>
      <c r="F113" s="86">
        <v>2808.66</v>
      </c>
      <c r="G113" s="86">
        <v>2789.4</v>
      </c>
      <c r="H113" s="86">
        <v>2796.73</v>
      </c>
      <c r="I113" s="86">
        <v>2826.06</v>
      </c>
      <c r="J113" s="86">
        <v>2889.07</v>
      </c>
      <c r="K113" s="86">
        <v>2879.54</v>
      </c>
      <c r="L113" s="86">
        <v>2829.46</v>
      </c>
      <c r="M113" s="86">
        <v>2799.47</v>
      </c>
      <c r="N113" s="86">
        <v>2799.29</v>
      </c>
      <c r="O113" s="86">
        <v>2824.95</v>
      </c>
      <c r="P113" s="86">
        <v>2865.03</v>
      </c>
      <c r="Q113" s="70">
        <f>IF((P114=""),"",MAX(D115:P115))</f>
        <v>2027.7199999999998</v>
      </c>
      <c r="R113" s="70">
        <f>IF(P114="","",MIN(D115:P115))</f>
        <v>1876.0600000000004</v>
      </c>
      <c r="S113" s="70">
        <f>IF((P115=""),"",AVERAGE(D115:P115))</f>
        <v>1980.8184615384614</v>
      </c>
      <c r="T113" s="70">
        <f>IF((P114=""),"",STDEV(D115:P115))</f>
        <v>40.822926941883573</v>
      </c>
      <c r="U113" s="97">
        <f>IF((P114=""),"",((Q113-R113)/(Q113+R113))*100)</f>
        <v>3.8849525331857682</v>
      </c>
      <c r="V113" s="71" t="str">
        <f>IF(P114="","",IF(U113&lt;7.2,IF(S113&gt;1700,IF(S113&lt;2100,"Pass","Fail"),"Fail"),"Fail"))</f>
        <v>Pass</v>
      </c>
      <c r="W113" s="72">
        <v>1335</v>
      </c>
      <c r="X113" s="130"/>
      <c r="Z113" s="73">
        <v>1600</v>
      </c>
      <c r="AA113" s="73">
        <v>2600</v>
      </c>
      <c r="AB113" s="74">
        <v>1700</v>
      </c>
      <c r="AC113" s="74">
        <v>2100</v>
      </c>
      <c r="AD113" s="67">
        <v>10</v>
      </c>
      <c r="AE113" s="67">
        <v>7.2</v>
      </c>
    </row>
    <row r="114" spans="1:31" ht="15.75">
      <c r="A114"/>
      <c r="B114" s="64"/>
      <c r="C114" s="64" t="s">
        <v>78</v>
      </c>
      <c r="D114" s="87">
        <v>1948.58</v>
      </c>
      <c r="E114" s="87">
        <v>1859.03</v>
      </c>
      <c r="F114" s="87">
        <v>1811.4</v>
      </c>
      <c r="G114" s="87">
        <v>1791.38</v>
      </c>
      <c r="H114" s="87">
        <v>1784.07</v>
      </c>
      <c r="I114" s="87">
        <v>1812.2</v>
      </c>
      <c r="J114" s="87">
        <v>1919.56</v>
      </c>
      <c r="K114" s="87">
        <v>1896.5</v>
      </c>
      <c r="L114" s="87">
        <v>1822.78</v>
      </c>
      <c r="M114" s="87">
        <v>1798.76</v>
      </c>
      <c r="N114" s="87">
        <v>1803.65</v>
      </c>
      <c r="O114" s="87">
        <v>1834.35</v>
      </c>
      <c r="P114" s="87">
        <v>1927</v>
      </c>
      <c r="Q114" s="64"/>
      <c r="R114" s="64"/>
      <c r="S114" s="64"/>
      <c r="T114" s="64"/>
      <c r="U114" s="98"/>
      <c r="V114" s="75"/>
      <c r="W114" s="76"/>
      <c r="X114" s="298"/>
      <c r="Z114" s="73"/>
      <c r="AA114" s="73"/>
      <c r="AB114" s="74"/>
      <c r="AC114" s="74"/>
      <c r="AD114" s="67"/>
      <c r="AE114" s="67"/>
    </row>
    <row r="115" spans="1:31" ht="60.75" thickBot="1">
      <c r="A115"/>
      <c r="B115" s="77"/>
      <c r="C115" s="77" t="s">
        <v>79</v>
      </c>
      <c r="D115" s="78">
        <f t="shared" ref="D115:P115" si="34">IF(((D113="")*AND(D114="")),"",(D113-D114)*2)</f>
        <v>1951.96</v>
      </c>
      <c r="E115" s="78">
        <f t="shared" si="34"/>
        <v>1986.6600000000003</v>
      </c>
      <c r="F115" s="78">
        <f t="shared" si="34"/>
        <v>1994.5199999999995</v>
      </c>
      <c r="G115" s="78">
        <f t="shared" si="34"/>
        <v>1996.04</v>
      </c>
      <c r="H115" s="78">
        <f t="shared" si="34"/>
        <v>2025.3200000000002</v>
      </c>
      <c r="I115" s="78">
        <f t="shared" si="34"/>
        <v>2027.7199999999998</v>
      </c>
      <c r="J115" s="78">
        <f t="shared" si="34"/>
        <v>1939.0200000000004</v>
      </c>
      <c r="K115" s="78">
        <f t="shared" si="34"/>
        <v>1966.08</v>
      </c>
      <c r="L115" s="78">
        <f t="shared" si="34"/>
        <v>2013.3600000000001</v>
      </c>
      <c r="M115" s="78">
        <f t="shared" si="34"/>
        <v>2001.4199999999996</v>
      </c>
      <c r="N115" s="78">
        <f t="shared" si="34"/>
        <v>1991.2799999999997</v>
      </c>
      <c r="O115" s="78">
        <f t="shared" si="34"/>
        <v>1981.1999999999998</v>
      </c>
      <c r="P115" s="78">
        <f t="shared" si="34"/>
        <v>1876.0600000000004</v>
      </c>
      <c r="Q115" s="88"/>
      <c r="R115" s="77"/>
      <c r="S115" s="77"/>
      <c r="T115" s="77"/>
      <c r="U115" s="99"/>
      <c r="V115" s="79"/>
      <c r="W115" s="80"/>
      <c r="X115" s="298"/>
      <c r="Z115" s="73"/>
      <c r="AA115" s="73"/>
      <c r="AB115" s="74"/>
      <c r="AC115" s="74"/>
      <c r="AD115" s="67"/>
      <c r="AE115" s="67"/>
    </row>
    <row r="116" spans="1:31">
      <c r="A116" s="68">
        <v>43305</v>
      </c>
      <c r="B116" s="69" t="s">
        <v>76</v>
      </c>
      <c r="C116" s="70" t="s">
        <v>77</v>
      </c>
      <c r="D116" s="49">
        <v>2919.79</v>
      </c>
      <c r="E116" s="49">
        <v>2855.61</v>
      </c>
      <c r="F116" s="49">
        <v>2813.74</v>
      </c>
      <c r="G116" s="49">
        <v>2796.96</v>
      </c>
      <c r="H116" s="49">
        <v>2797.14</v>
      </c>
      <c r="I116" s="49">
        <v>2819.39</v>
      </c>
      <c r="J116" s="49">
        <v>2857.04</v>
      </c>
      <c r="K116" s="49">
        <v>2863.42</v>
      </c>
      <c r="L116" s="49">
        <v>2822.29</v>
      </c>
      <c r="M116" s="49">
        <v>2799.04</v>
      </c>
      <c r="N116" s="49">
        <v>2810.05</v>
      </c>
      <c r="O116" s="49">
        <v>2843.77</v>
      </c>
      <c r="P116" s="49">
        <v>2908.41</v>
      </c>
      <c r="Q116" s="70">
        <f>IF((P117=""),"",MAX(D118:P118))</f>
        <v>2081.66</v>
      </c>
      <c r="R116" s="70">
        <f>IF(P117="","",MIN(D118:P118))</f>
        <v>1917.0199999999995</v>
      </c>
      <c r="S116" s="70">
        <f>IF((P118=""),"",AVERAGE(D118:P118))</f>
        <v>2018.063076923077</v>
      </c>
      <c r="T116" s="70">
        <f>IF((P117=""),"",STDEV(D118:P118))</f>
        <v>50.064037556011684</v>
      </c>
      <c r="U116" s="97">
        <f>IF((P117=""),"",((Q116-R116)/(Q116+R116))*100)</f>
        <v>4.1173587283803741</v>
      </c>
      <c r="V116" s="71" t="str">
        <f>IF(P117="","",IF(U116&lt;7.2,IF(S116&gt;1700,IF(S116&lt;2100,"Pass","Fail"),"Fail"),"Fail"))</f>
        <v>Pass</v>
      </c>
      <c r="W116" s="72">
        <v>1340</v>
      </c>
      <c r="X116" s="130"/>
      <c r="Z116" s="73">
        <v>1600</v>
      </c>
      <c r="AA116" s="73">
        <v>2600</v>
      </c>
      <c r="AB116" s="74">
        <v>1700</v>
      </c>
      <c r="AC116" s="74">
        <v>2100</v>
      </c>
      <c r="AD116" s="67">
        <v>10</v>
      </c>
      <c r="AE116" s="67">
        <v>7.2</v>
      </c>
    </row>
    <row r="117" spans="1:31" ht="15.75">
      <c r="A117"/>
      <c r="B117" s="64"/>
      <c r="C117" s="64" t="s">
        <v>78</v>
      </c>
      <c r="D117" s="49">
        <v>1939.24</v>
      </c>
      <c r="E117" s="49">
        <v>1841.88</v>
      </c>
      <c r="F117" s="49">
        <v>1797.65</v>
      </c>
      <c r="G117" s="49">
        <v>1777.39</v>
      </c>
      <c r="H117" s="49">
        <v>1765.73</v>
      </c>
      <c r="I117" s="49">
        <v>1778.56</v>
      </c>
      <c r="J117" s="49">
        <v>1879.87</v>
      </c>
      <c r="K117" s="49">
        <v>1877.44</v>
      </c>
      <c r="L117" s="49">
        <v>1794.61</v>
      </c>
      <c r="M117" s="49">
        <v>1770.9</v>
      </c>
      <c r="N117" s="49">
        <v>1789.24</v>
      </c>
      <c r="O117" s="49">
        <v>1826.83</v>
      </c>
      <c r="P117" s="49">
        <v>1949.9</v>
      </c>
      <c r="Q117" s="64"/>
      <c r="R117" s="64"/>
      <c r="S117" s="64"/>
      <c r="T117" s="64"/>
      <c r="U117" s="98"/>
      <c r="V117" s="75"/>
      <c r="W117" s="76"/>
      <c r="X117" s="298"/>
      <c r="Z117" s="73"/>
      <c r="AA117" s="73"/>
      <c r="AB117" s="74"/>
      <c r="AC117" s="74"/>
      <c r="AD117" s="67"/>
      <c r="AE117" s="67"/>
    </row>
    <row r="118" spans="1:31" ht="60.75" thickBot="1">
      <c r="A118"/>
      <c r="B118" s="77"/>
      <c r="C118" s="77" t="s">
        <v>79</v>
      </c>
      <c r="D118" s="78">
        <f t="shared" ref="D118:P118" si="35">IF(((D116="")*AND(D117="")),"",(D116-D117)*2)</f>
        <v>1961.1</v>
      </c>
      <c r="E118" s="78">
        <f t="shared" si="35"/>
        <v>2027.46</v>
      </c>
      <c r="F118" s="78">
        <f t="shared" si="35"/>
        <v>2032.1799999999994</v>
      </c>
      <c r="G118" s="78">
        <f t="shared" si="35"/>
        <v>2039.1399999999999</v>
      </c>
      <c r="H118" s="78">
        <f t="shared" si="35"/>
        <v>2062.8199999999997</v>
      </c>
      <c r="I118" s="78">
        <f t="shared" si="35"/>
        <v>2081.66</v>
      </c>
      <c r="J118" s="78">
        <f t="shared" si="35"/>
        <v>1954.3400000000001</v>
      </c>
      <c r="K118" s="78">
        <f t="shared" si="35"/>
        <v>1971.96</v>
      </c>
      <c r="L118" s="78">
        <f t="shared" si="35"/>
        <v>2055.36</v>
      </c>
      <c r="M118" s="78">
        <f t="shared" si="35"/>
        <v>2056.2799999999997</v>
      </c>
      <c r="N118" s="78">
        <f t="shared" si="35"/>
        <v>2041.6200000000003</v>
      </c>
      <c r="O118" s="78">
        <f t="shared" si="35"/>
        <v>2033.88</v>
      </c>
      <c r="P118" s="78">
        <f t="shared" si="35"/>
        <v>1917.0199999999995</v>
      </c>
      <c r="Q118" s="88"/>
      <c r="R118" s="77"/>
      <c r="S118" s="77"/>
      <c r="T118" s="77"/>
      <c r="U118" s="99"/>
      <c r="V118" s="79"/>
      <c r="W118" s="80"/>
      <c r="X118" s="298"/>
      <c r="Z118" s="73"/>
      <c r="AA118" s="73"/>
      <c r="AB118" s="74"/>
      <c r="AC118" s="74"/>
      <c r="AD118" s="67"/>
      <c r="AE118" s="67"/>
    </row>
    <row r="119" spans="1:31">
      <c r="A119" s="68">
        <v>43308</v>
      </c>
      <c r="B119" s="69" t="s">
        <v>76</v>
      </c>
      <c r="C119" s="70" t="s">
        <v>77</v>
      </c>
      <c r="D119" s="49">
        <v>2865.18</v>
      </c>
      <c r="E119" s="49">
        <v>2823.13</v>
      </c>
      <c r="F119" s="49">
        <v>2801.46</v>
      </c>
      <c r="G119" s="49">
        <v>2793.92</v>
      </c>
      <c r="H119" s="49">
        <v>2807.33</v>
      </c>
      <c r="I119" s="49">
        <v>2834.53</v>
      </c>
      <c r="J119" s="49">
        <v>2886.37</v>
      </c>
      <c r="K119" s="49">
        <v>2928.89</v>
      </c>
      <c r="L119" s="49">
        <v>2857.82</v>
      </c>
      <c r="M119" s="49">
        <v>2812.2</v>
      </c>
      <c r="N119" s="49">
        <v>2796.53</v>
      </c>
      <c r="O119" s="49">
        <v>2828.06</v>
      </c>
      <c r="P119" s="49">
        <v>2884.19</v>
      </c>
      <c r="Q119" s="70">
        <f>IF((P120=""),"",MAX(D121:P121))</f>
        <v>2075.9800000000005</v>
      </c>
      <c r="R119" s="70">
        <f>IF(P120="","",MIN(D121:P121))</f>
        <v>1903.98</v>
      </c>
      <c r="S119" s="70">
        <f>IF((P121=""),"",AVERAGE(D121:P121))</f>
        <v>2024.7769230769231</v>
      </c>
      <c r="T119" s="70">
        <f>IF((P120=""),"",STDEV(D121:P121))</f>
        <v>55.088748909470283</v>
      </c>
      <c r="U119" s="97">
        <f>IF((P120=""),"",((Q119-R119)/(Q119+R119))*100)</f>
        <v>4.3216514738841711</v>
      </c>
      <c r="V119" s="71" t="str">
        <f>IF(P120="","",IF(U119&lt;7.2,IF(S119&gt;1700,IF(S119&lt;2100,"Pass","Fail"),"Fail"),"Fail"))</f>
        <v>Pass</v>
      </c>
      <c r="W119" s="72">
        <v>1340</v>
      </c>
      <c r="X119" s="130"/>
      <c r="Z119" s="73">
        <v>1600</v>
      </c>
      <c r="AA119" s="73">
        <v>2600</v>
      </c>
      <c r="AB119" s="74">
        <v>1700</v>
      </c>
      <c r="AC119" s="74">
        <v>2100</v>
      </c>
      <c r="AD119" s="67">
        <v>10</v>
      </c>
      <c r="AE119" s="67">
        <v>7.2</v>
      </c>
    </row>
    <row r="120" spans="1:31" ht="15.75">
      <c r="A120"/>
      <c r="B120" s="64"/>
      <c r="C120" s="64" t="s">
        <v>78</v>
      </c>
      <c r="D120" s="49">
        <v>1896.25</v>
      </c>
      <c r="E120" s="49">
        <v>1810.61</v>
      </c>
      <c r="F120" s="49">
        <v>1781.8</v>
      </c>
      <c r="G120" s="49">
        <v>1771.41</v>
      </c>
      <c r="H120" s="49">
        <v>1769.84</v>
      </c>
      <c r="I120" s="49">
        <v>1796.54</v>
      </c>
      <c r="J120" s="49">
        <v>1904.87</v>
      </c>
      <c r="K120" s="49">
        <v>1916.6</v>
      </c>
      <c r="L120" s="49">
        <v>1823.15</v>
      </c>
      <c r="M120" s="49">
        <v>1781.3</v>
      </c>
      <c r="N120" s="49">
        <v>1770.94</v>
      </c>
      <c r="O120" s="49">
        <v>1803.05</v>
      </c>
      <c r="P120" s="49">
        <v>1932.2</v>
      </c>
      <c r="Q120" s="64"/>
      <c r="R120" s="64"/>
      <c r="S120" s="64"/>
      <c r="T120" s="64"/>
      <c r="U120" s="98"/>
      <c r="V120" s="75"/>
      <c r="W120" s="76"/>
      <c r="X120" s="298"/>
      <c r="Z120" s="73"/>
      <c r="AA120" s="73"/>
      <c r="AB120" s="74"/>
      <c r="AC120" s="74"/>
      <c r="AD120" s="67"/>
      <c r="AE120" s="67"/>
    </row>
    <row r="121" spans="1:31" ht="60.75" thickBot="1">
      <c r="A121"/>
      <c r="B121" s="77"/>
      <c r="C121" s="77" t="s">
        <v>79</v>
      </c>
      <c r="D121" s="78">
        <f t="shared" ref="D121:P121" si="36">IF(((D119="")*AND(D120="")),"",(D119-D120)*2)</f>
        <v>1937.8599999999997</v>
      </c>
      <c r="E121" s="78">
        <f t="shared" si="36"/>
        <v>2025.0400000000004</v>
      </c>
      <c r="F121" s="78">
        <f t="shared" si="36"/>
        <v>2039.3200000000002</v>
      </c>
      <c r="G121" s="78">
        <f t="shared" si="36"/>
        <v>2045.02</v>
      </c>
      <c r="H121" s="78">
        <f t="shared" si="36"/>
        <v>2074.98</v>
      </c>
      <c r="I121" s="78">
        <f t="shared" si="36"/>
        <v>2075.9800000000005</v>
      </c>
      <c r="J121" s="78">
        <f t="shared" si="36"/>
        <v>1963</v>
      </c>
      <c r="K121" s="78">
        <f t="shared" si="36"/>
        <v>2024.58</v>
      </c>
      <c r="L121" s="78">
        <f t="shared" si="36"/>
        <v>2069.34</v>
      </c>
      <c r="M121" s="78">
        <f t="shared" si="36"/>
        <v>2061.7999999999997</v>
      </c>
      <c r="N121" s="78">
        <f t="shared" si="36"/>
        <v>2051.1800000000003</v>
      </c>
      <c r="O121" s="78">
        <f t="shared" si="36"/>
        <v>2050.02</v>
      </c>
      <c r="P121" s="78">
        <f t="shared" si="36"/>
        <v>1903.98</v>
      </c>
      <c r="Q121" s="88"/>
      <c r="R121" s="77"/>
      <c r="S121" s="77"/>
      <c r="T121" s="77"/>
      <c r="U121" s="99"/>
      <c r="V121" s="79"/>
      <c r="W121" s="80"/>
      <c r="X121" s="298"/>
      <c r="Z121" s="73"/>
      <c r="AA121" s="73"/>
      <c r="AB121" s="74"/>
      <c r="AC121" s="74"/>
      <c r="AD121" s="67"/>
      <c r="AE121" s="67"/>
    </row>
    <row r="122" spans="1:31">
      <c r="A122" s="68">
        <v>43314</v>
      </c>
      <c r="B122" s="69" t="s">
        <v>76</v>
      </c>
      <c r="C122" s="70" t="s">
        <v>77</v>
      </c>
      <c r="D122" s="49">
        <v>2883.2</v>
      </c>
      <c r="E122" s="49">
        <v>2832.12</v>
      </c>
      <c r="F122" s="49">
        <v>2808.89</v>
      </c>
      <c r="G122" s="49">
        <v>2798.52</v>
      </c>
      <c r="H122" s="49">
        <v>2807.22</v>
      </c>
      <c r="I122" s="49">
        <v>2833.19</v>
      </c>
      <c r="J122" s="49">
        <v>2873.58</v>
      </c>
      <c r="K122" s="49">
        <v>2873.54</v>
      </c>
      <c r="L122" s="49">
        <v>2819.09</v>
      </c>
      <c r="M122" s="49">
        <v>2798.81</v>
      </c>
      <c r="N122" s="49">
        <v>2820.34</v>
      </c>
      <c r="O122" s="49">
        <v>2865.39</v>
      </c>
      <c r="P122" s="49">
        <v>2834</v>
      </c>
      <c r="Q122" s="70">
        <f>IF((P123=""),"",MAX(D124:P124))</f>
        <v>2088.3000000000002</v>
      </c>
      <c r="R122" s="70">
        <f>IF(P123="","",MIN(D124:P124))</f>
        <v>1946.6599999999999</v>
      </c>
      <c r="S122" s="70">
        <f>IF((P124=""),"",AVERAGE(D124:P124))</f>
        <v>2033.9092307692308</v>
      </c>
      <c r="T122" s="70">
        <f>IF((P123=""),"",STDEV(D124:P124))</f>
        <v>34.192685002672242</v>
      </c>
      <c r="U122" s="97">
        <f>IF((P123=""),"",((Q122-R122)/(Q122+R122))*100)</f>
        <v>3.5103198049051367</v>
      </c>
      <c r="V122" s="71" t="str">
        <f>IF(P123="","",IF(U122&lt;7.2,IF(S122&gt;1700,IF(S122&lt;2100,"Pass","Fail"),"Fail"),"Fail"))</f>
        <v>Pass</v>
      </c>
      <c r="W122" s="72">
        <v>74</v>
      </c>
      <c r="X122" s="130"/>
      <c r="Z122" s="73">
        <v>1600</v>
      </c>
      <c r="AA122" s="73">
        <v>2600</v>
      </c>
      <c r="AB122" s="74">
        <v>1700</v>
      </c>
      <c r="AC122" s="74">
        <v>2100</v>
      </c>
      <c r="AD122" s="67">
        <v>10</v>
      </c>
      <c r="AE122" s="67">
        <v>7.2</v>
      </c>
    </row>
    <row r="123" spans="1:31" ht="15.75">
      <c r="A123"/>
      <c r="B123" s="64"/>
      <c r="C123" s="64" t="s">
        <v>78</v>
      </c>
      <c r="D123" s="49">
        <v>1909.87</v>
      </c>
      <c r="E123" s="49">
        <v>1822.03</v>
      </c>
      <c r="F123" s="49">
        <v>1789.41</v>
      </c>
      <c r="G123" s="49">
        <v>1777.23</v>
      </c>
      <c r="H123" s="49">
        <v>1774.34</v>
      </c>
      <c r="I123" s="49">
        <v>1789.04</v>
      </c>
      <c r="J123" s="49">
        <v>1868.84</v>
      </c>
      <c r="K123" s="49">
        <v>1868.9</v>
      </c>
      <c r="L123" s="49">
        <v>1791.64</v>
      </c>
      <c r="M123" s="49">
        <v>1775.93</v>
      </c>
      <c r="N123" s="49">
        <v>1793.81</v>
      </c>
      <c r="O123" s="49">
        <v>1849.44</v>
      </c>
      <c r="P123" s="49">
        <v>1817</v>
      </c>
      <c r="Q123" s="64"/>
      <c r="R123" s="64"/>
      <c r="S123" s="64"/>
      <c r="T123" s="64"/>
      <c r="U123" s="98"/>
      <c r="V123" s="75"/>
      <c r="W123" s="76"/>
      <c r="X123" s="298"/>
      <c r="Z123" s="73"/>
      <c r="AA123" s="73"/>
      <c r="AB123" s="74"/>
      <c r="AC123" s="74"/>
      <c r="AD123" s="67"/>
      <c r="AE123" s="67"/>
    </row>
    <row r="124" spans="1:31" ht="60.75" thickBot="1">
      <c r="A124"/>
      <c r="B124" s="77"/>
      <c r="C124" s="77" t="s">
        <v>79</v>
      </c>
      <c r="D124" s="78">
        <f t="shared" ref="D124:P124" si="37">IF(((D122="")*AND(D123="")),"",(D122-D123)*2)</f>
        <v>1946.6599999999999</v>
      </c>
      <c r="E124" s="78">
        <f t="shared" si="37"/>
        <v>2020.1799999999998</v>
      </c>
      <c r="F124" s="78">
        <f t="shared" si="37"/>
        <v>2038.9599999999996</v>
      </c>
      <c r="G124" s="78">
        <f t="shared" si="37"/>
        <v>2042.58</v>
      </c>
      <c r="H124" s="78">
        <f t="shared" si="37"/>
        <v>2065.7599999999998</v>
      </c>
      <c r="I124" s="78">
        <f t="shared" si="37"/>
        <v>2088.3000000000002</v>
      </c>
      <c r="J124" s="78">
        <f t="shared" si="37"/>
        <v>2009.48</v>
      </c>
      <c r="K124" s="78">
        <f t="shared" si="37"/>
        <v>2009.2799999999997</v>
      </c>
      <c r="L124" s="78">
        <f t="shared" si="37"/>
        <v>2054.9</v>
      </c>
      <c r="M124" s="78">
        <f t="shared" si="37"/>
        <v>2045.7599999999998</v>
      </c>
      <c r="N124" s="78">
        <f t="shared" si="37"/>
        <v>2053.0600000000004</v>
      </c>
      <c r="O124" s="78">
        <f t="shared" si="37"/>
        <v>2031.8999999999996</v>
      </c>
      <c r="P124" s="78">
        <f t="shared" si="37"/>
        <v>2034</v>
      </c>
      <c r="Q124" s="88"/>
      <c r="R124" s="77"/>
      <c r="S124" s="77"/>
      <c r="T124" s="77"/>
      <c r="U124" s="99"/>
      <c r="V124" s="79"/>
      <c r="W124" s="80"/>
      <c r="X124" s="298"/>
      <c r="Z124" s="73"/>
      <c r="AA124" s="73"/>
      <c r="AB124" s="74"/>
      <c r="AC124" s="74"/>
      <c r="AD124" s="67"/>
      <c r="AE124" s="67"/>
    </row>
    <row r="125" spans="1:31" ht="16.5" customHeight="1">
      <c r="A125" s="68">
        <v>43318</v>
      </c>
      <c r="B125" s="69" t="s">
        <v>76</v>
      </c>
      <c r="C125" s="70" t="s">
        <v>77</v>
      </c>
      <c r="D125" s="49">
        <v>2882.74</v>
      </c>
      <c r="E125" s="49">
        <v>2835.15</v>
      </c>
      <c r="F125" s="49">
        <v>2808.85</v>
      </c>
      <c r="G125" s="49">
        <v>2801.69</v>
      </c>
      <c r="H125" s="49">
        <v>2804.27</v>
      </c>
      <c r="I125" s="49">
        <v>2829.43</v>
      </c>
      <c r="J125" s="49">
        <v>2871.68</v>
      </c>
      <c r="K125" s="49">
        <v>2874.48</v>
      </c>
      <c r="L125" s="49">
        <v>2822.48</v>
      </c>
      <c r="M125" s="49">
        <v>2800.85</v>
      </c>
      <c r="N125" s="49">
        <v>2818.72</v>
      </c>
      <c r="O125" s="49">
        <v>2863.6</v>
      </c>
      <c r="P125" s="49">
        <v>2834</v>
      </c>
      <c r="Q125" s="70">
        <f>IF((P126=""),"",MAX(D127:P127))</f>
        <v>2074.8199999999997</v>
      </c>
      <c r="R125" s="70">
        <f>IF(P126="","",MIN(D127:P127))</f>
        <v>1922.2399999999998</v>
      </c>
      <c r="S125" s="70">
        <f>IF((P127=""),"",AVERAGE(D127:P127))</f>
        <v>2023.7969230769229</v>
      </c>
      <c r="T125" s="70">
        <f>IF((P126=""),"",STDEV(D127:P127))</f>
        <v>36.819309106476425</v>
      </c>
      <c r="U125" s="97">
        <f>IF((P126=""),"",((Q125-R125)/(Q125+R125))*100)</f>
        <v>3.817305719703981</v>
      </c>
      <c r="V125" s="71" t="str">
        <f>IF(P126="","",IF(U125&lt;7.2,IF(S125&gt;1700,IF(S125&lt;2100,"Pass","Fail"),"Fail"),"Fail"))</f>
        <v>Pass</v>
      </c>
      <c r="W125" s="72">
        <v>74</v>
      </c>
      <c r="X125" s="374" t="s">
        <v>89</v>
      </c>
      <c r="Z125" s="73">
        <v>1600</v>
      </c>
      <c r="AA125" s="73">
        <v>2600</v>
      </c>
      <c r="AB125" s="74">
        <v>1700</v>
      </c>
      <c r="AC125" s="74">
        <v>2100</v>
      </c>
      <c r="AD125" s="67">
        <v>10</v>
      </c>
      <c r="AE125" s="67">
        <v>7.2</v>
      </c>
    </row>
    <row r="126" spans="1:31" ht="15.75">
      <c r="A126"/>
      <c r="B126" s="64"/>
      <c r="C126" s="64" t="s">
        <v>78</v>
      </c>
      <c r="D126" s="49">
        <v>1921.62</v>
      </c>
      <c r="E126" s="49">
        <v>1827.45</v>
      </c>
      <c r="F126" s="49">
        <v>1796.64</v>
      </c>
      <c r="G126" s="49">
        <v>1777.35</v>
      </c>
      <c r="H126" s="49">
        <v>1781.37</v>
      </c>
      <c r="I126" s="49">
        <v>1792.02</v>
      </c>
      <c r="J126" s="49">
        <v>1867.18</v>
      </c>
      <c r="K126" s="49">
        <v>1877.78</v>
      </c>
      <c r="L126" s="49">
        <v>1800.45</v>
      </c>
      <c r="M126" s="49">
        <v>1778.12</v>
      </c>
      <c r="N126" s="49">
        <v>1800.73</v>
      </c>
      <c r="O126" s="49">
        <v>1850.55</v>
      </c>
      <c r="P126" s="49">
        <v>1822</v>
      </c>
      <c r="Q126" s="64"/>
      <c r="R126" s="64"/>
      <c r="S126" s="64"/>
      <c r="T126" s="64"/>
      <c r="U126" s="98"/>
      <c r="V126" s="75"/>
      <c r="W126" s="76"/>
      <c r="X126" s="298"/>
      <c r="Z126" s="73"/>
      <c r="AA126" s="73"/>
      <c r="AB126" s="74"/>
      <c r="AC126" s="74"/>
      <c r="AD126" s="67"/>
      <c r="AE126" s="67"/>
    </row>
    <row r="127" spans="1:31" ht="60.75" thickBot="1">
      <c r="A127"/>
      <c r="B127" s="77"/>
      <c r="C127" s="77" t="s">
        <v>79</v>
      </c>
      <c r="D127" s="78">
        <f t="shared" ref="D127:P127" si="38">IF(((D125="")*AND(D126="")),"",(D125-D126)*2)</f>
        <v>1922.2399999999998</v>
      </c>
      <c r="E127" s="78">
        <f t="shared" si="38"/>
        <v>2015.4</v>
      </c>
      <c r="F127" s="78">
        <f t="shared" si="38"/>
        <v>2024.4199999999996</v>
      </c>
      <c r="G127" s="78">
        <f t="shared" si="38"/>
        <v>2048.6800000000003</v>
      </c>
      <c r="H127" s="78">
        <f t="shared" si="38"/>
        <v>2045.8000000000002</v>
      </c>
      <c r="I127" s="78">
        <f t="shared" si="38"/>
        <v>2074.8199999999997</v>
      </c>
      <c r="J127" s="78">
        <f t="shared" si="38"/>
        <v>2008.9999999999995</v>
      </c>
      <c r="K127" s="78">
        <f t="shared" si="38"/>
        <v>1993.4</v>
      </c>
      <c r="L127" s="78">
        <f t="shared" si="38"/>
        <v>2044.06</v>
      </c>
      <c r="M127" s="78">
        <f t="shared" si="38"/>
        <v>2045.46</v>
      </c>
      <c r="N127" s="78">
        <f t="shared" si="38"/>
        <v>2035.9799999999996</v>
      </c>
      <c r="O127" s="78">
        <f t="shared" si="38"/>
        <v>2026.1</v>
      </c>
      <c r="P127" s="78">
        <f t="shared" si="38"/>
        <v>2024</v>
      </c>
      <c r="Q127" s="88"/>
      <c r="R127" s="77"/>
      <c r="S127" s="77"/>
      <c r="T127" s="77"/>
      <c r="U127" s="99"/>
      <c r="V127" s="79"/>
      <c r="W127" s="80"/>
      <c r="X127" s="298"/>
      <c r="Z127" s="73"/>
      <c r="AA127" s="73"/>
      <c r="AB127" s="74"/>
      <c r="AC127" s="74"/>
      <c r="AD127" s="67"/>
      <c r="AE127" s="67"/>
    </row>
    <row r="128" spans="1:31">
      <c r="A128" s="68">
        <v>43321</v>
      </c>
      <c r="B128" s="69" t="s">
        <v>76</v>
      </c>
      <c r="C128" s="70" t="s">
        <v>77</v>
      </c>
      <c r="D128" s="49">
        <v>2867.82</v>
      </c>
      <c r="E128" s="49">
        <v>2803.62</v>
      </c>
      <c r="F128" s="49">
        <v>2795.77</v>
      </c>
      <c r="G128" s="49">
        <v>2801.21</v>
      </c>
      <c r="H128" s="49">
        <v>2860.99</v>
      </c>
      <c r="I128" s="49">
        <v>2856.49</v>
      </c>
      <c r="J128" s="49">
        <v>2793.74</v>
      </c>
      <c r="K128" s="49">
        <v>2816.3</v>
      </c>
      <c r="L128" s="49">
        <v>2919.21</v>
      </c>
      <c r="M128" s="49">
        <v>2799.56</v>
      </c>
      <c r="N128" s="49">
        <v>2826.35</v>
      </c>
      <c r="O128" s="49">
        <v>2800.51</v>
      </c>
      <c r="P128" s="49">
        <v>2823.84</v>
      </c>
      <c r="Q128" s="70">
        <f>IF((P129=""),"",MAX(D130:P130))</f>
        <v>2089.8999999999996</v>
      </c>
      <c r="R128" s="70">
        <f>IF(P129="","",MIN(D130:P130))</f>
        <v>1985.1000000000004</v>
      </c>
      <c r="S128" s="70">
        <f>IF((P130=""),"",AVERAGE(D130:P130))</f>
        <v>2053.5292307692307</v>
      </c>
      <c r="T128" s="70">
        <f>IF((P129=""),"",STDEV(D130:P130))</f>
        <v>28.348028285805029</v>
      </c>
      <c r="U128" s="97">
        <f>IF((P129=""),"",((Q128-R128)/(Q128+R128))*100)</f>
        <v>2.5717791411042765</v>
      </c>
      <c r="V128" s="71" t="str">
        <f>IF(P129="","",IF(U128&lt;7.2,IF(S128&gt;1700,IF(S128&lt;2100,"Pass","Fail"),"Fail"),"Fail"))</f>
        <v>Pass</v>
      </c>
      <c r="W128" s="72">
        <v>1428</v>
      </c>
      <c r="X128" s="374" t="s">
        <v>90</v>
      </c>
      <c r="Z128" s="73">
        <v>1600</v>
      </c>
      <c r="AA128" s="73">
        <v>2600</v>
      </c>
      <c r="AB128" s="74">
        <v>1700</v>
      </c>
      <c r="AC128" s="74">
        <v>2100</v>
      </c>
      <c r="AD128" s="67">
        <v>10</v>
      </c>
      <c r="AE128" s="67">
        <v>7.2</v>
      </c>
    </row>
    <row r="129" spans="1:31" ht="15.75">
      <c r="A129"/>
      <c r="B129" s="64"/>
      <c r="C129" s="64" t="s">
        <v>78</v>
      </c>
      <c r="D129" s="49">
        <v>1875.27</v>
      </c>
      <c r="E129" s="49">
        <v>1773.56</v>
      </c>
      <c r="F129" s="49">
        <v>1763.76</v>
      </c>
      <c r="G129" s="49">
        <v>1761.95</v>
      </c>
      <c r="H129" s="49">
        <v>1830.2</v>
      </c>
      <c r="I129" s="49">
        <v>1838.53</v>
      </c>
      <c r="J129" s="49">
        <v>1760.56</v>
      </c>
      <c r="K129" s="49">
        <v>1779.41</v>
      </c>
      <c r="L129" s="49">
        <v>1911.52</v>
      </c>
      <c r="M129" s="49">
        <v>1773.73</v>
      </c>
      <c r="N129" s="49">
        <v>1781.4</v>
      </c>
      <c r="O129" s="49">
        <v>1764.79</v>
      </c>
      <c r="P129" s="49">
        <v>1802.79</v>
      </c>
      <c r="Q129" s="64"/>
      <c r="R129" s="64"/>
      <c r="S129" s="64"/>
      <c r="T129" s="64"/>
      <c r="U129" s="98"/>
      <c r="V129" s="75"/>
      <c r="W129" s="76"/>
      <c r="X129" s="298"/>
      <c r="Z129" s="73"/>
      <c r="AA129" s="73"/>
      <c r="AB129" s="74"/>
      <c r="AC129" s="74"/>
      <c r="AD129" s="67"/>
      <c r="AE129" s="67"/>
    </row>
    <row r="130" spans="1:31" ht="60.75" thickBot="1">
      <c r="A130"/>
      <c r="B130" s="77"/>
      <c r="C130" s="77" t="s">
        <v>79</v>
      </c>
      <c r="D130" s="78">
        <f t="shared" ref="D130:P130" si="39">IF(((D128="")*AND(D129="")),"",(D128-D129)*2)</f>
        <v>1985.1000000000004</v>
      </c>
      <c r="E130" s="78">
        <f t="shared" si="39"/>
        <v>2060.12</v>
      </c>
      <c r="F130" s="78">
        <f t="shared" si="39"/>
        <v>2064.02</v>
      </c>
      <c r="G130" s="78">
        <f t="shared" si="39"/>
        <v>2078.52</v>
      </c>
      <c r="H130" s="78">
        <f t="shared" si="39"/>
        <v>2061.5799999999995</v>
      </c>
      <c r="I130" s="78">
        <f t="shared" si="39"/>
        <v>2035.9199999999996</v>
      </c>
      <c r="J130" s="78">
        <f t="shared" si="39"/>
        <v>2066.3599999999997</v>
      </c>
      <c r="K130" s="78">
        <f t="shared" si="39"/>
        <v>2073.7800000000002</v>
      </c>
      <c r="L130" s="78">
        <f t="shared" si="39"/>
        <v>2015.38</v>
      </c>
      <c r="M130" s="78">
        <f t="shared" si="39"/>
        <v>2051.66</v>
      </c>
      <c r="N130" s="78">
        <f t="shared" si="39"/>
        <v>2089.8999999999996</v>
      </c>
      <c r="O130" s="78">
        <f t="shared" si="39"/>
        <v>2071.4400000000005</v>
      </c>
      <c r="P130" s="78">
        <f t="shared" si="39"/>
        <v>2042.1000000000004</v>
      </c>
      <c r="Q130" s="88"/>
      <c r="R130" s="77"/>
      <c r="S130" s="77"/>
      <c r="T130" s="77"/>
      <c r="U130" s="99"/>
      <c r="V130" s="79"/>
      <c r="W130" s="80"/>
      <c r="X130" s="298"/>
      <c r="Z130" s="73"/>
      <c r="AA130" s="73"/>
      <c r="AB130" s="74"/>
      <c r="AC130" s="74"/>
      <c r="AD130" s="67"/>
      <c r="AE130" s="67"/>
    </row>
    <row r="131" spans="1:31">
      <c r="A131" s="68">
        <v>43325</v>
      </c>
      <c r="B131" s="69" t="s">
        <v>76</v>
      </c>
      <c r="C131" s="70" t="s">
        <v>77</v>
      </c>
      <c r="D131" s="49">
        <v>2876.32</v>
      </c>
      <c r="E131" s="49">
        <v>2805.77</v>
      </c>
      <c r="F131" s="49">
        <v>2796.06</v>
      </c>
      <c r="G131" s="49">
        <v>2800.87</v>
      </c>
      <c r="H131" s="49">
        <v>2859.39</v>
      </c>
      <c r="I131" s="49">
        <v>2858.65</v>
      </c>
      <c r="J131" s="49">
        <v>2794.82</v>
      </c>
      <c r="K131" s="49">
        <v>2812.59</v>
      </c>
      <c r="L131" s="49">
        <v>2920.89</v>
      </c>
      <c r="M131" s="49">
        <v>2805.69</v>
      </c>
      <c r="N131" s="49">
        <v>2819.05</v>
      </c>
      <c r="O131" s="49">
        <v>2799.69</v>
      </c>
      <c r="P131" s="49">
        <v>2826.13</v>
      </c>
      <c r="Q131" s="70">
        <f>IF((P132=""),"",MAX(D133:P133))</f>
        <v>2034.1599999999999</v>
      </c>
      <c r="R131" s="70">
        <f>IF(P132="","",MIN(D133:P133))</f>
        <v>1964.6400000000003</v>
      </c>
      <c r="S131" s="70">
        <f>IF((P133=""),"",AVERAGE(D133:P133))</f>
        <v>2010.636923076923</v>
      </c>
      <c r="T131" s="70">
        <f>IF((P132=""),"",STDEV(D133:P133))</f>
        <v>18.572386036180081</v>
      </c>
      <c r="U131" s="97">
        <f>IF((P132=""),"",((Q131-R131)/(Q131+R131))*100)</f>
        <v>1.7385215564669283</v>
      </c>
      <c r="V131" s="71" t="str">
        <f>IF(P132="","",IF(U131&lt;7.2,IF(S131&gt;1700,IF(S131&lt;2100,"Pass","Fail"),"Fail"),"Fail"))</f>
        <v>Pass</v>
      </c>
      <c r="W131" s="72">
        <v>1159</v>
      </c>
      <c r="X131" s="130"/>
      <c r="Z131" s="73">
        <v>1600</v>
      </c>
      <c r="AA131" s="73">
        <v>2600</v>
      </c>
      <c r="AB131" s="74">
        <v>1700</v>
      </c>
      <c r="AC131" s="74">
        <v>2100</v>
      </c>
      <c r="AD131" s="67">
        <v>10</v>
      </c>
      <c r="AE131" s="67">
        <v>7.2</v>
      </c>
    </row>
    <row r="132" spans="1:31" ht="15.75">
      <c r="A132"/>
      <c r="B132" s="64"/>
      <c r="C132" s="64" t="s">
        <v>78</v>
      </c>
      <c r="D132" s="49">
        <v>1894</v>
      </c>
      <c r="E132" s="49">
        <v>1804.21</v>
      </c>
      <c r="F132" s="49">
        <v>1792.21</v>
      </c>
      <c r="G132" s="49">
        <v>1783.79</v>
      </c>
      <c r="H132" s="49">
        <v>1851.57</v>
      </c>
      <c r="I132" s="49">
        <v>1853.35</v>
      </c>
      <c r="J132" s="49">
        <v>1789.49</v>
      </c>
      <c r="K132" s="49">
        <v>1805.28</v>
      </c>
      <c r="L132" s="49">
        <v>1925.79</v>
      </c>
      <c r="M132" s="49">
        <v>1799.5</v>
      </c>
      <c r="N132" s="49">
        <v>1802.16</v>
      </c>
      <c r="O132" s="49">
        <v>1784.28</v>
      </c>
      <c r="P132" s="49">
        <v>1821.15</v>
      </c>
      <c r="Q132" s="64"/>
      <c r="R132" s="64"/>
      <c r="S132" s="64"/>
      <c r="T132" s="64"/>
      <c r="U132" s="98"/>
      <c r="V132" s="75"/>
      <c r="W132" s="76"/>
      <c r="X132" s="298"/>
      <c r="Z132" s="73"/>
      <c r="AA132" s="73"/>
      <c r="AB132" s="74"/>
      <c r="AC132" s="74"/>
      <c r="AD132" s="67"/>
      <c r="AE132" s="67"/>
    </row>
    <row r="133" spans="1:31" ht="60.75" thickBot="1">
      <c r="A133"/>
      <c r="B133" s="77"/>
      <c r="C133" s="77" t="s">
        <v>79</v>
      </c>
      <c r="D133" s="78">
        <f t="shared" ref="D133:P133" si="40">IF(((D131="")*AND(D132="")),"",(D131-D132)*2)</f>
        <v>1964.6400000000003</v>
      </c>
      <c r="E133" s="78">
        <f t="shared" si="40"/>
        <v>2003.12</v>
      </c>
      <c r="F133" s="78">
        <f t="shared" si="40"/>
        <v>2007.6999999999998</v>
      </c>
      <c r="G133" s="78">
        <f t="shared" si="40"/>
        <v>2034.1599999999999</v>
      </c>
      <c r="H133" s="78">
        <f t="shared" si="40"/>
        <v>2015.6399999999999</v>
      </c>
      <c r="I133" s="78">
        <f t="shared" si="40"/>
        <v>2010.6000000000004</v>
      </c>
      <c r="J133" s="78">
        <f t="shared" si="40"/>
        <v>2010.6600000000003</v>
      </c>
      <c r="K133" s="78">
        <f t="shared" si="40"/>
        <v>2014.6200000000003</v>
      </c>
      <c r="L133" s="78">
        <f t="shared" si="40"/>
        <v>1990.1999999999998</v>
      </c>
      <c r="M133" s="78">
        <f t="shared" si="40"/>
        <v>2012.38</v>
      </c>
      <c r="N133" s="78">
        <f t="shared" si="40"/>
        <v>2033.7800000000002</v>
      </c>
      <c r="O133" s="78">
        <f t="shared" si="40"/>
        <v>2030.8200000000002</v>
      </c>
      <c r="P133" s="78">
        <f t="shared" si="40"/>
        <v>2009.96</v>
      </c>
      <c r="Q133" s="88"/>
      <c r="R133" s="77"/>
      <c r="S133" s="77"/>
      <c r="T133" s="77"/>
      <c r="U133" s="99"/>
      <c r="V133" s="79"/>
      <c r="W133" s="80"/>
      <c r="X133" s="298"/>
      <c r="Z133" s="73"/>
      <c r="AA133" s="73"/>
      <c r="AB133" s="74"/>
      <c r="AC133" s="74"/>
      <c r="AD133" s="67"/>
      <c r="AE133" s="67"/>
    </row>
    <row r="134" spans="1:31">
      <c r="A134" s="68">
        <v>43336</v>
      </c>
      <c r="B134" s="69" t="s">
        <v>76</v>
      </c>
      <c r="C134" s="70" t="s">
        <v>77</v>
      </c>
      <c r="D134" s="49">
        <v>2444</v>
      </c>
      <c r="E134" s="49">
        <v>2353</v>
      </c>
      <c r="F134" s="49">
        <v>2337</v>
      </c>
      <c r="G134" s="49">
        <v>2339</v>
      </c>
      <c r="H134" s="49">
        <v>2405</v>
      </c>
      <c r="I134" s="49">
        <v>2402</v>
      </c>
      <c r="J134" s="49">
        <v>2343</v>
      </c>
      <c r="K134" s="49">
        <v>2343</v>
      </c>
      <c r="L134" s="49">
        <v>2404</v>
      </c>
      <c r="M134" s="49">
        <v>2362</v>
      </c>
      <c r="N134" s="49">
        <v>2345</v>
      </c>
      <c r="O134" s="49">
        <v>2345</v>
      </c>
      <c r="P134" s="49">
        <v>2361</v>
      </c>
      <c r="Q134" s="70">
        <f>IF((P135=""),"",MAX(D136:P136))</f>
        <v>1974</v>
      </c>
      <c r="R134" s="70">
        <f>IF(P135="","",MIN(D136:P136))</f>
        <v>1768</v>
      </c>
      <c r="S134" s="70">
        <f>IF((P136=""),"",AVERAGE(D136:P136))</f>
        <v>1828.3076923076924</v>
      </c>
      <c r="T134" s="70">
        <f>IF((P135=""),"",STDEV(D136:P136))</f>
        <v>46.481868535634483</v>
      </c>
      <c r="U134" s="97">
        <f>IF((P135=""),"",((Q134-R134)/(Q134+R134))*100)</f>
        <v>5.505077498663816</v>
      </c>
      <c r="V134" s="71" t="str">
        <f>IF(P135="","",IF(U134&lt;7.2,IF(S134&gt;1700,IF(S134&lt;2100,"Pass","Fail"),"Fail"),"Fail"))</f>
        <v>Pass</v>
      </c>
      <c r="W134" s="72"/>
      <c r="X134" s="130"/>
      <c r="Y134" s="300" t="s">
        <v>91</v>
      </c>
      <c r="Z134" s="73">
        <v>1600</v>
      </c>
      <c r="AA134" s="73">
        <v>2600</v>
      </c>
      <c r="AB134" s="74">
        <v>1700</v>
      </c>
      <c r="AC134" s="74">
        <v>2100</v>
      </c>
      <c r="AD134" s="67">
        <v>10</v>
      </c>
      <c r="AE134" s="67">
        <v>7.2</v>
      </c>
    </row>
    <row r="135" spans="1:31" ht="16.5" customHeight="1">
      <c r="A135"/>
      <c r="B135" s="64"/>
      <c r="C135" s="64" t="s">
        <v>78</v>
      </c>
      <c r="D135" s="49">
        <v>1528</v>
      </c>
      <c r="E135" s="49">
        <v>1447</v>
      </c>
      <c r="F135" s="49">
        <v>1425</v>
      </c>
      <c r="G135" s="49">
        <v>1426</v>
      </c>
      <c r="H135" s="49">
        <v>1418</v>
      </c>
      <c r="I135" s="49">
        <v>1494</v>
      </c>
      <c r="J135" s="49">
        <v>1434</v>
      </c>
      <c r="K135" s="49">
        <v>1438</v>
      </c>
      <c r="L135" s="49">
        <v>1520</v>
      </c>
      <c r="M135" s="49">
        <v>1451</v>
      </c>
      <c r="N135" s="49">
        <v>1434</v>
      </c>
      <c r="O135" s="49">
        <v>1433</v>
      </c>
      <c r="P135" s="49">
        <v>1451</v>
      </c>
      <c r="Q135" s="64"/>
      <c r="R135" s="64"/>
      <c r="S135" s="64"/>
      <c r="T135" s="64"/>
      <c r="U135" s="98"/>
      <c r="V135" s="75"/>
      <c r="W135" s="76"/>
      <c r="X135" s="298"/>
      <c r="Y135" s="293"/>
      <c r="Z135" s="73"/>
      <c r="AA135" s="73"/>
      <c r="AB135" s="74"/>
      <c r="AC135" s="74"/>
      <c r="AD135" s="67"/>
      <c r="AE135" s="67"/>
    </row>
    <row r="136" spans="1:31" ht="60.75" thickBot="1">
      <c r="A136"/>
      <c r="B136" s="77"/>
      <c r="C136" s="77" t="s">
        <v>79</v>
      </c>
      <c r="D136" s="78">
        <f t="shared" ref="D136:P136" si="41">IF(((D134="")*AND(D135="")),"",(D134-D135)*2)</f>
        <v>1832</v>
      </c>
      <c r="E136" s="78">
        <f t="shared" si="41"/>
        <v>1812</v>
      </c>
      <c r="F136" s="78">
        <f t="shared" si="41"/>
        <v>1824</v>
      </c>
      <c r="G136" s="78">
        <f t="shared" si="41"/>
        <v>1826</v>
      </c>
      <c r="H136" s="78">
        <f t="shared" si="41"/>
        <v>1974</v>
      </c>
      <c r="I136" s="78">
        <f t="shared" si="41"/>
        <v>1816</v>
      </c>
      <c r="J136" s="78">
        <f t="shared" si="41"/>
        <v>1818</v>
      </c>
      <c r="K136" s="78">
        <f t="shared" si="41"/>
        <v>1810</v>
      </c>
      <c r="L136" s="78">
        <f t="shared" si="41"/>
        <v>1768</v>
      </c>
      <c r="M136" s="78">
        <f t="shared" si="41"/>
        <v>1822</v>
      </c>
      <c r="N136" s="78">
        <f t="shared" si="41"/>
        <v>1822</v>
      </c>
      <c r="O136" s="78">
        <f t="shared" si="41"/>
        <v>1824</v>
      </c>
      <c r="P136" s="78">
        <f t="shared" si="41"/>
        <v>1820</v>
      </c>
      <c r="Q136" s="88"/>
      <c r="R136" s="77"/>
      <c r="S136" s="77"/>
      <c r="T136" s="77"/>
      <c r="U136" s="99"/>
      <c r="V136" s="79"/>
      <c r="W136" s="80"/>
      <c r="X136" s="298"/>
      <c r="Z136" s="73"/>
      <c r="AA136" s="73"/>
      <c r="AB136" s="74"/>
      <c r="AC136" s="74"/>
      <c r="AD136" s="67"/>
      <c r="AE136" s="67"/>
    </row>
    <row r="137" spans="1:31">
      <c r="A137" s="68">
        <v>43340</v>
      </c>
      <c r="B137" s="69" t="s">
        <v>76</v>
      </c>
      <c r="C137" s="70" t="s">
        <v>77</v>
      </c>
      <c r="D137" s="49">
        <v>2445</v>
      </c>
      <c r="E137" s="49">
        <v>2356</v>
      </c>
      <c r="F137" s="49">
        <v>2342</v>
      </c>
      <c r="G137" s="49">
        <v>2341</v>
      </c>
      <c r="H137" s="49">
        <v>2403</v>
      </c>
      <c r="I137" s="49">
        <v>2399</v>
      </c>
      <c r="J137" s="49">
        <v>2343</v>
      </c>
      <c r="K137" s="49">
        <v>2347</v>
      </c>
      <c r="L137" s="49">
        <v>2410</v>
      </c>
      <c r="M137" s="49">
        <v>2360</v>
      </c>
      <c r="N137" s="49">
        <v>2349</v>
      </c>
      <c r="O137" s="49">
        <v>2346</v>
      </c>
      <c r="P137" s="49">
        <v>2365</v>
      </c>
      <c r="Q137" s="70">
        <f>IF((P138=""),"",MAX(D139:P139))</f>
        <v>1912</v>
      </c>
      <c r="R137" s="70">
        <f>IF(P138="","",MIN(D139:P139))</f>
        <v>1830</v>
      </c>
      <c r="S137" s="70">
        <f>IF((P139=""),"",AVERAGE(D139:P139))</f>
        <v>1887.2307692307693</v>
      </c>
      <c r="T137" s="70">
        <f>IF((P138=""),"",STDEV(D139:P139))</f>
        <v>24.104473465009654</v>
      </c>
      <c r="U137" s="97">
        <f>IF((P138=""),"",((Q137-R137)/(Q137+R137))*100)</f>
        <v>2.191341528594335</v>
      </c>
      <c r="V137" s="71" t="str">
        <f>IF(P138="","",IF(U137&lt;7.2,IF(S137&gt;1700,IF(S137&lt;2100,"Pass","Fail"),"Fail"),"Fail"))</f>
        <v>Pass</v>
      </c>
      <c r="W137" s="72">
        <v>1340</v>
      </c>
      <c r="X137" s="130"/>
      <c r="Z137" s="73">
        <v>1600</v>
      </c>
      <c r="AA137" s="73">
        <v>2600</v>
      </c>
      <c r="AB137" s="74">
        <v>1700</v>
      </c>
      <c r="AC137" s="74">
        <v>2100</v>
      </c>
      <c r="AD137" s="67">
        <v>10</v>
      </c>
      <c r="AE137" s="67">
        <v>7.2</v>
      </c>
    </row>
    <row r="138" spans="1:31" ht="15.75">
      <c r="A138"/>
      <c r="B138" s="64"/>
      <c r="C138" s="64" t="s">
        <v>78</v>
      </c>
      <c r="D138" s="49">
        <v>1519</v>
      </c>
      <c r="E138" s="49">
        <v>1410</v>
      </c>
      <c r="F138" s="49">
        <v>1394</v>
      </c>
      <c r="G138" s="49">
        <v>1387</v>
      </c>
      <c r="H138" s="49">
        <v>1468</v>
      </c>
      <c r="I138" s="49">
        <v>1461</v>
      </c>
      <c r="J138" s="49">
        <v>1392</v>
      </c>
      <c r="K138" s="49">
        <v>1400</v>
      </c>
      <c r="L138" s="49">
        <v>1495</v>
      </c>
      <c r="M138" s="49">
        <v>1412</v>
      </c>
      <c r="N138" s="49">
        <v>1393</v>
      </c>
      <c r="O138" s="49">
        <v>1392</v>
      </c>
      <c r="P138" s="49">
        <v>1416</v>
      </c>
      <c r="Q138" s="64"/>
      <c r="R138" s="64"/>
      <c r="S138" s="64"/>
      <c r="T138" s="64"/>
      <c r="U138" s="98"/>
      <c r="V138" s="75"/>
      <c r="W138" s="76"/>
      <c r="X138" s="298"/>
      <c r="Z138" s="73"/>
      <c r="AA138" s="73"/>
      <c r="AB138" s="74"/>
      <c r="AC138" s="74"/>
      <c r="AD138" s="67"/>
      <c r="AE138" s="67"/>
    </row>
    <row r="139" spans="1:31" ht="60.75" thickBot="1">
      <c r="A139"/>
      <c r="B139" s="77"/>
      <c r="C139" s="77" t="s">
        <v>79</v>
      </c>
      <c r="D139" s="78">
        <f t="shared" ref="D139:P139" si="42">IF(((D137="")*AND(D138="")),"",(D137-D138)*2)</f>
        <v>1852</v>
      </c>
      <c r="E139" s="78">
        <f t="shared" si="42"/>
        <v>1892</v>
      </c>
      <c r="F139" s="78">
        <f t="shared" si="42"/>
        <v>1896</v>
      </c>
      <c r="G139" s="78">
        <f t="shared" si="42"/>
        <v>1908</v>
      </c>
      <c r="H139" s="78">
        <f t="shared" si="42"/>
        <v>1870</v>
      </c>
      <c r="I139" s="78">
        <f t="shared" si="42"/>
        <v>1876</v>
      </c>
      <c r="J139" s="78">
        <f t="shared" si="42"/>
        <v>1902</v>
      </c>
      <c r="K139" s="78">
        <f t="shared" si="42"/>
        <v>1894</v>
      </c>
      <c r="L139" s="78">
        <f t="shared" si="42"/>
        <v>1830</v>
      </c>
      <c r="M139" s="78">
        <f t="shared" si="42"/>
        <v>1896</v>
      </c>
      <c r="N139" s="78">
        <f t="shared" si="42"/>
        <v>1912</v>
      </c>
      <c r="O139" s="78">
        <f t="shared" si="42"/>
        <v>1908</v>
      </c>
      <c r="P139" s="78">
        <f t="shared" si="42"/>
        <v>1898</v>
      </c>
      <c r="Q139" s="88"/>
      <c r="R139" s="77"/>
      <c r="S139" s="77"/>
      <c r="T139" s="77"/>
      <c r="U139" s="99"/>
      <c r="V139" s="79"/>
      <c r="W139" s="80"/>
      <c r="X139" s="298"/>
      <c r="Z139" s="73"/>
      <c r="AA139" s="73"/>
      <c r="AB139" s="74"/>
      <c r="AC139" s="74"/>
      <c r="AD139" s="67"/>
      <c r="AE139" s="67"/>
    </row>
    <row r="140" spans="1:31">
      <c r="A140" s="68">
        <v>43344</v>
      </c>
      <c r="B140" s="69" t="s">
        <v>76</v>
      </c>
      <c r="C140" s="70" t="s">
        <v>77</v>
      </c>
      <c r="D140" s="49">
        <v>2442.25</v>
      </c>
      <c r="E140" s="49">
        <v>2357.86</v>
      </c>
      <c r="F140" s="49">
        <v>2342.63</v>
      </c>
      <c r="G140" s="49">
        <v>2343</v>
      </c>
      <c r="H140" s="49">
        <v>2404.61</v>
      </c>
      <c r="I140" s="49">
        <v>2400.75</v>
      </c>
      <c r="J140" s="49">
        <v>2345.81</v>
      </c>
      <c r="K140" s="49">
        <v>2349.15</v>
      </c>
      <c r="L140" s="49">
        <v>2405.1999999999998</v>
      </c>
      <c r="M140" s="49">
        <v>2361.15</v>
      </c>
      <c r="N140" s="49">
        <v>2346.02</v>
      </c>
      <c r="O140" s="49">
        <v>2344.64</v>
      </c>
      <c r="P140" s="49">
        <v>2365.1999999999998</v>
      </c>
      <c r="Q140" s="70">
        <f>IF((P141=""),"",MAX(D142:P142))</f>
        <v>1863.94</v>
      </c>
      <c r="R140" s="70">
        <f>IF(P141="","",MIN(D142:P142))</f>
        <v>1789.0999999999995</v>
      </c>
      <c r="S140" s="70">
        <f>IF((P142=""),"",AVERAGE(D142:P142))</f>
        <v>1842.6446153846155</v>
      </c>
      <c r="T140" s="70">
        <f>IF((P141=""),"",STDEV(D142:P142))</f>
        <v>21.301776379491322</v>
      </c>
      <c r="U140" s="97">
        <f>IF((P141=""),"",((Q140-R140)/(Q140+R140))*100)</f>
        <v>2.0487046405185985</v>
      </c>
      <c r="V140" s="71" t="str">
        <f>IF(P141="","",IF(U140&lt;7.2,IF(S140&gt;1700,IF(S140&lt;2100,"Pass","Fail"),"Fail"),"Fail"))</f>
        <v>Pass</v>
      </c>
      <c r="W140" s="72">
        <v>1428</v>
      </c>
      <c r="X140" s="130"/>
      <c r="Z140" s="73">
        <v>1600</v>
      </c>
      <c r="AA140" s="73">
        <v>2600</v>
      </c>
      <c r="AB140" s="74">
        <v>1700</v>
      </c>
      <c r="AC140" s="74">
        <v>2100</v>
      </c>
      <c r="AD140" s="67">
        <v>10</v>
      </c>
      <c r="AE140" s="67">
        <v>7.2</v>
      </c>
    </row>
    <row r="141" spans="1:31" ht="15.75">
      <c r="A141"/>
      <c r="B141" s="64"/>
      <c r="C141" s="64" t="s">
        <v>78</v>
      </c>
      <c r="D141" s="49">
        <v>1534.43</v>
      </c>
      <c r="E141" s="49">
        <v>1431.54</v>
      </c>
      <c r="F141" s="49">
        <v>1416.97</v>
      </c>
      <c r="G141" s="49">
        <v>1411.03</v>
      </c>
      <c r="H141" s="49">
        <v>1491.25</v>
      </c>
      <c r="I141" s="49">
        <v>1484.69</v>
      </c>
      <c r="J141" s="49">
        <v>1418.47</v>
      </c>
      <c r="K141" s="49">
        <v>1425.09</v>
      </c>
      <c r="L141" s="49">
        <v>1510.65</v>
      </c>
      <c r="M141" s="49">
        <v>1435.99</v>
      </c>
      <c r="N141" s="49">
        <v>1418.54</v>
      </c>
      <c r="O141" s="49">
        <v>1413.86</v>
      </c>
      <c r="P141" s="49">
        <v>1438.57</v>
      </c>
      <c r="Q141" s="64"/>
      <c r="R141" s="64"/>
      <c r="S141" s="64"/>
      <c r="T141" s="64"/>
      <c r="U141" s="98"/>
      <c r="V141" s="75"/>
      <c r="W141" s="76"/>
      <c r="X141" s="298"/>
    </row>
    <row r="142" spans="1:31" ht="60.75" thickBot="1">
      <c r="A142"/>
      <c r="B142" s="77"/>
      <c r="C142" s="77" t="s">
        <v>79</v>
      </c>
      <c r="D142" s="78">
        <f t="shared" ref="D142:P142" si="43">IF(((D140="")*AND(D141="")),"",(D140-D141)*2)</f>
        <v>1815.6399999999999</v>
      </c>
      <c r="E142" s="78">
        <f t="shared" si="43"/>
        <v>1852.6400000000003</v>
      </c>
      <c r="F142" s="78">
        <f t="shared" si="43"/>
        <v>1851.3200000000002</v>
      </c>
      <c r="G142" s="78">
        <f t="shared" si="43"/>
        <v>1863.94</v>
      </c>
      <c r="H142" s="78">
        <f t="shared" si="43"/>
        <v>1826.7200000000003</v>
      </c>
      <c r="I142" s="78">
        <f t="shared" si="43"/>
        <v>1832.12</v>
      </c>
      <c r="J142" s="78">
        <f t="shared" si="43"/>
        <v>1854.6799999999998</v>
      </c>
      <c r="K142" s="78">
        <f t="shared" si="43"/>
        <v>1848.1200000000003</v>
      </c>
      <c r="L142" s="78">
        <f t="shared" si="43"/>
        <v>1789.0999999999995</v>
      </c>
      <c r="M142" s="78">
        <f t="shared" si="43"/>
        <v>1850.3200000000002</v>
      </c>
      <c r="N142" s="78">
        <f t="shared" si="43"/>
        <v>1854.96</v>
      </c>
      <c r="O142" s="78">
        <f t="shared" si="43"/>
        <v>1861.56</v>
      </c>
      <c r="P142" s="78">
        <f t="shared" si="43"/>
        <v>1853.2599999999998</v>
      </c>
      <c r="Q142" s="88"/>
      <c r="R142" s="77"/>
      <c r="S142" s="77"/>
      <c r="T142" s="77"/>
      <c r="U142" s="99"/>
      <c r="V142" s="79"/>
      <c r="W142" s="80"/>
      <c r="X142" s="298"/>
    </row>
    <row r="143" spans="1:31">
      <c r="A143" s="68">
        <v>43348</v>
      </c>
      <c r="B143" s="69" t="s">
        <v>76</v>
      </c>
      <c r="C143" s="70" t="s">
        <v>77</v>
      </c>
      <c r="D143" s="49">
        <v>2445.19</v>
      </c>
      <c r="E143" s="49">
        <v>2355.9699999999998</v>
      </c>
      <c r="F143" s="49">
        <v>2340.61</v>
      </c>
      <c r="G143" s="49">
        <v>2342.16</v>
      </c>
      <c r="H143" s="49">
        <v>2404.0500000000002</v>
      </c>
      <c r="I143" s="49">
        <v>2401.38</v>
      </c>
      <c r="J143" s="49">
        <v>2346.0300000000002</v>
      </c>
      <c r="K143" s="49">
        <v>2348.27</v>
      </c>
      <c r="L143" s="49">
        <v>2406.37</v>
      </c>
      <c r="M143" s="49">
        <v>2360.9299999999998</v>
      </c>
      <c r="N143" s="49">
        <v>2349.9299999999998</v>
      </c>
      <c r="O143" s="49">
        <v>2347.9899999999998</v>
      </c>
      <c r="P143" s="49">
        <v>2364.12</v>
      </c>
      <c r="Q143" s="70">
        <f>IF((P144=""),"",MAX(D145:P145))</f>
        <v>1875.6399999999999</v>
      </c>
      <c r="R143" s="70">
        <f>IF(P144="","",MIN(D145:P145))</f>
        <v>1803.9799999999996</v>
      </c>
      <c r="S143" s="70">
        <f>IF((P145=""),"",AVERAGE(D145:P145))</f>
        <v>1855.2015384615383</v>
      </c>
      <c r="T143" s="70">
        <f>IF((P144=""),"",STDEV(D145:P145))</f>
        <v>21.398988233925966</v>
      </c>
      <c r="U143" s="97">
        <f>IF((P144=""),"",((Q143-R143)/(Q143+R143))*100)</f>
        <v>1.9474837075567673</v>
      </c>
      <c r="V143" s="71" t="str">
        <f>IF(P144="","",IF(U143&lt;7.2,IF(S143&gt;1700,IF(S143&lt;2100,"Pass","Fail"),"Fail"),"Fail"))</f>
        <v>Pass</v>
      </c>
      <c r="W143" s="72">
        <v>121</v>
      </c>
      <c r="X143" s="130"/>
      <c r="Z143" s="73">
        <v>1600</v>
      </c>
      <c r="AA143" s="73">
        <v>2600</v>
      </c>
      <c r="AB143" s="74">
        <v>1700</v>
      </c>
      <c r="AC143" s="74">
        <v>2100</v>
      </c>
      <c r="AD143" s="67">
        <v>10</v>
      </c>
      <c r="AE143" s="67">
        <v>7.2</v>
      </c>
    </row>
    <row r="144" spans="1:31" ht="15.75">
      <c r="A144"/>
      <c r="B144" s="64"/>
      <c r="C144" s="64" t="s">
        <v>78</v>
      </c>
      <c r="D144" s="49">
        <v>1531.02</v>
      </c>
      <c r="E144" s="49">
        <v>1424.83</v>
      </c>
      <c r="F144" s="49">
        <v>1410.67</v>
      </c>
      <c r="G144" s="49">
        <v>1404.34</v>
      </c>
      <c r="H144" s="49">
        <v>1488.38</v>
      </c>
      <c r="I144" s="49">
        <v>1473.5</v>
      </c>
      <c r="J144" s="49">
        <v>1414.39</v>
      </c>
      <c r="K144" s="49">
        <v>1416.25</v>
      </c>
      <c r="L144" s="49">
        <v>1504.38</v>
      </c>
      <c r="M144" s="49">
        <v>1427.85</v>
      </c>
      <c r="N144" s="49">
        <v>1412.13</v>
      </c>
      <c r="O144" s="49">
        <v>1410.26</v>
      </c>
      <c r="P144" s="49">
        <v>1436.19</v>
      </c>
      <c r="Q144" s="64"/>
      <c r="R144" s="64"/>
      <c r="S144" s="64"/>
      <c r="T144" s="64"/>
      <c r="U144" s="98"/>
      <c r="V144" s="75"/>
      <c r="W144" s="76"/>
      <c r="X144" s="298"/>
    </row>
    <row r="145" spans="1:31" ht="60.75" thickBot="1">
      <c r="A145"/>
      <c r="B145" s="77"/>
      <c r="C145" s="77" t="s">
        <v>79</v>
      </c>
      <c r="D145" s="78">
        <f t="shared" ref="D145:P145" si="44">IF(((D143="")*AND(D144="")),"",(D143-D144)*2)</f>
        <v>1828.3400000000001</v>
      </c>
      <c r="E145" s="78">
        <f t="shared" si="44"/>
        <v>1862.2799999999997</v>
      </c>
      <c r="F145" s="78">
        <f t="shared" si="44"/>
        <v>1859.88</v>
      </c>
      <c r="G145" s="78">
        <f t="shared" si="44"/>
        <v>1875.6399999999999</v>
      </c>
      <c r="H145" s="78">
        <f t="shared" si="44"/>
        <v>1831.3400000000001</v>
      </c>
      <c r="I145" s="78">
        <f t="shared" si="44"/>
        <v>1855.7600000000002</v>
      </c>
      <c r="J145" s="78">
        <f t="shared" si="44"/>
        <v>1863.2800000000002</v>
      </c>
      <c r="K145" s="78">
        <f t="shared" si="44"/>
        <v>1864.04</v>
      </c>
      <c r="L145" s="78">
        <f t="shared" si="44"/>
        <v>1803.9799999999996</v>
      </c>
      <c r="M145" s="78">
        <f t="shared" si="44"/>
        <v>1866.1599999999999</v>
      </c>
      <c r="N145" s="78">
        <f t="shared" si="44"/>
        <v>1875.5999999999995</v>
      </c>
      <c r="O145" s="78">
        <f t="shared" si="44"/>
        <v>1875.4599999999996</v>
      </c>
      <c r="P145" s="78">
        <f t="shared" si="44"/>
        <v>1855.8599999999997</v>
      </c>
      <c r="Q145" s="88"/>
      <c r="R145" s="77"/>
      <c r="S145" s="77"/>
      <c r="T145" s="77"/>
      <c r="U145" s="99"/>
      <c r="V145" s="79"/>
      <c r="W145" s="80"/>
      <c r="X145" s="298"/>
    </row>
    <row r="146" spans="1:31">
      <c r="A146" s="68">
        <v>43352</v>
      </c>
      <c r="B146" s="69" t="s">
        <v>76</v>
      </c>
      <c r="C146" s="70" t="s">
        <v>77</v>
      </c>
      <c r="D146" s="49">
        <v>2443.3000000000002</v>
      </c>
      <c r="E146" s="49">
        <v>2355.52</v>
      </c>
      <c r="F146" s="49">
        <v>2342.67</v>
      </c>
      <c r="G146" s="49">
        <v>2341.63</v>
      </c>
      <c r="H146" s="49">
        <v>2400.81</v>
      </c>
      <c r="I146" s="49">
        <v>2399.6</v>
      </c>
      <c r="J146" s="49">
        <v>2344.5</v>
      </c>
      <c r="K146" s="49">
        <v>2347.59</v>
      </c>
      <c r="L146" s="49">
        <v>2409.9</v>
      </c>
      <c r="M146" s="49">
        <v>2357.14</v>
      </c>
      <c r="N146" s="49">
        <v>2348.5700000000002</v>
      </c>
      <c r="O146" s="49">
        <v>2347.56</v>
      </c>
      <c r="P146" s="49">
        <v>2365.52</v>
      </c>
      <c r="Q146" s="70">
        <f>IF((P147=""),"",MAX(D148:P148))</f>
        <v>2025.9800000000005</v>
      </c>
      <c r="R146" s="70">
        <f>IF(P147="","",MIN(D148:P148))</f>
        <v>1906.7600000000002</v>
      </c>
      <c r="S146" s="70">
        <f>IF((P148=""),"",AVERAGE(D148:P148))</f>
        <v>1992.4461538461544</v>
      </c>
      <c r="T146" s="70">
        <f>IF((P147=""),"",STDEV(D148:P148))</f>
        <v>34.053254748588323</v>
      </c>
      <c r="U146" s="97">
        <f>IF((P147=""),"",((Q146-R146)/(Q146+R146))*100)</f>
        <v>3.0314742393344138</v>
      </c>
      <c r="V146" s="71" t="str">
        <f>IF(P147="","",IF(U146&lt;7.2,IF(S146&gt;1700,IF(S146&lt;2100,"Pass","Fail"),"Fail"),"Fail"))</f>
        <v>Pass</v>
      </c>
      <c r="W146" s="72">
        <v>74</v>
      </c>
      <c r="X146" s="130"/>
      <c r="Z146" s="73">
        <v>1600</v>
      </c>
      <c r="AA146" s="73">
        <v>2600</v>
      </c>
      <c r="AB146" s="74">
        <v>1700</v>
      </c>
      <c r="AC146" s="74">
        <v>2100</v>
      </c>
      <c r="AD146" s="67">
        <v>10</v>
      </c>
      <c r="AE146" s="67">
        <v>7.2</v>
      </c>
    </row>
    <row r="147" spans="1:31" ht="15.75">
      <c r="A147"/>
      <c r="B147" s="64"/>
      <c r="C147" s="64" t="s">
        <v>78</v>
      </c>
      <c r="D147" s="49">
        <v>1471.91</v>
      </c>
      <c r="E147" s="49">
        <v>1357.3</v>
      </c>
      <c r="F147" s="49">
        <v>1337.05</v>
      </c>
      <c r="G147" s="49">
        <v>1330.25</v>
      </c>
      <c r="H147" s="49">
        <v>1404.54</v>
      </c>
      <c r="I147" s="49">
        <v>1412.31</v>
      </c>
      <c r="J147" s="49">
        <v>1341.03</v>
      </c>
      <c r="K147" s="49">
        <v>1344.65</v>
      </c>
      <c r="L147" s="49">
        <v>1456.52</v>
      </c>
      <c r="M147" s="49">
        <v>1361.58</v>
      </c>
      <c r="N147" s="49">
        <v>1335.58</v>
      </c>
      <c r="O147" s="49">
        <v>1336.53</v>
      </c>
      <c r="P147" s="49">
        <v>1364.16</v>
      </c>
      <c r="Q147" s="64"/>
      <c r="R147" s="64"/>
      <c r="S147" s="64"/>
      <c r="T147" s="64"/>
      <c r="U147" s="98"/>
      <c r="V147" s="75"/>
      <c r="W147" s="76"/>
      <c r="X147" s="298"/>
    </row>
    <row r="148" spans="1:31" ht="60.75" thickBot="1">
      <c r="A148"/>
      <c r="B148" s="77"/>
      <c r="C148" s="77" t="s">
        <v>79</v>
      </c>
      <c r="D148" s="78">
        <f t="shared" ref="D148:P148" si="45">IF(((D146="")*AND(D147="")),"",(D146-D147)*2)</f>
        <v>1942.7800000000002</v>
      </c>
      <c r="E148" s="78">
        <f t="shared" si="45"/>
        <v>1996.44</v>
      </c>
      <c r="F148" s="78">
        <f t="shared" si="45"/>
        <v>2011.2400000000002</v>
      </c>
      <c r="G148" s="78">
        <f t="shared" si="45"/>
        <v>2022.7600000000002</v>
      </c>
      <c r="H148" s="78">
        <f t="shared" si="45"/>
        <v>1992.54</v>
      </c>
      <c r="I148" s="78">
        <f t="shared" si="45"/>
        <v>1974.58</v>
      </c>
      <c r="J148" s="78">
        <f t="shared" si="45"/>
        <v>2006.94</v>
      </c>
      <c r="K148" s="78">
        <f t="shared" si="45"/>
        <v>2005.88</v>
      </c>
      <c r="L148" s="78">
        <f t="shared" si="45"/>
        <v>1906.7600000000002</v>
      </c>
      <c r="M148" s="78">
        <f t="shared" si="45"/>
        <v>1991.12</v>
      </c>
      <c r="N148" s="78">
        <f t="shared" si="45"/>
        <v>2025.9800000000005</v>
      </c>
      <c r="O148" s="78">
        <f t="shared" si="45"/>
        <v>2022.06</v>
      </c>
      <c r="P148" s="78">
        <f t="shared" si="45"/>
        <v>2002.7199999999998</v>
      </c>
      <c r="Q148" s="88"/>
      <c r="R148" s="77"/>
      <c r="S148" s="77"/>
      <c r="T148" s="77"/>
      <c r="U148" s="99"/>
      <c r="V148" s="79"/>
      <c r="W148" s="80"/>
      <c r="X148" s="298"/>
    </row>
    <row r="149" spans="1:31">
      <c r="A149" s="68">
        <v>43357</v>
      </c>
      <c r="B149" s="69" t="s">
        <v>76</v>
      </c>
      <c r="C149" s="70" t="s">
        <v>77</v>
      </c>
      <c r="D149" s="49">
        <v>2441.19</v>
      </c>
      <c r="E149" s="49">
        <v>2354.42</v>
      </c>
      <c r="F149" s="49">
        <v>2337.41</v>
      </c>
      <c r="G149" s="49">
        <v>2337.15</v>
      </c>
      <c r="H149" s="49">
        <v>2392.25</v>
      </c>
      <c r="I149" s="49">
        <v>2397.44</v>
      </c>
      <c r="J149" s="49">
        <v>2341.16</v>
      </c>
      <c r="K149" s="49">
        <v>2343.7199999999998</v>
      </c>
      <c r="L149" s="49">
        <v>2399.0100000000002</v>
      </c>
      <c r="M149" s="49">
        <v>2361.19</v>
      </c>
      <c r="N149" s="49">
        <v>2346.04</v>
      </c>
      <c r="O149" s="49">
        <v>2341.2199999999998</v>
      </c>
      <c r="P149" s="49">
        <v>2362.37</v>
      </c>
      <c r="Q149" s="70">
        <f>IF((P150=""),"",MAX(D151:P151))</f>
        <v>2028.2200000000003</v>
      </c>
      <c r="R149" s="70">
        <f>IF(P150="","",MIN(D151:P151))</f>
        <v>1911.4600000000005</v>
      </c>
      <c r="S149" s="70">
        <f>IF((P151=""),"",AVERAGE(D151:P151))</f>
        <v>1992.3507692307689</v>
      </c>
      <c r="T149" s="70">
        <f>IF((P150=""),"",STDEV(D151:P151))</f>
        <v>32.440160927878914</v>
      </c>
      <c r="U149" s="97">
        <f>IF((P150=""),"",((Q149-R149)/(Q149+R149))*100)</f>
        <v>2.9636924826381774</v>
      </c>
      <c r="V149" s="71" t="str">
        <f>IF(P150="","",IF(U149&lt;7.2,IF(S149&gt;1700,IF(S149&lt;2100,"Pass","Fail"),"Fail"),"Fail"))</f>
        <v>Pass</v>
      </c>
      <c r="W149" s="72">
        <v>1159</v>
      </c>
      <c r="X149" s="375" t="s">
        <v>92</v>
      </c>
      <c r="Z149" s="73">
        <v>1600</v>
      </c>
      <c r="AA149" s="73">
        <v>2600</v>
      </c>
      <c r="AB149" s="74">
        <v>1700</v>
      </c>
      <c r="AC149" s="74">
        <v>2100</v>
      </c>
      <c r="AD149" s="67">
        <v>10</v>
      </c>
      <c r="AE149" s="67">
        <v>7.2</v>
      </c>
    </row>
    <row r="150" spans="1:31" ht="15.75">
      <c r="A150"/>
      <c r="B150" s="64"/>
      <c r="C150" s="64" t="s">
        <v>78</v>
      </c>
      <c r="D150" s="49">
        <v>1467.67</v>
      </c>
      <c r="E150" s="49">
        <v>1356.72</v>
      </c>
      <c r="F150" s="49">
        <v>1332.57</v>
      </c>
      <c r="G150" s="49">
        <v>1323.04</v>
      </c>
      <c r="H150" s="49">
        <v>1405.93</v>
      </c>
      <c r="I150" s="49">
        <v>1403.24</v>
      </c>
      <c r="J150" s="49">
        <v>1339.23</v>
      </c>
      <c r="K150" s="49">
        <v>1344.84</v>
      </c>
      <c r="L150" s="49">
        <v>1443.28</v>
      </c>
      <c r="M150" s="49">
        <v>1361.5</v>
      </c>
      <c r="N150" s="49">
        <v>1332.92</v>
      </c>
      <c r="O150" s="49">
        <v>1334.1</v>
      </c>
      <c r="P150" s="49">
        <v>1359.25</v>
      </c>
      <c r="Q150" s="64"/>
      <c r="R150" s="64"/>
      <c r="S150" s="64"/>
      <c r="T150" s="64"/>
      <c r="U150" s="98"/>
      <c r="V150" s="75"/>
      <c r="W150" s="76"/>
      <c r="X150" s="298"/>
    </row>
    <row r="151" spans="1:31" ht="60.75" thickBot="1">
      <c r="A151"/>
      <c r="B151" s="77"/>
      <c r="C151" s="77" t="s">
        <v>79</v>
      </c>
      <c r="D151" s="78">
        <f t="shared" ref="D151:P151" si="46">IF(((D149="")*AND(D150="")),"",(D149-D150)*2)</f>
        <v>1947.04</v>
      </c>
      <c r="E151" s="78">
        <f t="shared" si="46"/>
        <v>1995.4</v>
      </c>
      <c r="F151" s="78">
        <f t="shared" si="46"/>
        <v>2009.6799999999998</v>
      </c>
      <c r="G151" s="78">
        <f t="shared" si="46"/>
        <v>2028.2200000000003</v>
      </c>
      <c r="H151" s="78">
        <f t="shared" si="46"/>
        <v>1972.6399999999999</v>
      </c>
      <c r="I151" s="78">
        <f t="shared" si="46"/>
        <v>1988.4</v>
      </c>
      <c r="J151" s="78">
        <f t="shared" si="46"/>
        <v>2003.8599999999997</v>
      </c>
      <c r="K151" s="78">
        <f t="shared" si="46"/>
        <v>1997.7599999999998</v>
      </c>
      <c r="L151" s="78">
        <f t="shared" si="46"/>
        <v>1911.4600000000005</v>
      </c>
      <c r="M151" s="78">
        <f t="shared" si="46"/>
        <v>1999.38</v>
      </c>
      <c r="N151" s="78">
        <f t="shared" si="46"/>
        <v>2026.2399999999998</v>
      </c>
      <c r="O151" s="78">
        <f t="shared" si="46"/>
        <v>2014.2399999999998</v>
      </c>
      <c r="P151" s="78">
        <f t="shared" si="46"/>
        <v>2006.2399999999998</v>
      </c>
      <c r="Q151" s="88"/>
      <c r="R151" s="77"/>
      <c r="S151" s="77"/>
      <c r="T151" s="77"/>
      <c r="U151" s="99"/>
      <c r="V151" s="79"/>
      <c r="W151" s="80"/>
      <c r="X151" s="298"/>
    </row>
    <row r="152" spans="1:31">
      <c r="A152" s="68">
        <v>43362</v>
      </c>
      <c r="B152" s="69" t="s">
        <v>76</v>
      </c>
      <c r="C152" s="70" t="s">
        <v>77</v>
      </c>
      <c r="D152" s="49">
        <v>2411.4299999999998</v>
      </c>
      <c r="E152" s="49">
        <v>2319.92</v>
      </c>
      <c r="F152" s="49">
        <v>2305.81</v>
      </c>
      <c r="G152" s="49">
        <v>2308.12</v>
      </c>
      <c r="H152" s="49">
        <v>2384.88</v>
      </c>
      <c r="I152" s="49">
        <v>2377.88</v>
      </c>
      <c r="J152" s="49">
        <v>2312.21</v>
      </c>
      <c r="K152" s="49">
        <v>2311.02</v>
      </c>
      <c r="L152" s="49">
        <v>2372.4699999999998</v>
      </c>
      <c r="M152" s="49">
        <v>2326.98</v>
      </c>
      <c r="N152" s="49">
        <v>2313.96</v>
      </c>
      <c r="O152" s="49">
        <v>2318.25</v>
      </c>
      <c r="P152" s="49">
        <v>2327.08</v>
      </c>
      <c r="Q152" s="70">
        <f>IF((P153=""),"",MAX(D154:P154))</f>
        <v>1791.7000000000003</v>
      </c>
      <c r="R152" s="70">
        <f>IF(P153="","",MIN(D154:P154))</f>
        <v>1737.0399999999995</v>
      </c>
      <c r="S152" s="70">
        <f>IF((P154=""),"",AVERAGE(D154:P154))</f>
        <v>1775.621538461538</v>
      </c>
      <c r="T152" s="70">
        <f>IF((P153=""),"",STDEV(D154:P154))</f>
        <v>14.848608153762923</v>
      </c>
      <c r="U152" s="97">
        <f>IF((P153=""),"",((Q152-R152)/(Q152+R152))*100)</f>
        <v>1.5489948253484465</v>
      </c>
      <c r="V152" s="71" t="str">
        <f>IF(P153="","",IF(U152&lt;7.2,IF(S152&gt;1700,IF(S152&lt;2100,"Pass","Fail"),"Fail"),"Fail"))</f>
        <v>Pass</v>
      </c>
      <c r="W152" s="72">
        <v>1340</v>
      </c>
      <c r="X152" s="130"/>
      <c r="Z152" s="73">
        <v>1600</v>
      </c>
      <c r="AA152" s="73">
        <v>2600</v>
      </c>
      <c r="AB152" s="74">
        <v>1700</v>
      </c>
      <c r="AC152" s="74">
        <v>2100</v>
      </c>
      <c r="AD152" s="67">
        <v>10</v>
      </c>
      <c r="AE152" s="67">
        <v>7.2</v>
      </c>
    </row>
    <row r="153" spans="1:31" ht="15.75">
      <c r="A153"/>
      <c r="B153" s="64"/>
      <c r="C153" s="64" t="s">
        <v>78</v>
      </c>
      <c r="D153" s="49">
        <v>1528.91</v>
      </c>
      <c r="E153" s="49">
        <v>1429.67</v>
      </c>
      <c r="F153" s="49">
        <v>1413.85</v>
      </c>
      <c r="G153" s="49">
        <v>1414.1</v>
      </c>
      <c r="H153" s="49">
        <v>1504.15</v>
      </c>
      <c r="I153" s="49">
        <v>1493.23</v>
      </c>
      <c r="J153" s="49">
        <v>1419.89</v>
      </c>
      <c r="K153" s="49">
        <v>1424.21</v>
      </c>
      <c r="L153" s="49">
        <v>1503.95</v>
      </c>
      <c r="M153" s="49">
        <v>1437.02</v>
      </c>
      <c r="N153" s="49">
        <v>1418.11</v>
      </c>
      <c r="O153" s="49">
        <v>1423.61</v>
      </c>
      <c r="P153" s="49">
        <v>1437.77</v>
      </c>
      <c r="Q153" s="64"/>
      <c r="R153" s="64"/>
      <c r="S153" s="64"/>
      <c r="T153" s="64"/>
      <c r="U153" s="98"/>
      <c r="V153" s="75"/>
      <c r="W153" s="76"/>
      <c r="X153" s="298"/>
    </row>
    <row r="154" spans="1:31" ht="60.75" thickBot="1">
      <c r="A154"/>
      <c r="B154" s="77"/>
      <c r="C154" s="77" t="s">
        <v>79</v>
      </c>
      <c r="D154" s="78">
        <f t="shared" ref="D154:P154" si="47">IF(((D152="")*AND(D153="")),"",(D152-D153)*2)</f>
        <v>1765.0399999999995</v>
      </c>
      <c r="E154" s="78">
        <f t="shared" si="47"/>
        <v>1780.5</v>
      </c>
      <c r="F154" s="78">
        <f t="shared" si="47"/>
        <v>1783.92</v>
      </c>
      <c r="G154" s="78">
        <f t="shared" si="47"/>
        <v>1788.04</v>
      </c>
      <c r="H154" s="78">
        <f t="shared" si="47"/>
        <v>1761.46</v>
      </c>
      <c r="I154" s="78">
        <f t="shared" si="47"/>
        <v>1769.3000000000002</v>
      </c>
      <c r="J154" s="78">
        <f t="shared" si="47"/>
        <v>1784.6399999999999</v>
      </c>
      <c r="K154" s="78">
        <f t="shared" si="47"/>
        <v>1773.62</v>
      </c>
      <c r="L154" s="78">
        <f t="shared" si="47"/>
        <v>1737.0399999999995</v>
      </c>
      <c r="M154" s="78">
        <f t="shared" si="47"/>
        <v>1779.92</v>
      </c>
      <c r="N154" s="78">
        <f t="shared" si="47"/>
        <v>1791.7000000000003</v>
      </c>
      <c r="O154" s="78">
        <f t="shared" si="47"/>
        <v>1789.2800000000002</v>
      </c>
      <c r="P154" s="78">
        <f t="shared" si="47"/>
        <v>1778.62</v>
      </c>
      <c r="Q154" s="88"/>
      <c r="R154" s="77"/>
      <c r="S154" s="77"/>
      <c r="T154" s="77"/>
      <c r="U154" s="99"/>
      <c r="V154" s="79"/>
      <c r="W154" s="80"/>
      <c r="X154" s="298"/>
    </row>
    <row r="155" spans="1:31">
      <c r="A155" s="68">
        <v>43367</v>
      </c>
      <c r="B155" s="69" t="s">
        <v>76</v>
      </c>
      <c r="C155" s="70" t="s">
        <v>77</v>
      </c>
      <c r="D155" s="49">
        <v>2420.2600000000002</v>
      </c>
      <c r="E155" s="49">
        <v>2329.7800000000002</v>
      </c>
      <c r="F155" s="49">
        <v>2313.59</v>
      </c>
      <c r="G155" s="49">
        <v>2315.14</v>
      </c>
      <c r="H155" s="49">
        <v>2380.8200000000002</v>
      </c>
      <c r="I155" s="49">
        <v>2381.09</v>
      </c>
      <c r="J155" s="49">
        <v>2319.0500000000002</v>
      </c>
      <c r="K155" s="49">
        <v>2323</v>
      </c>
      <c r="L155" s="49">
        <v>2392.2600000000002</v>
      </c>
      <c r="M155" s="49">
        <v>2333.0300000000002</v>
      </c>
      <c r="N155" s="49">
        <v>2323.42</v>
      </c>
      <c r="O155" s="49">
        <v>2324.0700000000002</v>
      </c>
      <c r="P155" s="49">
        <v>2339.98</v>
      </c>
      <c r="Q155" s="70">
        <f>IF((P156=""),"",MAX(D157:P157))</f>
        <v>1988.2200000000003</v>
      </c>
      <c r="R155" s="70">
        <f>IF(P156="","",MIN(D157:P157))</f>
        <v>1890.8000000000006</v>
      </c>
      <c r="S155" s="70">
        <f>IF((P157=""),"",AVERAGE(D157:P157))</f>
        <v>1964.7707692307695</v>
      </c>
      <c r="T155" s="70">
        <f>IF((P156=""),"",STDEV(D157:P157))</f>
        <v>30.707261481465526</v>
      </c>
      <c r="U155" s="97">
        <f>IF((P156=""),"",((Q155-R155)/(Q155+R155))*100)</f>
        <v>2.5114590798706788</v>
      </c>
      <c r="V155" s="71" t="str">
        <f>IF(P156="","",IF(U155&lt;7.2,IF(S155&gt;1700,IF(S155&lt;2100,"Pass","Fail"),"Fail"),"Fail"))</f>
        <v>Pass</v>
      </c>
      <c r="W155" s="72">
        <v>1340</v>
      </c>
      <c r="X155" s="130"/>
      <c r="Z155" s="73">
        <v>1600</v>
      </c>
      <c r="AA155" s="73">
        <v>2600</v>
      </c>
      <c r="AB155" s="74">
        <v>1700</v>
      </c>
      <c r="AC155" s="74">
        <v>2100</v>
      </c>
      <c r="AD155" s="67">
        <v>10</v>
      </c>
      <c r="AE155" s="67">
        <v>7.2</v>
      </c>
    </row>
    <row r="156" spans="1:31" ht="15.75">
      <c r="A156"/>
      <c r="B156" s="64"/>
      <c r="C156" s="64" t="s">
        <v>78</v>
      </c>
      <c r="D156" s="49">
        <v>1466.06</v>
      </c>
      <c r="E156" s="49">
        <v>1342.05</v>
      </c>
      <c r="F156" s="49">
        <v>1325.71</v>
      </c>
      <c r="G156" s="49">
        <v>1322.85</v>
      </c>
      <c r="H156" s="49">
        <v>1394.68</v>
      </c>
      <c r="I156" s="49">
        <v>1405.8</v>
      </c>
      <c r="J156" s="49">
        <v>1330.03</v>
      </c>
      <c r="K156" s="49">
        <v>1330.11</v>
      </c>
      <c r="L156" s="49">
        <v>1446.86</v>
      </c>
      <c r="M156" s="49">
        <v>1347.87</v>
      </c>
      <c r="N156" s="49">
        <v>1329.31</v>
      </c>
      <c r="O156" s="49">
        <v>1330.83</v>
      </c>
      <c r="P156" s="49">
        <v>1352.32</v>
      </c>
      <c r="Q156" s="64"/>
      <c r="R156" s="64"/>
      <c r="S156" s="64"/>
      <c r="T156" s="64"/>
      <c r="U156" s="98"/>
      <c r="V156" s="75"/>
      <c r="W156" s="76"/>
      <c r="X156" s="298"/>
    </row>
    <row r="157" spans="1:31" ht="60.75" thickBot="1">
      <c r="A157"/>
      <c r="B157" s="77"/>
      <c r="C157" s="77" t="s">
        <v>79</v>
      </c>
      <c r="D157" s="78">
        <f t="shared" ref="D157:P157" si="48">IF(((D155="")*AND(D156="")),"",(D155-D156)*2)</f>
        <v>1908.4000000000005</v>
      </c>
      <c r="E157" s="78">
        <f t="shared" si="48"/>
        <v>1975.4600000000005</v>
      </c>
      <c r="F157" s="78">
        <f t="shared" si="48"/>
        <v>1975.7600000000002</v>
      </c>
      <c r="G157" s="78">
        <f t="shared" si="48"/>
        <v>1984.58</v>
      </c>
      <c r="H157" s="78">
        <f t="shared" si="48"/>
        <v>1972.2800000000002</v>
      </c>
      <c r="I157" s="78">
        <f t="shared" si="48"/>
        <v>1950.5800000000004</v>
      </c>
      <c r="J157" s="78">
        <f t="shared" si="48"/>
        <v>1978.0400000000004</v>
      </c>
      <c r="K157" s="78">
        <f t="shared" si="48"/>
        <v>1985.7800000000002</v>
      </c>
      <c r="L157" s="78">
        <f t="shared" si="48"/>
        <v>1890.8000000000006</v>
      </c>
      <c r="M157" s="78">
        <f t="shared" si="48"/>
        <v>1970.3200000000006</v>
      </c>
      <c r="N157" s="78">
        <f t="shared" si="48"/>
        <v>1988.2200000000003</v>
      </c>
      <c r="O157" s="78">
        <f t="shared" si="48"/>
        <v>1986.4800000000005</v>
      </c>
      <c r="P157" s="78">
        <f t="shared" si="48"/>
        <v>1975.3200000000002</v>
      </c>
      <c r="Q157" s="88"/>
      <c r="R157" s="77"/>
      <c r="S157" s="77"/>
      <c r="T157" s="77"/>
      <c r="U157" s="99"/>
      <c r="V157" s="79"/>
      <c r="W157" s="80"/>
      <c r="X157" s="298"/>
    </row>
    <row r="158" spans="1:31">
      <c r="A158" s="68">
        <v>43370</v>
      </c>
      <c r="B158" s="69" t="s">
        <v>76</v>
      </c>
      <c r="C158" s="70" t="s">
        <v>77</v>
      </c>
      <c r="D158" s="49">
        <v>2416.54</v>
      </c>
      <c r="E158" s="49">
        <v>2327.41</v>
      </c>
      <c r="F158" s="49">
        <v>2310.88</v>
      </c>
      <c r="G158" s="49">
        <v>2314.6799999999998</v>
      </c>
      <c r="H158" s="49">
        <v>2384.21</v>
      </c>
      <c r="I158" s="49">
        <v>2384.44</v>
      </c>
      <c r="J158" s="49">
        <v>2316.04</v>
      </c>
      <c r="K158" s="49">
        <v>2319.36</v>
      </c>
      <c r="L158" s="49">
        <v>2383.7199999999998</v>
      </c>
      <c r="M158" s="49">
        <v>2332.89</v>
      </c>
      <c r="N158" s="49">
        <v>2320.02</v>
      </c>
      <c r="O158" s="49">
        <v>2324.34</v>
      </c>
      <c r="P158" s="49">
        <v>2336.13</v>
      </c>
      <c r="Q158" s="70">
        <f>IF((P159=""),"",MAX(D160:P160))</f>
        <v>2074.06</v>
      </c>
      <c r="R158" s="70">
        <f>IF(P159="","",MIN(D160:P160))</f>
        <v>1952.0199999999995</v>
      </c>
      <c r="S158" s="70">
        <f>IF((P160=""),"",AVERAGE(D160:P160))</f>
        <v>2039.7584615384617</v>
      </c>
      <c r="T158" s="70">
        <f>IF((P159=""),"",STDEV(D160:P160))</f>
        <v>35.031053330368906</v>
      </c>
      <c r="U158" s="97">
        <f>IF((P159=""),"",((Q158-R158)/(Q158+R158))*100)</f>
        <v>3.0312363390692791</v>
      </c>
      <c r="V158" s="71" t="str">
        <f>IF(P159="","",IF(U158&lt;7.2,IF(S158&gt;1700,IF(S158&lt;2100,"Pass","Fail"),"Fail"),"Fail"))</f>
        <v>Pass</v>
      </c>
      <c r="W158" s="72">
        <v>1340</v>
      </c>
      <c r="X158" s="130"/>
      <c r="Z158" s="73">
        <v>1600</v>
      </c>
      <c r="AA158" s="73">
        <v>2600</v>
      </c>
      <c r="AB158" s="74">
        <v>1700</v>
      </c>
      <c r="AC158" s="74">
        <v>2100</v>
      </c>
      <c r="AD158" s="67">
        <v>10</v>
      </c>
      <c r="AE158" s="67">
        <v>7.2</v>
      </c>
    </row>
    <row r="159" spans="1:31" ht="15.75">
      <c r="A159"/>
      <c r="B159" s="64"/>
      <c r="C159" s="64" t="s">
        <v>78</v>
      </c>
      <c r="D159" s="49">
        <v>1424.57</v>
      </c>
      <c r="E159" s="49">
        <v>1305.4100000000001</v>
      </c>
      <c r="F159" s="49">
        <v>1285.3599999999999</v>
      </c>
      <c r="G159" s="49">
        <v>1280.9100000000001</v>
      </c>
      <c r="H159" s="49">
        <v>1357.12</v>
      </c>
      <c r="I159" s="49">
        <v>1372.91</v>
      </c>
      <c r="J159" s="49">
        <v>1293.96</v>
      </c>
      <c r="K159" s="49">
        <v>1292.1199999999999</v>
      </c>
      <c r="L159" s="49">
        <v>1407.71</v>
      </c>
      <c r="M159" s="49">
        <v>1306.3800000000001</v>
      </c>
      <c r="N159" s="49">
        <v>1282.99</v>
      </c>
      <c r="O159" s="49">
        <v>1289.6099999999999</v>
      </c>
      <c r="P159" s="49">
        <v>1313.18</v>
      </c>
      <c r="Q159" s="64"/>
      <c r="R159" s="64"/>
      <c r="S159" s="64"/>
      <c r="T159" s="64"/>
      <c r="U159" s="98"/>
      <c r="V159" s="75"/>
      <c r="W159" s="76"/>
      <c r="X159" s="298"/>
      <c r="Z159" s="73">
        <v>1600</v>
      </c>
      <c r="AA159" s="73">
        <v>2600</v>
      </c>
      <c r="AB159" s="74">
        <v>1700</v>
      </c>
      <c r="AC159" s="74">
        <v>2100</v>
      </c>
      <c r="AD159" s="67">
        <v>10</v>
      </c>
      <c r="AE159" s="67">
        <v>7.2</v>
      </c>
    </row>
    <row r="160" spans="1:31" ht="60.75" thickBot="1">
      <c r="A160"/>
      <c r="B160" s="77"/>
      <c r="C160" s="77" t="s">
        <v>79</v>
      </c>
      <c r="D160" s="78">
        <f t="shared" ref="D160:P160" si="49">IF(((D158="")*AND(D159="")),"",(D158-D159)*2)</f>
        <v>1983.94</v>
      </c>
      <c r="E160" s="78">
        <f t="shared" si="49"/>
        <v>2043.9999999999995</v>
      </c>
      <c r="F160" s="78">
        <f t="shared" si="49"/>
        <v>2051.0400000000004</v>
      </c>
      <c r="G160" s="78">
        <f t="shared" si="49"/>
        <v>2067.5399999999995</v>
      </c>
      <c r="H160" s="78">
        <f t="shared" si="49"/>
        <v>2054.1800000000003</v>
      </c>
      <c r="I160" s="78">
        <f t="shared" si="49"/>
        <v>2023.06</v>
      </c>
      <c r="J160" s="78">
        <f t="shared" si="49"/>
        <v>2044.1599999999999</v>
      </c>
      <c r="K160" s="78">
        <f t="shared" si="49"/>
        <v>2054.4800000000005</v>
      </c>
      <c r="L160" s="78">
        <f t="shared" si="49"/>
        <v>1952.0199999999995</v>
      </c>
      <c r="M160" s="78">
        <f t="shared" si="49"/>
        <v>2053.0199999999995</v>
      </c>
      <c r="N160" s="78">
        <f t="shared" si="49"/>
        <v>2074.06</v>
      </c>
      <c r="O160" s="78">
        <f t="shared" si="49"/>
        <v>2069.4600000000005</v>
      </c>
      <c r="P160" s="78">
        <f t="shared" si="49"/>
        <v>2045.9</v>
      </c>
      <c r="Q160" s="88"/>
      <c r="R160" s="77"/>
      <c r="S160" s="77"/>
      <c r="T160" s="77"/>
      <c r="U160" s="99"/>
      <c r="V160" s="79"/>
      <c r="W160" s="80"/>
      <c r="X160" s="298"/>
    </row>
    <row r="161" spans="1:31">
      <c r="A161" s="68">
        <v>43370</v>
      </c>
      <c r="B161" s="69" t="s">
        <v>76</v>
      </c>
      <c r="C161" s="70" t="s">
        <v>77</v>
      </c>
      <c r="D161" s="49">
        <v>1469.36</v>
      </c>
      <c r="E161" s="49">
        <v>1318.91</v>
      </c>
      <c r="F161" s="49">
        <v>1279.5</v>
      </c>
      <c r="G161" s="49">
        <v>1278.68</v>
      </c>
      <c r="H161" s="49">
        <v>1391.74</v>
      </c>
      <c r="I161" s="49">
        <v>1402.55</v>
      </c>
      <c r="J161" s="49">
        <v>1294.75</v>
      </c>
      <c r="K161" s="49">
        <v>1302.33</v>
      </c>
      <c r="L161" s="49">
        <v>1279.5</v>
      </c>
      <c r="M161" s="49">
        <v>1278.68</v>
      </c>
      <c r="N161" s="49">
        <v>1391.74</v>
      </c>
      <c r="O161" s="49">
        <v>1402.55</v>
      </c>
      <c r="P161" s="49">
        <v>1451.86</v>
      </c>
      <c r="Q161" s="70">
        <f>IF((P162=""),"",MAX(D163:P163))</f>
        <v>2071.9800000000005</v>
      </c>
      <c r="R161" s="70">
        <f>IF(P162="","",MIN(D163:P163))</f>
        <v>1917.7499999999995</v>
      </c>
      <c r="S161" s="70">
        <f>IF((P163=""),"",AVERAGE(D163:P163))</f>
        <v>2023.7100000000003</v>
      </c>
      <c r="T161" s="70">
        <f>IF((P162=""),"",STDEV(D163:P163))</f>
        <v>46.750618177716866</v>
      </c>
      <c r="U161" s="97">
        <f>IF((P162=""),"",((Q161-R161)/(Q161+R161))*100)</f>
        <v>3.8656751208728641</v>
      </c>
      <c r="V161" s="71" t="str">
        <f>IF(P162="","",IF(U161&lt;7.2,IF(S161&gt;1700,IF(S161&lt;2100,"Pass","Fail"),"Fail"),"Fail"))</f>
        <v>Pass</v>
      </c>
      <c r="W161" s="72">
        <v>1340</v>
      </c>
      <c r="X161" s="130"/>
      <c r="Z161" s="73">
        <v>1600</v>
      </c>
      <c r="AA161" s="73">
        <v>2600</v>
      </c>
      <c r="AB161" s="74">
        <v>1700</v>
      </c>
      <c r="AC161" s="74">
        <v>2100</v>
      </c>
      <c r="AD161" s="67">
        <v>10</v>
      </c>
      <c r="AE161" s="67">
        <v>7.2</v>
      </c>
    </row>
    <row r="162" spans="1:31" ht="15.75">
      <c r="A162"/>
      <c r="B162" s="64"/>
      <c r="C162" s="64" t="s">
        <v>78</v>
      </c>
      <c r="D162" s="49">
        <v>804.52</v>
      </c>
      <c r="E162" s="49">
        <v>633.6</v>
      </c>
      <c r="F162" s="49">
        <v>596.01</v>
      </c>
      <c r="G162" s="49">
        <v>588.02</v>
      </c>
      <c r="H162" s="49">
        <v>733.69</v>
      </c>
      <c r="I162" s="49">
        <v>729.74</v>
      </c>
      <c r="J162" s="49">
        <v>607.48</v>
      </c>
      <c r="K162" s="49">
        <v>619.61</v>
      </c>
      <c r="L162" s="49">
        <v>596.01</v>
      </c>
      <c r="M162" s="49">
        <v>588.02</v>
      </c>
      <c r="N162" s="49">
        <v>733.69</v>
      </c>
      <c r="O162" s="49">
        <v>729.74</v>
      </c>
      <c r="P162" s="49">
        <v>812.61</v>
      </c>
      <c r="Q162" s="64"/>
      <c r="R162" s="64"/>
      <c r="S162" s="64"/>
      <c r="T162" s="64"/>
      <c r="U162" s="98"/>
      <c r="V162" s="75"/>
      <c r="W162" s="76"/>
      <c r="X162" s="298"/>
      <c r="Z162" s="73">
        <v>1600</v>
      </c>
      <c r="AA162" s="73">
        <v>2600</v>
      </c>
      <c r="AB162" s="74">
        <v>1700</v>
      </c>
      <c r="AC162" s="74">
        <v>2100</v>
      </c>
      <c r="AD162" s="67">
        <v>10</v>
      </c>
      <c r="AE162" s="67">
        <v>7.2</v>
      </c>
    </row>
    <row r="163" spans="1:31" ht="60.75" thickBot="1">
      <c r="A163"/>
      <c r="B163" s="77"/>
      <c r="C163" s="77" t="s">
        <v>79</v>
      </c>
      <c r="D163" s="78">
        <f>IF(((D161="")*AND(D162="")),"",(D161-D162)*3)</f>
        <v>1994.5199999999998</v>
      </c>
      <c r="E163" s="78">
        <f t="shared" ref="E163:N163" si="50">IF(((E161="")*AND(E162="")),"",(E161-E162)*3)</f>
        <v>2055.9300000000003</v>
      </c>
      <c r="F163" s="78">
        <f t="shared" si="50"/>
        <v>2050.4700000000003</v>
      </c>
      <c r="G163" s="78">
        <f t="shared" si="50"/>
        <v>2071.9800000000005</v>
      </c>
      <c r="H163" s="78">
        <f t="shared" si="50"/>
        <v>1974.1499999999999</v>
      </c>
      <c r="I163" s="78">
        <f t="shared" si="50"/>
        <v>2018.4299999999998</v>
      </c>
      <c r="J163" s="78">
        <f t="shared" si="50"/>
        <v>2061.81</v>
      </c>
      <c r="K163" s="78">
        <f t="shared" si="50"/>
        <v>2048.16</v>
      </c>
      <c r="L163" s="78">
        <f t="shared" si="50"/>
        <v>2050.4700000000003</v>
      </c>
      <c r="M163" s="78">
        <f t="shared" si="50"/>
        <v>2071.9800000000005</v>
      </c>
      <c r="N163" s="78">
        <f t="shared" si="50"/>
        <v>1974.1499999999999</v>
      </c>
      <c r="O163" s="78">
        <f>IF(((O161="")*AND(O162="")),"",(O161-O162)*3)</f>
        <v>2018.4299999999998</v>
      </c>
      <c r="P163" s="78">
        <f>IF(((P161="")*AND(P162="")),"",(P161-P162)*3)</f>
        <v>1917.7499999999995</v>
      </c>
      <c r="Q163" s="88"/>
      <c r="R163" s="77"/>
      <c r="S163" s="77"/>
      <c r="T163" s="77"/>
      <c r="U163" s="99"/>
      <c r="V163" s="79"/>
      <c r="W163" s="80"/>
      <c r="X163" s="298"/>
    </row>
    <row r="164" spans="1:31">
      <c r="A164" s="68">
        <v>43378</v>
      </c>
      <c r="B164" s="69" t="s">
        <v>76</v>
      </c>
      <c r="C164" s="70" t="s">
        <v>77</v>
      </c>
      <c r="D164" s="49">
        <v>2426.7600000000002</v>
      </c>
      <c r="E164" s="49">
        <v>2332.8000000000002</v>
      </c>
      <c r="F164" s="49">
        <v>2318.02</v>
      </c>
      <c r="G164" s="49">
        <v>2319.7600000000002</v>
      </c>
      <c r="H164" s="49">
        <v>2392.25</v>
      </c>
      <c r="I164" s="49">
        <v>2390.48</v>
      </c>
      <c r="J164" s="49">
        <v>2323.9299999999998</v>
      </c>
      <c r="K164" s="49">
        <v>2325.37</v>
      </c>
      <c r="L164" s="49">
        <v>2382.5700000000002</v>
      </c>
      <c r="M164" s="49">
        <v>2340.65</v>
      </c>
      <c r="N164" s="49">
        <v>2326.7800000000002</v>
      </c>
      <c r="O164" s="49">
        <v>2327.4699999999998</v>
      </c>
      <c r="P164" s="49">
        <v>2339.91</v>
      </c>
      <c r="Q164" s="70">
        <f>IF((P165=""),"",MAX(D166:P166))</f>
        <v>3011.55</v>
      </c>
      <c r="R164" s="70">
        <f>IF(P165="","",MIN(D166:P166))</f>
        <v>2837.79</v>
      </c>
      <c r="S164" s="70">
        <f>IF((P166=""),"",AVERAGE(D166:P166))</f>
        <v>2964.2999999999997</v>
      </c>
      <c r="T164" s="70">
        <f>IF((P165=""),"",STDEV(D166:P166))</f>
        <v>47.756565517252781</v>
      </c>
      <c r="U164" s="97">
        <f>IF((P165=""),"",((Q164-R164)/(Q164+R164))*100)</f>
        <v>2.9705915539189074</v>
      </c>
      <c r="V164" s="71" t="str">
        <f>IF(P165="","",IF(U164&lt;7.2,IF(S164&gt;1700,IF(S164&lt;2100,"Pass","Fail"),"Fail"),"Fail"))</f>
        <v>Fail</v>
      </c>
      <c r="W164" s="72">
        <v>1340</v>
      </c>
      <c r="X164" s="130"/>
      <c r="Z164" s="73">
        <v>1600</v>
      </c>
      <c r="AA164" s="73">
        <v>2600</v>
      </c>
      <c r="AB164" s="74">
        <v>1700</v>
      </c>
      <c r="AC164" s="74">
        <v>2100</v>
      </c>
      <c r="AD164" s="67">
        <v>10</v>
      </c>
      <c r="AE164" s="67">
        <v>7.2</v>
      </c>
    </row>
    <row r="165" spans="1:31" ht="15.75">
      <c r="A165"/>
      <c r="B165" s="64"/>
      <c r="C165" s="64" t="s">
        <v>78</v>
      </c>
      <c r="D165" s="49">
        <v>1459.68</v>
      </c>
      <c r="E165" s="49">
        <v>1338.8</v>
      </c>
      <c r="F165" s="49">
        <v>1325.39</v>
      </c>
      <c r="G165" s="49">
        <v>1319.38</v>
      </c>
      <c r="H165" s="49">
        <v>1410.86</v>
      </c>
      <c r="I165" s="49">
        <v>1407.45</v>
      </c>
      <c r="J165" s="49">
        <v>1330.11</v>
      </c>
      <c r="K165" s="49">
        <v>1328.02</v>
      </c>
      <c r="L165" s="49">
        <v>1436.64</v>
      </c>
      <c r="M165" s="49">
        <v>1346.13</v>
      </c>
      <c r="N165" s="49">
        <v>1322.93</v>
      </c>
      <c r="O165" s="49">
        <v>1328.49</v>
      </c>
      <c r="P165" s="49">
        <v>1347.57</v>
      </c>
      <c r="Q165" s="64"/>
      <c r="R165" s="64"/>
      <c r="S165" s="64"/>
      <c r="T165" s="64"/>
      <c r="U165" s="98"/>
      <c r="V165" s="75"/>
      <c r="W165" s="76"/>
      <c r="X165" s="298"/>
      <c r="Z165" s="73">
        <v>1600</v>
      </c>
      <c r="AA165" s="73">
        <v>2600</v>
      </c>
      <c r="AB165" s="74">
        <v>1700</v>
      </c>
      <c r="AC165" s="74">
        <v>2100</v>
      </c>
      <c r="AD165" s="67">
        <v>10</v>
      </c>
      <c r="AE165" s="67">
        <v>7.2</v>
      </c>
    </row>
    <row r="166" spans="1:31" ht="60.75" thickBot="1">
      <c r="A166"/>
      <c r="B166" s="77"/>
      <c r="C166" s="77" t="s">
        <v>79</v>
      </c>
      <c r="D166" s="78">
        <f>IF(((D164="")*AND(D165="")),"",(D164-D165)*3)</f>
        <v>2901.2400000000007</v>
      </c>
      <c r="E166" s="78">
        <f t="shared" ref="E166:N166" si="51">IF(((E164="")*AND(E165="")),"",(E164-E165)*3)</f>
        <v>2982.0000000000009</v>
      </c>
      <c r="F166" s="78">
        <f t="shared" si="51"/>
        <v>2977.8899999999994</v>
      </c>
      <c r="G166" s="78">
        <f t="shared" si="51"/>
        <v>3001.1400000000003</v>
      </c>
      <c r="H166" s="78">
        <f t="shared" si="51"/>
        <v>2944.17</v>
      </c>
      <c r="I166" s="78">
        <f t="shared" si="51"/>
        <v>2949.09</v>
      </c>
      <c r="J166" s="78">
        <f t="shared" si="51"/>
        <v>2981.46</v>
      </c>
      <c r="K166" s="78">
        <f t="shared" si="51"/>
        <v>2992.0499999999997</v>
      </c>
      <c r="L166" s="78">
        <f t="shared" si="51"/>
        <v>2837.79</v>
      </c>
      <c r="M166" s="78">
        <f t="shared" si="51"/>
        <v>2983.56</v>
      </c>
      <c r="N166" s="78">
        <f t="shared" si="51"/>
        <v>3011.55</v>
      </c>
      <c r="O166" s="78">
        <f>IF(((O164="")*AND(O165="")),"",(O164-O165)*3)</f>
        <v>2996.9399999999996</v>
      </c>
      <c r="P166" s="78">
        <f>IF(((P164="")*AND(P165="")),"",(P164-P165)*3)</f>
        <v>2977.0199999999995</v>
      </c>
      <c r="Q166" s="88"/>
      <c r="R166" s="77"/>
      <c r="S166" s="77"/>
      <c r="T166" s="77"/>
      <c r="U166" s="99"/>
      <c r="V166" s="79"/>
      <c r="W166" s="80"/>
      <c r="X166" s="298"/>
    </row>
    <row r="167" spans="1:31">
      <c r="A167" s="68">
        <v>43378</v>
      </c>
      <c r="B167" s="69" t="s">
        <v>76</v>
      </c>
      <c r="C167" s="70" t="s">
        <v>77</v>
      </c>
      <c r="D167" s="49">
        <v>2961.61</v>
      </c>
      <c r="E167" s="49">
        <v>2846.67</v>
      </c>
      <c r="F167" s="49">
        <v>2833.08</v>
      </c>
      <c r="G167" s="49">
        <v>2834.82</v>
      </c>
      <c r="H167" s="49">
        <v>2917.34</v>
      </c>
      <c r="I167" s="49">
        <v>2894.96</v>
      </c>
      <c r="J167" s="49">
        <v>2840.49</v>
      </c>
      <c r="K167" s="49">
        <v>2839.33</v>
      </c>
      <c r="L167" s="49">
        <v>2922.89</v>
      </c>
      <c r="M167" s="49">
        <v>2855</v>
      </c>
      <c r="N167" s="49">
        <v>2843.87</v>
      </c>
      <c r="O167" s="49">
        <v>2831.31</v>
      </c>
      <c r="P167" s="49">
        <v>2864.25</v>
      </c>
      <c r="Q167" s="70">
        <f>IF((P168=""),"",MAX(D169:P169))</f>
        <v>2058.54</v>
      </c>
      <c r="R167" s="70">
        <f>IF(P168="","",MIN(D169:P169))</f>
        <v>1991.3799999999997</v>
      </c>
      <c r="S167" s="70">
        <f>IF((P169=""),"",AVERAGE(D169:P169))</f>
        <v>2041.2907692307692</v>
      </c>
      <c r="T167" s="70">
        <f>IF((P168=""),"",STDEV(D169:P169))</f>
        <v>17.257092484705854</v>
      </c>
      <c r="U167" s="97">
        <f>IF((P168=""),"",((Q167-R167)/(Q167+R167))*100)</f>
        <v>1.6583043615676436</v>
      </c>
      <c r="V167" s="71" t="str">
        <f>IF(P168="","",IF(U167&lt;7.2,IF(S167&gt;1700,IF(S167&lt;2100,"Pass","Fail"),"Fail"),"Fail"))</f>
        <v>Pass</v>
      </c>
      <c r="W167" s="72">
        <v>1340</v>
      </c>
      <c r="X167" s="130"/>
      <c r="Z167" s="73">
        <v>1600</v>
      </c>
      <c r="AA167" s="73">
        <v>2600</v>
      </c>
      <c r="AB167" s="74">
        <v>1700</v>
      </c>
      <c r="AC167" s="74">
        <v>2100</v>
      </c>
      <c r="AD167" s="67">
        <v>10</v>
      </c>
      <c r="AE167" s="67">
        <v>7.2</v>
      </c>
    </row>
    <row r="168" spans="1:31" ht="15.75">
      <c r="A168"/>
      <c r="B168" s="64"/>
      <c r="C168" s="64" t="s">
        <v>78</v>
      </c>
      <c r="D168" s="49">
        <v>1940.55</v>
      </c>
      <c r="E168" s="49">
        <v>1825.72</v>
      </c>
      <c r="F168" s="49">
        <v>1815.92</v>
      </c>
      <c r="G168" s="49">
        <v>1806.28</v>
      </c>
      <c r="H168" s="49">
        <v>1891.88</v>
      </c>
      <c r="I168" s="49">
        <v>1873.41</v>
      </c>
      <c r="J168" s="49">
        <v>1817.95</v>
      </c>
      <c r="K168" s="49">
        <v>1820.37</v>
      </c>
      <c r="L168" s="49">
        <v>1927.2</v>
      </c>
      <c r="M168" s="49">
        <v>1832.44</v>
      </c>
      <c r="N168" s="49">
        <v>1814.6</v>
      </c>
      <c r="O168" s="49">
        <v>1802.59</v>
      </c>
      <c r="P168" s="49">
        <v>1848.32</v>
      </c>
      <c r="Q168" s="64"/>
      <c r="R168" s="64"/>
      <c r="S168" s="64"/>
      <c r="T168" s="64"/>
      <c r="U168" s="98"/>
      <c r="V168" s="75"/>
      <c r="W168" s="76"/>
      <c r="X168" s="298"/>
    </row>
    <row r="169" spans="1:31" ht="60.75" thickBot="1">
      <c r="A169"/>
      <c r="B169" s="77"/>
      <c r="C169" s="77" t="s">
        <v>79</v>
      </c>
      <c r="D169" s="78">
        <f t="shared" ref="D169:P169" si="52">IF(((D167="")*AND(D168="")),"",(D167-D168)*2)</f>
        <v>2042.1200000000003</v>
      </c>
      <c r="E169" s="78">
        <f t="shared" si="52"/>
        <v>2041.9</v>
      </c>
      <c r="F169" s="78">
        <f t="shared" si="52"/>
        <v>2034.3199999999997</v>
      </c>
      <c r="G169" s="78">
        <f t="shared" si="52"/>
        <v>2057.0800000000004</v>
      </c>
      <c r="H169" s="78">
        <f t="shared" si="52"/>
        <v>2050.92</v>
      </c>
      <c r="I169" s="78">
        <f t="shared" si="52"/>
        <v>2043.1</v>
      </c>
      <c r="J169" s="78">
        <f t="shared" si="52"/>
        <v>2045.0799999999995</v>
      </c>
      <c r="K169" s="78">
        <f t="shared" si="52"/>
        <v>2037.92</v>
      </c>
      <c r="L169" s="78">
        <f t="shared" si="52"/>
        <v>1991.3799999999997</v>
      </c>
      <c r="M169" s="78">
        <f t="shared" si="52"/>
        <v>2045.12</v>
      </c>
      <c r="N169" s="78">
        <f t="shared" si="52"/>
        <v>2058.54</v>
      </c>
      <c r="O169" s="78">
        <f t="shared" si="52"/>
        <v>2057.44</v>
      </c>
      <c r="P169" s="78">
        <f t="shared" si="52"/>
        <v>2031.8600000000001</v>
      </c>
      <c r="Q169" s="88"/>
      <c r="R169" s="77"/>
      <c r="S169" s="77"/>
      <c r="T169" s="77"/>
      <c r="U169" s="99"/>
      <c r="V169" s="79"/>
      <c r="W169" s="80"/>
      <c r="X169" s="298"/>
    </row>
    <row r="170" spans="1:31">
      <c r="A170" s="68">
        <v>43382</v>
      </c>
      <c r="B170" s="69" t="s">
        <v>76</v>
      </c>
      <c r="C170" s="70" t="s">
        <v>77</v>
      </c>
      <c r="D170" s="49">
        <v>2902.95</v>
      </c>
      <c r="E170" s="49">
        <v>2833.31</v>
      </c>
      <c r="F170" s="49">
        <v>2828.29</v>
      </c>
      <c r="G170" s="49">
        <v>2838.39</v>
      </c>
      <c r="H170" s="49">
        <v>2923.5</v>
      </c>
      <c r="I170" s="49">
        <v>2953.48</v>
      </c>
      <c r="J170" s="49">
        <v>2843.14</v>
      </c>
      <c r="K170" s="49">
        <v>2827.98</v>
      </c>
      <c r="L170" s="49">
        <v>2905.6</v>
      </c>
      <c r="M170" s="49">
        <v>2848.59</v>
      </c>
      <c r="N170" s="49">
        <v>2837.22</v>
      </c>
      <c r="O170" s="49">
        <v>2857.83</v>
      </c>
      <c r="P170" s="49">
        <v>2836.43</v>
      </c>
      <c r="Q170" s="70">
        <f>IF((P171=""),"",MAX(D172:P172))</f>
        <v>2058.2800000000002</v>
      </c>
      <c r="R170" s="70">
        <f>IF(P171="","",MIN(D172:P172))</f>
        <v>1963.8599999999997</v>
      </c>
      <c r="S170" s="70">
        <f>IF((P172=""),"",AVERAGE(D172:P172))</f>
        <v>2019.5430769230768</v>
      </c>
      <c r="T170" s="70">
        <f>IF((P171=""),"",STDEV(D172:P172))</f>
        <v>24.178225529271469</v>
      </c>
      <c r="U170" s="97">
        <f>IF((P171=""),"",((Q170-R170)/(Q170+R170))*100)</f>
        <v>2.3475065512389057</v>
      </c>
      <c r="V170" s="71" t="str">
        <f>IF(P171="","",IF(U170&lt;7.2,IF(S170&gt;1700,IF(S170&lt;2100,"Pass","Fail"),"Fail"),"Fail"))</f>
        <v>Pass</v>
      </c>
      <c r="W170" s="72">
        <v>1335</v>
      </c>
      <c r="X170" s="130"/>
      <c r="Z170" s="73">
        <v>1600</v>
      </c>
      <c r="AA170" s="73">
        <v>2600</v>
      </c>
      <c r="AB170" s="74">
        <v>1700</v>
      </c>
      <c r="AC170" s="74">
        <v>2100</v>
      </c>
      <c r="AD170" s="67">
        <v>10</v>
      </c>
      <c r="AE170" s="67">
        <v>7.2</v>
      </c>
    </row>
    <row r="171" spans="1:31" ht="15.75">
      <c r="A171"/>
      <c r="B171" s="64"/>
      <c r="C171" s="64" t="s">
        <v>78</v>
      </c>
      <c r="D171" s="49">
        <v>1909.86</v>
      </c>
      <c r="E171" s="49">
        <v>1824.95</v>
      </c>
      <c r="F171" s="49">
        <v>1812.78</v>
      </c>
      <c r="G171" s="49">
        <v>1820.38</v>
      </c>
      <c r="H171" s="49">
        <v>1903.13</v>
      </c>
      <c r="I171" s="49">
        <v>1924.34</v>
      </c>
      <c r="J171" s="49">
        <v>1834.56</v>
      </c>
      <c r="K171" s="49">
        <v>1821.21</v>
      </c>
      <c r="L171" s="49">
        <v>1923.67</v>
      </c>
      <c r="M171" s="49">
        <v>1843.68</v>
      </c>
      <c r="N171" s="49">
        <v>1821.26</v>
      </c>
      <c r="O171" s="49">
        <v>1842.03</v>
      </c>
      <c r="P171" s="49">
        <v>1827.83</v>
      </c>
      <c r="Q171" s="64"/>
      <c r="R171" s="64"/>
      <c r="S171" s="64"/>
      <c r="T171" s="64"/>
      <c r="U171" s="98"/>
      <c r="V171" s="75"/>
      <c r="W171" s="76"/>
      <c r="X171" s="298"/>
    </row>
    <row r="172" spans="1:31" ht="60.75" thickBot="1">
      <c r="A172"/>
      <c r="B172" s="77"/>
      <c r="C172" s="77" t="s">
        <v>79</v>
      </c>
      <c r="D172" s="78">
        <f t="shared" ref="D172:P172" si="53">IF(((D170="")*AND(D171="")),"",(D170-D171)*2)</f>
        <v>1986.1799999999998</v>
      </c>
      <c r="E172" s="78">
        <f t="shared" si="53"/>
        <v>2016.7199999999998</v>
      </c>
      <c r="F172" s="78">
        <f t="shared" si="53"/>
        <v>2031.02</v>
      </c>
      <c r="G172" s="78">
        <f t="shared" si="53"/>
        <v>2036.0199999999995</v>
      </c>
      <c r="H172" s="78">
        <f t="shared" si="53"/>
        <v>2040.7399999999998</v>
      </c>
      <c r="I172" s="78">
        <f t="shared" si="53"/>
        <v>2058.2800000000002</v>
      </c>
      <c r="J172" s="78">
        <f t="shared" si="53"/>
        <v>2017.1599999999999</v>
      </c>
      <c r="K172" s="78">
        <f t="shared" si="53"/>
        <v>2013.54</v>
      </c>
      <c r="L172" s="78">
        <f t="shared" si="53"/>
        <v>1963.8599999999997</v>
      </c>
      <c r="M172" s="78">
        <f t="shared" si="53"/>
        <v>2009.8200000000002</v>
      </c>
      <c r="N172" s="78">
        <f t="shared" si="53"/>
        <v>2031.9199999999996</v>
      </c>
      <c r="O172" s="78">
        <f t="shared" si="53"/>
        <v>2031.6</v>
      </c>
      <c r="P172" s="78">
        <f t="shared" si="53"/>
        <v>2017.1999999999998</v>
      </c>
      <c r="Q172" s="88"/>
      <c r="R172" s="77"/>
      <c r="S172" s="77"/>
      <c r="T172" s="77"/>
      <c r="U172" s="99"/>
      <c r="V172" s="79"/>
      <c r="W172" s="80"/>
      <c r="X172" s="298"/>
    </row>
    <row r="173" spans="1:31" ht="15.75" customHeight="1">
      <c r="A173" s="68">
        <v>43385</v>
      </c>
      <c r="B173" s="69" t="s">
        <v>76</v>
      </c>
      <c r="C173" s="70" t="s">
        <v>77</v>
      </c>
      <c r="D173" s="49">
        <v>2916.15</v>
      </c>
      <c r="E173" s="49">
        <v>2841.62</v>
      </c>
      <c r="F173" s="49">
        <v>2836.57</v>
      </c>
      <c r="G173" s="49">
        <v>2849.75</v>
      </c>
      <c r="H173" s="49">
        <v>2933.36</v>
      </c>
      <c r="I173" s="49">
        <v>2962.64</v>
      </c>
      <c r="J173" s="49">
        <v>2854.05</v>
      </c>
      <c r="K173" s="49">
        <v>2838.77</v>
      </c>
      <c r="L173" s="49">
        <v>2907.59</v>
      </c>
      <c r="M173" s="49">
        <v>2860.68</v>
      </c>
      <c r="N173" s="49">
        <v>2848.39</v>
      </c>
      <c r="O173" s="49">
        <v>2867.63</v>
      </c>
      <c r="P173" s="49">
        <v>2846.05</v>
      </c>
      <c r="Q173" s="70">
        <f>IF((P174=""),"",MAX(D175:P175))</f>
        <v>2068.64</v>
      </c>
      <c r="R173" s="70">
        <f>IF(P174="","",MIN(D175:P175))</f>
        <v>1948.9800000000005</v>
      </c>
      <c r="S173" s="70">
        <f>IF((P175=""),"",AVERAGE(D175:P175))</f>
        <v>2024.3107692307692</v>
      </c>
      <c r="T173" s="70">
        <f>IF((P174=""),"",STDEV(D175:P175))</f>
        <v>30.978967720487805</v>
      </c>
      <c r="U173" s="97">
        <f>IF((P174=""),"",((Q173-R173)/(Q173+R173))*100)</f>
        <v>2.9783802350645252</v>
      </c>
      <c r="V173" s="71" t="str">
        <f>IF(P174="","",IF(U173&lt;7.2,IF(S173&gt;1700,IF(S173&lt;2100,"Pass","Fail"),"Fail"),"Fail"))</f>
        <v>Pass</v>
      </c>
      <c r="W173" s="72">
        <v>102</v>
      </c>
      <c r="X173" s="374" t="s">
        <v>93</v>
      </c>
      <c r="Z173" s="73">
        <v>1600</v>
      </c>
      <c r="AA173" s="73">
        <v>2600</v>
      </c>
      <c r="AB173" s="74">
        <v>1700</v>
      </c>
      <c r="AC173" s="74">
        <v>2100</v>
      </c>
      <c r="AD173" s="67">
        <v>10</v>
      </c>
      <c r="AE173" s="67">
        <v>7.2</v>
      </c>
    </row>
    <row r="174" spans="1:31" ht="15.75">
      <c r="A174"/>
      <c r="B174" s="64"/>
      <c r="C174" s="64" t="s">
        <v>78</v>
      </c>
      <c r="D174" s="49">
        <v>1923.96</v>
      </c>
      <c r="E174" s="49">
        <v>1832.74</v>
      </c>
      <c r="F174" s="49">
        <v>1819.6</v>
      </c>
      <c r="G174" s="49">
        <v>1825.06</v>
      </c>
      <c r="H174" s="49">
        <v>1906.25</v>
      </c>
      <c r="I174" s="49">
        <v>1928.32</v>
      </c>
      <c r="J174" s="49">
        <v>1841.65</v>
      </c>
      <c r="K174" s="49">
        <v>1826.61</v>
      </c>
      <c r="L174" s="49">
        <v>1933.1</v>
      </c>
      <c r="M174" s="49">
        <v>1850.91</v>
      </c>
      <c r="N174" s="49">
        <v>1829.63</v>
      </c>
      <c r="O174" s="49">
        <v>1847.26</v>
      </c>
      <c r="P174" s="49">
        <v>1840.14</v>
      </c>
      <c r="Q174" s="64"/>
      <c r="R174" s="64"/>
      <c r="S174" s="64"/>
      <c r="T174" s="64"/>
      <c r="U174" s="98"/>
      <c r="V174" s="75"/>
      <c r="W174" s="76"/>
      <c r="X174" s="298"/>
    </row>
    <row r="175" spans="1:31" ht="60.75" thickBot="1">
      <c r="A175"/>
      <c r="B175" s="77"/>
      <c r="C175" s="77" t="s">
        <v>79</v>
      </c>
      <c r="D175" s="78">
        <f t="shared" ref="D175:P175" si="54">IF(((D173="")*AND(D174="")),"",(D173-D174)*2)</f>
        <v>1984.38</v>
      </c>
      <c r="E175" s="78">
        <f t="shared" si="54"/>
        <v>2017.7599999999998</v>
      </c>
      <c r="F175" s="78">
        <f t="shared" si="54"/>
        <v>2033.9400000000005</v>
      </c>
      <c r="G175" s="78">
        <f t="shared" si="54"/>
        <v>2049.38</v>
      </c>
      <c r="H175" s="78">
        <f t="shared" si="54"/>
        <v>2054.2200000000003</v>
      </c>
      <c r="I175" s="78">
        <f t="shared" si="54"/>
        <v>2068.64</v>
      </c>
      <c r="J175" s="78">
        <f t="shared" si="54"/>
        <v>2024.8000000000002</v>
      </c>
      <c r="K175" s="78">
        <f t="shared" si="54"/>
        <v>2024.3200000000002</v>
      </c>
      <c r="L175" s="78">
        <f t="shared" si="54"/>
        <v>1948.9800000000005</v>
      </c>
      <c r="M175" s="78">
        <f t="shared" si="54"/>
        <v>2019.5399999999995</v>
      </c>
      <c r="N175" s="78">
        <f t="shared" si="54"/>
        <v>2037.5199999999995</v>
      </c>
      <c r="O175" s="78">
        <f t="shared" si="54"/>
        <v>2040.7400000000002</v>
      </c>
      <c r="P175" s="78">
        <f t="shared" si="54"/>
        <v>2011.8200000000002</v>
      </c>
      <c r="Q175" s="88"/>
      <c r="R175" s="77"/>
      <c r="S175" s="77"/>
      <c r="T175" s="77"/>
      <c r="U175" s="99"/>
      <c r="V175" s="79"/>
      <c r="W175" s="80"/>
      <c r="X175" s="298"/>
    </row>
    <row r="176" spans="1:31">
      <c r="A176" s="68">
        <v>43388</v>
      </c>
      <c r="B176" s="69" t="s">
        <v>76</v>
      </c>
      <c r="C176" s="70" t="s">
        <v>77</v>
      </c>
      <c r="D176" s="49">
        <v>2910.06</v>
      </c>
      <c r="E176" s="49">
        <v>2843.82</v>
      </c>
      <c r="F176" s="49">
        <v>2835.49</v>
      </c>
      <c r="G176" s="49">
        <v>2843.98</v>
      </c>
      <c r="H176" s="49">
        <v>2929.54</v>
      </c>
      <c r="I176" s="49">
        <v>2962.46</v>
      </c>
      <c r="J176" s="49">
        <v>2854.59</v>
      </c>
      <c r="K176" s="49">
        <v>2840.31</v>
      </c>
      <c r="L176" s="49">
        <v>2908.51</v>
      </c>
      <c r="M176" s="49">
        <v>2852.22</v>
      </c>
      <c r="N176" s="49">
        <v>2839.75</v>
      </c>
      <c r="O176" s="49">
        <v>2865.23</v>
      </c>
      <c r="P176" s="49">
        <v>2845.67</v>
      </c>
      <c r="Q176" s="70">
        <f>IF((P177=""),"",MAX(D178:P178))</f>
        <v>2075.9</v>
      </c>
      <c r="R176" s="70">
        <f>IF(P177="","",MIN(D178:P178))</f>
        <v>1970.9400000000005</v>
      </c>
      <c r="S176" s="70">
        <f>IF((P178=""),"",AVERAGE(D178:P178))</f>
        <v>2032.8630769230767</v>
      </c>
      <c r="T176" s="70">
        <f>IF((P177=""),"",STDEV(D178:P178))</f>
        <v>26.904871735013192</v>
      </c>
      <c r="U176" s="97">
        <f>IF((P177=""),"",((Q176-R176)/(Q176+R176))*100)</f>
        <v>2.5936286089887313</v>
      </c>
      <c r="V176" s="71" t="str">
        <f>IF(P177="","",IF(U176&lt;7.2,IF(S176&gt;1700,IF(S176&lt;2100,"Pass","Fail"),"Fail"),"Fail"))</f>
        <v>Pass</v>
      </c>
      <c r="W176" s="72">
        <v>1340</v>
      </c>
      <c r="X176" s="130"/>
      <c r="Z176" s="73">
        <v>1600</v>
      </c>
      <c r="AA176" s="73">
        <v>2600</v>
      </c>
      <c r="AB176" s="74">
        <v>1700</v>
      </c>
      <c r="AC176" s="74">
        <v>2100</v>
      </c>
      <c r="AD176" s="67">
        <v>10</v>
      </c>
      <c r="AE176" s="67">
        <v>7.2</v>
      </c>
    </row>
    <row r="177" spans="1:31" ht="15.75">
      <c r="A177"/>
      <c r="B177" s="64"/>
      <c r="C177" s="64" t="s">
        <v>78</v>
      </c>
      <c r="D177" s="49">
        <v>1913.31</v>
      </c>
      <c r="E177" s="49">
        <v>1825.07</v>
      </c>
      <c r="F177" s="49">
        <v>1818.52</v>
      </c>
      <c r="G177" s="49">
        <v>1820.26</v>
      </c>
      <c r="H177" s="49">
        <v>1902.89</v>
      </c>
      <c r="I177" s="49">
        <v>1924.51</v>
      </c>
      <c r="J177" s="49">
        <v>1833.68</v>
      </c>
      <c r="K177" s="49">
        <v>1818.03</v>
      </c>
      <c r="L177" s="49">
        <v>1923.04</v>
      </c>
      <c r="M177" s="49">
        <v>1844.69</v>
      </c>
      <c r="N177" s="49">
        <v>1824.33</v>
      </c>
      <c r="O177" s="49">
        <v>1840.75</v>
      </c>
      <c r="P177" s="49">
        <v>1828.94</v>
      </c>
      <c r="Q177" s="64"/>
      <c r="R177" s="64"/>
      <c r="S177" s="64"/>
      <c r="T177" s="64"/>
      <c r="U177" s="98"/>
      <c r="V177" s="75"/>
      <c r="W177" s="76"/>
      <c r="X177" s="298"/>
    </row>
    <row r="178" spans="1:31" ht="60.75" thickBot="1">
      <c r="A178"/>
      <c r="B178" s="77"/>
      <c r="C178" s="77" t="s">
        <v>79</v>
      </c>
      <c r="D178" s="78">
        <f t="shared" ref="D178:P178" si="55">IF(((D176="")*AND(D177="")),"",(D176-D177)*2)</f>
        <v>1993.5</v>
      </c>
      <c r="E178" s="78">
        <f t="shared" si="55"/>
        <v>2037.5000000000005</v>
      </c>
      <c r="F178" s="78">
        <f t="shared" si="55"/>
        <v>2033.9399999999996</v>
      </c>
      <c r="G178" s="78">
        <f t="shared" si="55"/>
        <v>2047.44</v>
      </c>
      <c r="H178" s="78">
        <f t="shared" si="55"/>
        <v>2053.2999999999997</v>
      </c>
      <c r="I178" s="78">
        <f t="shared" si="55"/>
        <v>2075.9</v>
      </c>
      <c r="J178" s="78">
        <f t="shared" si="55"/>
        <v>2041.8200000000002</v>
      </c>
      <c r="K178" s="78">
        <f t="shared" si="55"/>
        <v>2044.56</v>
      </c>
      <c r="L178" s="78">
        <f t="shared" si="55"/>
        <v>1970.9400000000005</v>
      </c>
      <c r="M178" s="78">
        <f t="shared" si="55"/>
        <v>2015.0599999999995</v>
      </c>
      <c r="N178" s="78">
        <f t="shared" si="55"/>
        <v>2030.8400000000001</v>
      </c>
      <c r="O178" s="78">
        <f t="shared" si="55"/>
        <v>2048.96</v>
      </c>
      <c r="P178" s="78">
        <f t="shared" si="55"/>
        <v>2033.46</v>
      </c>
      <c r="Q178" s="88"/>
      <c r="R178" s="77"/>
      <c r="S178" s="77"/>
      <c r="T178" s="77"/>
      <c r="U178" s="99"/>
      <c r="V178" s="79"/>
      <c r="W178" s="80"/>
      <c r="X178" s="298"/>
    </row>
    <row r="179" spans="1:31" ht="17.45" customHeight="1">
      <c r="A179" s="68">
        <v>43391</v>
      </c>
      <c r="B179" s="69" t="s">
        <v>76</v>
      </c>
      <c r="C179" s="70" t="s">
        <v>77</v>
      </c>
      <c r="D179" s="49">
        <v>2908.95</v>
      </c>
      <c r="E179" s="49">
        <v>2839.07</v>
      </c>
      <c r="F179" s="49">
        <v>2830.82</v>
      </c>
      <c r="G179" s="49">
        <v>2842.67</v>
      </c>
      <c r="H179" s="49">
        <v>2930.2</v>
      </c>
      <c r="I179" s="49">
        <v>2957.41</v>
      </c>
      <c r="J179" s="49">
        <v>2850.9</v>
      </c>
      <c r="K179" s="49">
        <v>2830.74</v>
      </c>
      <c r="L179" s="49">
        <v>2906.81</v>
      </c>
      <c r="M179" s="49">
        <v>2852.83</v>
      </c>
      <c r="N179" s="49">
        <v>2842.55</v>
      </c>
      <c r="O179" s="49">
        <v>2863.42</v>
      </c>
      <c r="P179" s="49">
        <v>2844.38</v>
      </c>
      <c r="Q179" s="70">
        <f>IF((P180=""),"",MAX(D181:P181))</f>
        <v>2070.7799999999997</v>
      </c>
      <c r="R179" s="70">
        <f>IF(P180="","",MIN(D181:P181))</f>
        <v>1983</v>
      </c>
      <c r="S179" s="70">
        <f>IF((P181=""),"",AVERAGE(D181:P181))</f>
        <v>2039.5707692307694</v>
      </c>
      <c r="T179" s="70">
        <f>IF((P180=""),"",STDEV(D181:P181))</f>
        <v>24.540253483329906</v>
      </c>
      <c r="U179" s="97">
        <f>IF((P180=""),"",((Q179-R179)/(Q179+R179))*100)</f>
        <v>2.1653863801192901</v>
      </c>
      <c r="V179" s="71" t="str">
        <f>IF(P180="","",IF(U179&lt;7.2,IF(S179&gt;1700,IF(S179&lt;2100,"Pass","Fail"),"Fail"),"Fail"))</f>
        <v>Pass</v>
      </c>
      <c r="W179" s="72">
        <v>121</v>
      </c>
      <c r="X179" s="374" t="s">
        <v>94</v>
      </c>
      <c r="Z179" s="73">
        <v>1600</v>
      </c>
      <c r="AA179" s="73">
        <v>2600</v>
      </c>
      <c r="AB179" s="74">
        <v>1700</v>
      </c>
      <c r="AC179" s="74">
        <v>2100</v>
      </c>
      <c r="AD179" s="67">
        <v>10</v>
      </c>
      <c r="AE179" s="67">
        <v>7.2</v>
      </c>
    </row>
    <row r="180" spans="1:31" ht="15.75">
      <c r="A180"/>
      <c r="B180" s="64"/>
      <c r="C180" s="64" t="s">
        <v>78</v>
      </c>
      <c r="D180" s="49">
        <v>1905.32</v>
      </c>
      <c r="E180" s="49">
        <v>1821.23</v>
      </c>
      <c r="F180" s="49">
        <v>1815.32</v>
      </c>
      <c r="G180" s="49">
        <v>1817.05</v>
      </c>
      <c r="H180" s="49">
        <v>1897.57</v>
      </c>
      <c r="I180" s="49">
        <v>1922.02</v>
      </c>
      <c r="J180" s="49">
        <v>1826.29</v>
      </c>
      <c r="K180" s="49">
        <v>1810.43</v>
      </c>
      <c r="L180" s="49">
        <v>1915.31</v>
      </c>
      <c r="M180" s="49">
        <v>1836.6</v>
      </c>
      <c r="N180" s="49">
        <v>1817.78</v>
      </c>
      <c r="O180" s="49">
        <v>1829.51</v>
      </c>
      <c r="P180" s="49">
        <v>1829.11</v>
      </c>
      <c r="Q180" s="64"/>
      <c r="R180" s="64"/>
      <c r="S180" s="64"/>
      <c r="T180" s="64"/>
      <c r="U180" s="98"/>
      <c r="V180" s="75"/>
      <c r="W180" s="76"/>
      <c r="X180" s="298"/>
    </row>
    <row r="181" spans="1:31" ht="60.75" thickBot="1">
      <c r="A181"/>
      <c r="B181" s="77"/>
      <c r="C181" s="77" t="s">
        <v>79</v>
      </c>
      <c r="D181" s="78">
        <f t="shared" ref="D181:P181" si="56">IF(((D179="")*AND(D180="")),"",(D179-D180)*2)</f>
        <v>2007.2599999999998</v>
      </c>
      <c r="E181" s="78">
        <f t="shared" si="56"/>
        <v>2035.6800000000003</v>
      </c>
      <c r="F181" s="78">
        <f t="shared" si="56"/>
        <v>2031.0000000000005</v>
      </c>
      <c r="G181" s="78">
        <f t="shared" si="56"/>
        <v>2051.2400000000002</v>
      </c>
      <c r="H181" s="78">
        <f t="shared" si="56"/>
        <v>2065.2599999999998</v>
      </c>
      <c r="I181" s="78">
        <f t="shared" si="56"/>
        <v>2070.7799999999997</v>
      </c>
      <c r="J181" s="78">
        <f t="shared" si="56"/>
        <v>2049.2200000000003</v>
      </c>
      <c r="K181" s="78">
        <f t="shared" si="56"/>
        <v>2040.6199999999994</v>
      </c>
      <c r="L181" s="78">
        <f t="shared" si="56"/>
        <v>1983</v>
      </c>
      <c r="M181" s="78">
        <f t="shared" si="56"/>
        <v>2032.46</v>
      </c>
      <c r="N181" s="78">
        <f t="shared" si="56"/>
        <v>2049.5400000000004</v>
      </c>
      <c r="O181" s="78">
        <f t="shared" si="56"/>
        <v>2067.8200000000002</v>
      </c>
      <c r="P181" s="78">
        <f t="shared" si="56"/>
        <v>2030.5400000000004</v>
      </c>
      <c r="Q181" s="88"/>
      <c r="R181" s="77"/>
      <c r="S181" s="77"/>
      <c r="T181" s="77"/>
      <c r="U181" s="99"/>
      <c r="V181" s="79"/>
      <c r="W181" s="80"/>
      <c r="X181" s="298"/>
    </row>
    <row r="182" spans="1:31" ht="15" customHeight="1">
      <c r="A182" s="68">
        <v>43395</v>
      </c>
      <c r="B182" s="69" t="s">
        <v>76</v>
      </c>
      <c r="C182" s="70" t="s">
        <v>77</v>
      </c>
      <c r="D182" s="49">
        <v>1905.32</v>
      </c>
      <c r="E182" s="49">
        <v>1821.23</v>
      </c>
      <c r="F182" s="49">
        <v>1815.32</v>
      </c>
      <c r="G182" s="49">
        <v>1817.05</v>
      </c>
      <c r="H182" s="49">
        <v>1897.57</v>
      </c>
      <c r="I182" s="49">
        <v>1922.02</v>
      </c>
      <c r="J182" s="49">
        <v>1826.29</v>
      </c>
      <c r="K182" s="49">
        <v>1810.43</v>
      </c>
      <c r="L182" s="49">
        <v>1915.31</v>
      </c>
      <c r="M182" s="49">
        <v>1836.6</v>
      </c>
      <c r="N182" s="49">
        <v>1817.78</v>
      </c>
      <c r="O182" s="49">
        <v>1829.51</v>
      </c>
      <c r="P182" s="49">
        <v>1829.11</v>
      </c>
      <c r="Q182" s="70">
        <f>IF((P183=""),"",MAX(D184:P184))</f>
        <v>1984.74</v>
      </c>
      <c r="R182" s="70">
        <f>IF(P183="","",MIN(D184:P184))</f>
        <v>1815.6599999999999</v>
      </c>
      <c r="S182" s="70">
        <f>IF((P184=""),"",AVERAGE(D184:P184))</f>
        <v>1930.4338461538459</v>
      </c>
      <c r="T182" s="70">
        <f>IF((P183=""),"",STDEV(D184:P184))</f>
        <v>56.321753869848877</v>
      </c>
      <c r="U182" s="97">
        <f>IF((P183=""),"",((Q182-R182)/(Q182+R182))*100)</f>
        <v>4.44900536785602</v>
      </c>
      <c r="V182" s="71" t="str">
        <f>IF(P183="","",IF(U182&lt;7.2,IF(S182&gt;1700,IF(S182&lt;2100,"Pass","Fail"),"Fail"),"Fail"))</f>
        <v>Pass</v>
      </c>
      <c r="W182" s="72">
        <v>121</v>
      </c>
      <c r="X182" s="374" t="s">
        <v>95</v>
      </c>
      <c r="Z182" s="73">
        <v>1600</v>
      </c>
      <c r="AA182" s="73">
        <v>2600</v>
      </c>
      <c r="AB182" s="74">
        <v>1700</v>
      </c>
      <c r="AC182" s="74">
        <v>2100</v>
      </c>
      <c r="AD182" s="67">
        <v>10</v>
      </c>
      <c r="AE182" s="67">
        <v>7.2</v>
      </c>
    </row>
    <row r="183" spans="1:31" ht="15.75">
      <c r="A183"/>
      <c r="B183" s="64"/>
      <c r="C183" s="64" t="s">
        <v>78</v>
      </c>
      <c r="D183" s="49">
        <v>976.74</v>
      </c>
      <c r="E183" s="49">
        <v>838.86</v>
      </c>
      <c r="F183" s="49">
        <v>829.77</v>
      </c>
      <c r="G183" s="49">
        <v>829.97</v>
      </c>
      <c r="H183" s="49">
        <v>962</v>
      </c>
      <c r="I183" s="49">
        <v>989.52</v>
      </c>
      <c r="J183" s="49">
        <v>849.88</v>
      </c>
      <c r="K183" s="49">
        <v>829.75</v>
      </c>
      <c r="L183" s="49">
        <v>1007.48</v>
      </c>
      <c r="M183" s="49">
        <v>853.23</v>
      </c>
      <c r="N183" s="49">
        <v>825.41</v>
      </c>
      <c r="O183" s="49">
        <v>852.13</v>
      </c>
      <c r="P183" s="49">
        <v>850.98</v>
      </c>
      <c r="Q183" s="64"/>
      <c r="R183" s="64"/>
      <c r="S183" s="64"/>
      <c r="T183" s="64"/>
      <c r="U183" s="98"/>
      <c r="V183" s="75"/>
      <c r="W183" s="76"/>
      <c r="X183" s="298"/>
    </row>
    <row r="184" spans="1:31" ht="60.75" thickBot="1">
      <c r="A184"/>
      <c r="B184" s="77"/>
      <c r="C184" s="77" t="s">
        <v>79</v>
      </c>
      <c r="D184" s="78">
        <f t="shared" ref="D184:P184" si="57">IF(((D182="")*AND(D183="")),"",(D182-D183)*2)</f>
        <v>1857.1599999999999</v>
      </c>
      <c r="E184" s="78">
        <f t="shared" si="57"/>
        <v>1964.74</v>
      </c>
      <c r="F184" s="78">
        <f t="shared" si="57"/>
        <v>1971.1</v>
      </c>
      <c r="G184" s="78">
        <f t="shared" si="57"/>
        <v>1974.1599999999999</v>
      </c>
      <c r="H184" s="78">
        <f t="shared" si="57"/>
        <v>1871.1399999999999</v>
      </c>
      <c r="I184" s="78">
        <f t="shared" si="57"/>
        <v>1865</v>
      </c>
      <c r="J184" s="78">
        <f t="shared" si="57"/>
        <v>1952.82</v>
      </c>
      <c r="K184" s="78">
        <f t="shared" si="57"/>
        <v>1961.3600000000001</v>
      </c>
      <c r="L184" s="78">
        <f t="shared" si="57"/>
        <v>1815.6599999999999</v>
      </c>
      <c r="M184" s="78">
        <f t="shared" si="57"/>
        <v>1966.7399999999998</v>
      </c>
      <c r="N184" s="78">
        <f t="shared" si="57"/>
        <v>1984.74</v>
      </c>
      <c r="O184" s="78">
        <f t="shared" si="57"/>
        <v>1954.76</v>
      </c>
      <c r="P184" s="78">
        <f t="shared" si="57"/>
        <v>1956.2599999999998</v>
      </c>
      <c r="Q184" s="88"/>
      <c r="R184" s="77"/>
      <c r="S184" s="77"/>
      <c r="T184" s="77"/>
      <c r="U184" s="99"/>
      <c r="V184" s="79"/>
      <c r="W184" s="80"/>
      <c r="X184" s="298"/>
    </row>
    <row r="185" spans="1:31">
      <c r="A185" s="68">
        <v>43398</v>
      </c>
      <c r="B185" s="69" t="s">
        <v>76</v>
      </c>
      <c r="C185" s="70" t="s">
        <v>77</v>
      </c>
      <c r="D185" s="49">
        <v>2909.19</v>
      </c>
      <c r="E185" s="49">
        <v>2838.88</v>
      </c>
      <c r="F185" s="49">
        <v>2838.85</v>
      </c>
      <c r="G185" s="49">
        <v>2845.78</v>
      </c>
      <c r="H185" s="49">
        <v>2937.86</v>
      </c>
      <c r="I185" s="49">
        <v>2961.54</v>
      </c>
      <c r="J185" s="49">
        <v>2854.64</v>
      </c>
      <c r="K185" s="49">
        <v>2836.43</v>
      </c>
      <c r="L185" s="49">
        <v>2907.99</v>
      </c>
      <c r="M185" s="49">
        <v>2859.72</v>
      </c>
      <c r="N185" s="49">
        <v>2848.5</v>
      </c>
      <c r="O185" s="49">
        <v>2869.56</v>
      </c>
      <c r="P185" s="49">
        <v>2845.88</v>
      </c>
      <c r="Q185" s="70">
        <f>IF((P186=""),"",MAX(D187:P187))</f>
        <v>2085.6799999999998</v>
      </c>
      <c r="R185" s="70">
        <f>IF(P186="","",MIN(D187:P187))</f>
        <v>1973.9799999999996</v>
      </c>
      <c r="S185" s="70">
        <f>IF((P187=""),"",AVERAGE(D187:P187))</f>
        <v>2046.7338461538461</v>
      </c>
      <c r="T185" s="70">
        <f>IF((P186=""),"",STDEV(D187:P187))</f>
        <v>28.923420019782736</v>
      </c>
      <c r="U185" s="97">
        <f>IF((P186=""),"",((Q185-R185)/(Q185+R185))*100)</f>
        <v>2.7514619450890048</v>
      </c>
      <c r="V185" s="71" t="str">
        <f>IF(P186="","",IF(U185&lt;7.2,IF(S185&gt;1700,IF(S185&lt;2100,"Pass","Fail"),"Fail"),"Fail"))</f>
        <v>Pass</v>
      </c>
      <c r="W185" s="72"/>
      <c r="X185" s="130"/>
      <c r="Z185" s="73">
        <v>1600</v>
      </c>
      <c r="AA185" s="73">
        <v>2600</v>
      </c>
      <c r="AB185" s="74">
        <v>1700</v>
      </c>
      <c r="AC185" s="74">
        <v>2100</v>
      </c>
      <c r="AD185" s="67">
        <v>10</v>
      </c>
      <c r="AE185" s="67">
        <v>7.2</v>
      </c>
    </row>
    <row r="186" spans="1:31" ht="15.75">
      <c r="A186"/>
      <c r="B186" s="64"/>
      <c r="C186" s="64" t="s">
        <v>78</v>
      </c>
      <c r="D186" s="49">
        <v>1905.54</v>
      </c>
      <c r="E186" s="49">
        <v>1820.65</v>
      </c>
      <c r="F186" s="49">
        <v>1811.45</v>
      </c>
      <c r="G186" s="49">
        <v>1818.69</v>
      </c>
      <c r="H186" s="49">
        <v>1900.65</v>
      </c>
      <c r="I186" s="49">
        <v>1918.7</v>
      </c>
      <c r="J186" s="49">
        <v>1825.51</v>
      </c>
      <c r="K186" s="49">
        <v>1815.06</v>
      </c>
      <c r="L186" s="49">
        <v>1921</v>
      </c>
      <c r="M186" s="49">
        <v>1834.97</v>
      </c>
      <c r="N186" s="49">
        <v>1817.57</v>
      </c>
      <c r="O186" s="49">
        <v>1837.66</v>
      </c>
      <c r="P186" s="49">
        <v>1823.6</v>
      </c>
      <c r="Q186" s="64"/>
      <c r="R186" s="64"/>
      <c r="S186" s="64"/>
      <c r="T186" s="64"/>
      <c r="U186" s="98"/>
      <c r="V186" s="75"/>
      <c r="W186" s="76"/>
      <c r="X186" s="298"/>
    </row>
    <row r="187" spans="1:31" ht="60.75" thickBot="1">
      <c r="A187"/>
      <c r="B187" s="77"/>
      <c r="C187" s="77" t="s">
        <v>79</v>
      </c>
      <c r="D187" s="78">
        <f t="shared" ref="D187:P187" si="58">IF(((D185="")*AND(D186="")),"",(D185-D186)*2)</f>
        <v>2007.3000000000002</v>
      </c>
      <c r="E187" s="78">
        <f t="shared" si="58"/>
        <v>2036.46</v>
      </c>
      <c r="F187" s="78">
        <f t="shared" si="58"/>
        <v>2054.7999999999997</v>
      </c>
      <c r="G187" s="78">
        <f t="shared" si="58"/>
        <v>2054.1800000000003</v>
      </c>
      <c r="H187" s="78">
        <f t="shared" si="58"/>
        <v>2074.42</v>
      </c>
      <c r="I187" s="78">
        <f t="shared" si="58"/>
        <v>2085.6799999999998</v>
      </c>
      <c r="J187" s="78">
        <f t="shared" si="58"/>
        <v>2058.2599999999998</v>
      </c>
      <c r="K187" s="78">
        <f t="shared" si="58"/>
        <v>2042.7399999999998</v>
      </c>
      <c r="L187" s="78">
        <f t="shared" si="58"/>
        <v>1973.9799999999996</v>
      </c>
      <c r="M187" s="78">
        <f t="shared" si="58"/>
        <v>2049.4999999999995</v>
      </c>
      <c r="N187" s="78">
        <f t="shared" si="58"/>
        <v>2061.86</v>
      </c>
      <c r="O187" s="78">
        <f t="shared" si="58"/>
        <v>2063.7999999999997</v>
      </c>
      <c r="P187" s="78">
        <f t="shared" si="58"/>
        <v>2044.5600000000004</v>
      </c>
      <c r="Q187" s="88"/>
      <c r="R187" s="77"/>
      <c r="S187" s="77"/>
      <c r="T187" s="77"/>
      <c r="U187" s="99"/>
      <c r="V187" s="79"/>
      <c r="W187" s="80"/>
      <c r="X187" s="298"/>
    </row>
    <row r="188" spans="1:31">
      <c r="A188" s="68">
        <v>43401</v>
      </c>
      <c r="B188" s="69" t="s">
        <v>76</v>
      </c>
      <c r="C188" s="70" t="s">
        <v>77</v>
      </c>
      <c r="D188" s="49">
        <v>2913.57</v>
      </c>
      <c r="E188" s="49">
        <v>2848.15</v>
      </c>
      <c r="F188" s="49">
        <v>2844.53</v>
      </c>
      <c r="G188" s="49">
        <v>2850.12</v>
      </c>
      <c r="H188" s="49">
        <v>2942.69</v>
      </c>
      <c r="I188" s="49">
        <v>2967.55</v>
      </c>
      <c r="J188" s="49">
        <v>2859.95</v>
      </c>
      <c r="K188" s="49">
        <v>2843.45</v>
      </c>
      <c r="L188" s="49">
        <v>2913.75</v>
      </c>
      <c r="M188" s="49">
        <v>2866.08</v>
      </c>
      <c r="N188" s="49">
        <v>2851.86</v>
      </c>
      <c r="O188" s="49">
        <v>2872.53</v>
      </c>
      <c r="P188" s="49">
        <v>2851.77</v>
      </c>
      <c r="Q188" s="70">
        <f>IF((P189=""),"",MAX(D190:P190))</f>
        <v>2093.0200000000004</v>
      </c>
      <c r="R188" s="70">
        <f>IF(P189="","",MIN(D190:P190))</f>
        <v>1985.8400000000001</v>
      </c>
      <c r="S188" s="70">
        <f>IF((P190=""),"",AVERAGE(D190:P190))</f>
        <v>2052.7846153846153</v>
      </c>
      <c r="T188" s="70">
        <f>IF((P189=""),"",STDEV(D190:P190))</f>
        <v>28.659009233683776</v>
      </c>
      <c r="U188" s="97">
        <f>IF((P189=""),"",((Q188-R188)/(Q188+R188))*100)</f>
        <v>2.6276949932088933</v>
      </c>
      <c r="V188" s="71" t="str">
        <f>IF(P189="","",IF(U188&lt;7.2,IF(S188&gt;1700,IF(S188&lt;2100,"Pass","Fail"),"Fail"),"Fail"))</f>
        <v>Pass</v>
      </c>
      <c r="W188" s="72">
        <v>1340</v>
      </c>
      <c r="X188" s="130"/>
      <c r="Z188" s="73">
        <v>1600</v>
      </c>
      <c r="AA188" s="73">
        <v>2600</v>
      </c>
      <c r="AB188" s="74">
        <v>1700</v>
      </c>
      <c r="AC188" s="74">
        <v>2100</v>
      </c>
      <c r="AD188" s="67">
        <v>10</v>
      </c>
      <c r="AE188" s="67">
        <v>7.2</v>
      </c>
    </row>
    <row r="189" spans="1:31" ht="15.75">
      <c r="A189"/>
      <c r="B189" s="64"/>
      <c r="C189" s="64" t="s">
        <v>78</v>
      </c>
      <c r="D189" s="49">
        <v>1912.53</v>
      </c>
      <c r="E189" s="49">
        <v>1817.1</v>
      </c>
      <c r="F189" s="49">
        <v>1810.54</v>
      </c>
      <c r="G189" s="49">
        <v>1820.22</v>
      </c>
      <c r="H189" s="49">
        <v>1908.54</v>
      </c>
      <c r="I189" s="49">
        <v>1921.04</v>
      </c>
      <c r="J189" s="49">
        <v>1831.57</v>
      </c>
      <c r="K189" s="49">
        <v>1819.57</v>
      </c>
      <c r="L189" s="49">
        <v>1920.83</v>
      </c>
      <c r="M189" s="49">
        <v>1837.6</v>
      </c>
      <c r="N189" s="49">
        <v>1817.28</v>
      </c>
      <c r="O189" s="49">
        <v>1838.53</v>
      </c>
      <c r="P189" s="49">
        <v>1827.55</v>
      </c>
      <c r="Q189" s="64"/>
      <c r="R189" s="64"/>
      <c r="S189" s="64"/>
      <c r="T189" s="64"/>
      <c r="U189" s="98"/>
      <c r="V189" s="75"/>
      <c r="W189" s="76"/>
      <c r="X189" s="298"/>
    </row>
    <row r="190" spans="1:31" ht="60.75" thickBot="1">
      <c r="A190"/>
      <c r="B190" s="77"/>
      <c r="C190" s="77" t="s">
        <v>79</v>
      </c>
      <c r="D190" s="78">
        <f t="shared" ref="D190:P190" si="59">IF(((D188="")*AND(D189="")),"",(D188-D189)*2)</f>
        <v>2002.0800000000004</v>
      </c>
      <c r="E190" s="78">
        <f t="shared" si="59"/>
        <v>2062.1000000000004</v>
      </c>
      <c r="F190" s="78">
        <f t="shared" si="59"/>
        <v>2067.9800000000005</v>
      </c>
      <c r="G190" s="78">
        <f t="shared" si="59"/>
        <v>2059.7999999999997</v>
      </c>
      <c r="H190" s="78">
        <f t="shared" si="59"/>
        <v>2068.3000000000002</v>
      </c>
      <c r="I190" s="78">
        <f t="shared" si="59"/>
        <v>2093.0200000000004</v>
      </c>
      <c r="J190" s="78">
        <f t="shared" si="59"/>
        <v>2056.7599999999998</v>
      </c>
      <c r="K190" s="78">
        <f t="shared" si="59"/>
        <v>2047.7599999999998</v>
      </c>
      <c r="L190" s="78">
        <f t="shared" si="59"/>
        <v>1985.8400000000001</v>
      </c>
      <c r="M190" s="78">
        <f t="shared" si="59"/>
        <v>2056.96</v>
      </c>
      <c r="N190" s="78">
        <f t="shared" si="59"/>
        <v>2069.1600000000003</v>
      </c>
      <c r="O190" s="78">
        <f t="shared" si="59"/>
        <v>2068.0000000000005</v>
      </c>
      <c r="P190" s="78">
        <f t="shared" si="59"/>
        <v>2048.44</v>
      </c>
      <c r="Q190" s="88"/>
      <c r="R190" s="77"/>
      <c r="S190" s="77"/>
      <c r="T190" s="77"/>
      <c r="U190" s="99"/>
      <c r="V190" s="79"/>
      <c r="W190" s="80"/>
      <c r="X190" s="298"/>
    </row>
    <row r="191" spans="1:31">
      <c r="A191" s="68">
        <v>43402</v>
      </c>
      <c r="B191" s="69" t="s">
        <v>76</v>
      </c>
      <c r="C191" s="70" t="s">
        <v>77</v>
      </c>
      <c r="D191" s="49">
        <v>2910.47</v>
      </c>
      <c r="E191" s="49">
        <v>2847.07</v>
      </c>
      <c r="F191" s="49">
        <v>2846.11</v>
      </c>
      <c r="G191" s="49">
        <v>2854.52</v>
      </c>
      <c r="H191" s="49">
        <v>2945.81</v>
      </c>
      <c r="I191" s="49">
        <v>2963.28</v>
      </c>
      <c r="J191" s="49">
        <v>2862.72</v>
      </c>
      <c r="K191" s="49">
        <v>2845.47</v>
      </c>
      <c r="L191" s="49">
        <v>2910.8</v>
      </c>
      <c r="M191" s="49">
        <v>2864.47</v>
      </c>
      <c r="N191" s="49">
        <v>2856.6</v>
      </c>
      <c r="O191" s="49">
        <v>2872.52</v>
      </c>
      <c r="P191" s="49">
        <v>2854.83</v>
      </c>
      <c r="Q191" s="70">
        <f>IF((P192=""),"",MAX(D193:P193))</f>
        <v>2082.7200000000003</v>
      </c>
      <c r="R191" s="70">
        <f>IF(P192="","",MIN(D193:P193))</f>
        <v>1985.5400000000004</v>
      </c>
      <c r="S191" s="70">
        <f>IF((P193=""),"",AVERAGE(D193:P193))</f>
        <v>2045.4646153846154</v>
      </c>
      <c r="T191" s="70">
        <f>IF((P192=""),"",STDEV(D193:P193))</f>
        <v>26.551817456719217</v>
      </c>
      <c r="U191" s="97">
        <f>IF((P192=""),"",((Q191-R191)/(Q191+R191))*100)</f>
        <v>2.3887362164660031</v>
      </c>
      <c r="V191" s="71" t="str">
        <f>IF(P192="","",IF(U191&lt;7.2,IF(S191&gt;1700,IF(S191&lt;2100,"Pass","Fail"),"Fail"),"Fail"))</f>
        <v>Pass</v>
      </c>
      <c r="W191" s="72">
        <v>1428</v>
      </c>
      <c r="X191" s="130"/>
      <c r="Z191" s="73">
        <v>1600</v>
      </c>
      <c r="AA191" s="73">
        <v>2600</v>
      </c>
      <c r="AB191" s="74">
        <v>1700</v>
      </c>
      <c r="AC191" s="74">
        <v>2100</v>
      </c>
      <c r="AD191" s="67">
        <v>10</v>
      </c>
      <c r="AE191" s="67">
        <v>7.2</v>
      </c>
    </row>
    <row r="192" spans="1:31" ht="15.75">
      <c r="A192"/>
      <c r="B192" s="64"/>
      <c r="C192" s="64" t="s">
        <v>78</v>
      </c>
      <c r="D192" s="49">
        <v>1908.79</v>
      </c>
      <c r="E192" s="49">
        <v>1831.48</v>
      </c>
      <c r="F192" s="49">
        <v>1821.4</v>
      </c>
      <c r="G192" s="49">
        <v>1822.74</v>
      </c>
      <c r="H192" s="49">
        <v>1911.68</v>
      </c>
      <c r="I192" s="49">
        <v>1921.92</v>
      </c>
      <c r="J192" s="49">
        <v>1835.01</v>
      </c>
      <c r="K192" s="49">
        <v>1820.43</v>
      </c>
      <c r="L192" s="49">
        <v>1918.03</v>
      </c>
      <c r="M192" s="49">
        <v>1845.55</v>
      </c>
      <c r="N192" s="49">
        <v>1826.44</v>
      </c>
      <c r="O192" s="49">
        <v>1842.14</v>
      </c>
      <c r="P192" s="49">
        <v>1833.54</v>
      </c>
      <c r="Q192" s="64"/>
      <c r="R192" s="64"/>
      <c r="S192" s="64"/>
      <c r="T192" s="64"/>
      <c r="U192" s="98"/>
      <c r="V192" s="75"/>
      <c r="W192" s="76"/>
      <c r="X192" s="298"/>
    </row>
    <row r="193" spans="1:31" ht="60.75" thickBot="1">
      <c r="A193"/>
      <c r="B193" s="77"/>
      <c r="C193" s="77" t="s">
        <v>79</v>
      </c>
      <c r="D193" s="78">
        <f t="shared" ref="D193:P193" si="60">IF(((D191="")*AND(D192="")),"",(D191-D192)*2)</f>
        <v>2003.3599999999997</v>
      </c>
      <c r="E193" s="78">
        <f t="shared" si="60"/>
        <v>2031.1800000000003</v>
      </c>
      <c r="F193" s="78">
        <f t="shared" si="60"/>
        <v>2049.42</v>
      </c>
      <c r="G193" s="78">
        <f t="shared" si="60"/>
        <v>2063.56</v>
      </c>
      <c r="H193" s="78">
        <f t="shared" si="60"/>
        <v>2068.2599999999998</v>
      </c>
      <c r="I193" s="78">
        <f t="shared" si="60"/>
        <v>2082.7200000000003</v>
      </c>
      <c r="J193" s="78">
        <f t="shared" si="60"/>
        <v>2055.4199999999996</v>
      </c>
      <c r="K193" s="78">
        <f t="shared" si="60"/>
        <v>2050.0799999999995</v>
      </c>
      <c r="L193" s="78">
        <f t="shared" si="60"/>
        <v>1985.5400000000004</v>
      </c>
      <c r="M193" s="78">
        <f t="shared" si="60"/>
        <v>2037.8399999999997</v>
      </c>
      <c r="N193" s="78">
        <f t="shared" si="60"/>
        <v>2060.3199999999997</v>
      </c>
      <c r="O193" s="78">
        <f t="shared" si="60"/>
        <v>2060.7599999999998</v>
      </c>
      <c r="P193" s="78">
        <f t="shared" si="60"/>
        <v>2042.58</v>
      </c>
      <c r="Q193" s="88"/>
      <c r="R193" s="77"/>
      <c r="S193" s="77"/>
      <c r="T193" s="77"/>
      <c r="U193" s="99"/>
      <c r="V193" s="79"/>
      <c r="W193" s="80"/>
      <c r="X193" s="298"/>
    </row>
    <row r="194" spans="1:31" ht="15.75" customHeight="1">
      <c r="A194" s="68">
        <v>43404</v>
      </c>
      <c r="B194" s="69" t="s">
        <v>76</v>
      </c>
      <c r="C194" s="70" t="s">
        <v>77</v>
      </c>
      <c r="D194" s="49">
        <v>2910.63</v>
      </c>
      <c r="E194" s="49">
        <v>2854.35</v>
      </c>
      <c r="F194" s="49">
        <v>2847.91</v>
      </c>
      <c r="G194" s="49">
        <v>2861.54</v>
      </c>
      <c r="H194" s="49">
        <v>2953.24</v>
      </c>
      <c r="I194" s="49">
        <v>2972.72</v>
      </c>
      <c r="J194" s="49">
        <v>2867.93</v>
      </c>
      <c r="K194" s="49">
        <v>2850.99</v>
      </c>
      <c r="L194" s="49">
        <v>2905.1</v>
      </c>
      <c r="M194" s="49">
        <v>2866.73</v>
      </c>
      <c r="N194" s="49">
        <v>2862.23</v>
      </c>
      <c r="O194" s="49">
        <v>2882.06</v>
      </c>
      <c r="P194" s="49">
        <v>2854.83</v>
      </c>
      <c r="Q194" s="70">
        <f>IF((P195=""),"",MAX(D196:P196))</f>
        <v>2063.2599999999998</v>
      </c>
      <c r="R194" s="70">
        <f>IF(P195="","",MIN(D196:P196))</f>
        <v>1964.6999999999998</v>
      </c>
      <c r="S194" s="70">
        <f>IF((P196=""),"",AVERAGE(D196:P196))</f>
        <v>2028.8430769230772</v>
      </c>
      <c r="T194" s="70">
        <f>IF((P195=""),"",STDEV(D196:P196))</f>
        <v>27.989067920795186</v>
      </c>
      <c r="U194" s="97">
        <f>IF((P195=""),"",((Q194-R194)/(Q194+R194))*100)</f>
        <v>2.4468961955928052</v>
      </c>
      <c r="V194" s="71" t="str">
        <f>IF(P195="","",IF(U194&lt;7.2,IF(S194&gt;1700,IF(S194&lt;2100,"Pass","Fail"),"Fail"),"Fail"))</f>
        <v>Pass</v>
      </c>
      <c r="W194" s="72">
        <v>1335</v>
      </c>
      <c r="X194" s="374" t="s">
        <v>96</v>
      </c>
      <c r="Z194" s="73">
        <v>1600</v>
      </c>
      <c r="AA194" s="73">
        <v>2600</v>
      </c>
      <c r="AB194" s="74">
        <v>1700</v>
      </c>
      <c r="AC194" s="74">
        <v>2100</v>
      </c>
      <c r="AD194" s="67">
        <v>10</v>
      </c>
      <c r="AE194" s="67">
        <v>7.2</v>
      </c>
    </row>
    <row r="195" spans="1:31" ht="15.75">
      <c r="A195"/>
      <c r="B195" s="64"/>
      <c r="C195" s="64" t="s">
        <v>78</v>
      </c>
      <c r="D195" s="49">
        <v>1915.72</v>
      </c>
      <c r="E195" s="49">
        <v>1842.31</v>
      </c>
      <c r="F195" s="49">
        <v>1836.51</v>
      </c>
      <c r="G195" s="49">
        <v>1844.73</v>
      </c>
      <c r="H195" s="49">
        <v>1921.61</v>
      </c>
      <c r="I195" s="49">
        <v>1943.92</v>
      </c>
      <c r="J195" s="49">
        <v>1842.98</v>
      </c>
      <c r="K195" s="49">
        <v>1833.87</v>
      </c>
      <c r="L195" s="49">
        <v>1922.75</v>
      </c>
      <c r="M195" s="49">
        <v>1857.52</v>
      </c>
      <c r="N195" s="49">
        <v>1842.63</v>
      </c>
      <c r="O195" s="49">
        <v>1852.8</v>
      </c>
      <c r="P195" s="49">
        <v>1845.43</v>
      </c>
      <c r="Q195" s="64"/>
      <c r="R195" s="64"/>
      <c r="S195" s="64"/>
      <c r="T195" s="64"/>
      <c r="U195" s="98"/>
      <c r="V195" s="75"/>
      <c r="W195" s="76"/>
      <c r="X195" s="298"/>
    </row>
    <row r="196" spans="1:31" ht="60.75" thickBot="1">
      <c r="A196"/>
      <c r="B196" s="77"/>
      <c r="C196" s="77" t="s">
        <v>79</v>
      </c>
      <c r="D196" s="78">
        <f t="shared" ref="D196:P196" si="61">IF(((D194="")*AND(D195="")),"",(D194-D195)*2)</f>
        <v>1989.8200000000002</v>
      </c>
      <c r="E196" s="78">
        <f t="shared" si="61"/>
        <v>2024.08</v>
      </c>
      <c r="F196" s="78">
        <f t="shared" si="61"/>
        <v>2022.7999999999997</v>
      </c>
      <c r="G196" s="78">
        <f t="shared" si="61"/>
        <v>2033.62</v>
      </c>
      <c r="H196" s="78">
        <f t="shared" si="61"/>
        <v>2063.2599999999998</v>
      </c>
      <c r="I196" s="78">
        <f t="shared" si="61"/>
        <v>2057.5999999999995</v>
      </c>
      <c r="J196" s="78">
        <f t="shared" si="61"/>
        <v>2049.8999999999996</v>
      </c>
      <c r="K196" s="78">
        <f t="shared" si="61"/>
        <v>2034.2399999999998</v>
      </c>
      <c r="L196" s="78">
        <f t="shared" si="61"/>
        <v>1964.6999999999998</v>
      </c>
      <c r="M196" s="78">
        <f t="shared" si="61"/>
        <v>2018.42</v>
      </c>
      <c r="N196" s="78">
        <f t="shared" si="61"/>
        <v>2039.1999999999998</v>
      </c>
      <c r="O196" s="78">
        <f t="shared" si="61"/>
        <v>2058.52</v>
      </c>
      <c r="P196" s="78">
        <f t="shared" si="61"/>
        <v>2018.7999999999997</v>
      </c>
      <c r="Q196" s="88"/>
      <c r="R196" s="77"/>
      <c r="S196" s="77"/>
      <c r="T196" s="77"/>
      <c r="U196" s="99"/>
      <c r="V196" s="79"/>
      <c r="W196" s="80"/>
      <c r="X196" s="298"/>
    </row>
    <row r="197" spans="1:31">
      <c r="A197" s="68">
        <v>43409</v>
      </c>
      <c r="B197" s="69" t="s">
        <v>76</v>
      </c>
      <c r="C197" s="70" t="s">
        <v>77</v>
      </c>
      <c r="D197" s="49">
        <v>2915</v>
      </c>
      <c r="E197" s="49">
        <v>2852.52</v>
      </c>
      <c r="F197" s="49">
        <v>2849.42</v>
      </c>
      <c r="G197" s="49">
        <v>2859.35</v>
      </c>
      <c r="H197" s="49">
        <v>2945.22</v>
      </c>
      <c r="I197" s="49">
        <v>2964.64</v>
      </c>
      <c r="J197" s="49">
        <v>2862.76</v>
      </c>
      <c r="K197" s="49">
        <v>2849.63</v>
      </c>
      <c r="L197" s="49">
        <v>2913.37</v>
      </c>
      <c r="M197" s="49">
        <v>2869.34</v>
      </c>
      <c r="N197" s="49">
        <v>2855.01</v>
      </c>
      <c r="O197" s="49">
        <v>2879.97</v>
      </c>
      <c r="P197" s="49">
        <v>2852.92</v>
      </c>
      <c r="Q197" s="70">
        <f>IF((P198=""),"",MAX(D199:P199))</f>
        <v>2056.6999999999998</v>
      </c>
      <c r="R197" s="70">
        <f>IF(P198="","",MIN(D199:P199))</f>
        <v>1974.8399999999997</v>
      </c>
      <c r="S197" s="70">
        <f>IF((P199=""),"",AVERAGE(D199:P199))</f>
        <v>2023.6523076923077</v>
      </c>
      <c r="T197" s="70">
        <f>IF((P198=""),"",STDEV(D199:P199))</f>
        <v>23.638668234429637</v>
      </c>
      <c r="U197" s="97">
        <f>IF((P198=""),"",((Q197-R197)/(Q197+R197))*100)</f>
        <v>2.030489589586117</v>
      </c>
      <c r="V197" s="71" t="str">
        <f>IF(P198="","",IF(U197&lt;7.2,IF(S197&gt;1700,IF(S197&lt;2100,"Pass","Fail"),"Fail"),"Fail"))</f>
        <v>Pass</v>
      </c>
      <c r="W197" s="72">
        <v>1335</v>
      </c>
      <c r="X197" s="130"/>
      <c r="Z197" s="73">
        <v>1600</v>
      </c>
      <c r="AA197" s="73">
        <v>2600</v>
      </c>
      <c r="AB197" s="74">
        <v>1700</v>
      </c>
      <c r="AC197" s="74">
        <v>2100</v>
      </c>
      <c r="AD197" s="67">
        <v>10</v>
      </c>
      <c r="AE197" s="67">
        <v>7.2</v>
      </c>
    </row>
    <row r="198" spans="1:31" ht="15.75">
      <c r="A198"/>
      <c r="B198" s="64"/>
      <c r="C198" s="64" t="s">
        <v>78</v>
      </c>
      <c r="D198" s="49">
        <v>1918.41</v>
      </c>
      <c r="E198" s="49">
        <v>1845.24</v>
      </c>
      <c r="F198" s="49">
        <v>1840.21</v>
      </c>
      <c r="G198" s="49">
        <v>1836.06</v>
      </c>
      <c r="H198" s="49">
        <v>1918.03</v>
      </c>
      <c r="I198" s="49">
        <v>1947.62</v>
      </c>
      <c r="J198" s="49">
        <v>1843.45</v>
      </c>
      <c r="K198" s="49">
        <v>1836.35</v>
      </c>
      <c r="L198" s="49">
        <v>1925.95</v>
      </c>
      <c r="M198" s="49">
        <v>1860.49</v>
      </c>
      <c r="N198" s="49">
        <v>1841.7</v>
      </c>
      <c r="O198" s="49">
        <v>1851.62</v>
      </c>
      <c r="P198" s="49">
        <v>1850.28</v>
      </c>
      <c r="Q198" s="64"/>
      <c r="R198" s="64"/>
      <c r="S198" s="64"/>
      <c r="T198" s="64"/>
      <c r="U198" s="98"/>
      <c r="V198" s="75"/>
      <c r="W198" s="76"/>
      <c r="X198" s="298"/>
    </row>
    <row r="199" spans="1:31" ht="60.75" thickBot="1">
      <c r="A199"/>
      <c r="B199" s="77"/>
      <c r="C199" s="77" t="s">
        <v>79</v>
      </c>
      <c r="D199" s="78">
        <f t="shared" ref="D199:P199" si="62">IF(((D197="")*AND(D198="")),"",(D197-D198)*2)</f>
        <v>1993.1799999999998</v>
      </c>
      <c r="E199" s="78">
        <f t="shared" si="62"/>
        <v>2014.56</v>
      </c>
      <c r="F199" s="78">
        <f t="shared" si="62"/>
        <v>2018.42</v>
      </c>
      <c r="G199" s="78">
        <f t="shared" si="62"/>
        <v>2046.58</v>
      </c>
      <c r="H199" s="78">
        <f t="shared" si="62"/>
        <v>2054.3799999999997</v>
      </c>
      <c r="I199" s="78">
        <f t="shared" si="62"/>
        <v>2034.04</v>
      </c>
      <c r="J199" s="78">
        <f t="shared" si="62"/>
        <v>2038.6200000000003</v>
      </c>
      <c r="K199" s="78">
        <f t="shared" si="62"/>
        <v>2026.5600000000004</v>
      </c>
      <c r="L199" s="78">
        <f t="shared" si="62"/>
        <v>1974.8399999999997</v>
      </c>
      <c r="M199" s="78">
        <f t="shared" si="62"/>
        <v>2017.7000000000003</v>
      </c>
      <c r="N199" s="78">
        <f t="shared" si="62"/>
        <v>2026.6200000000003</v>
      </c>
      <c r="O199" s="78">
        <f t="shared" si="62"/>
        <v>2056.6999999999998</v>
      </c>
      <c r="P199" s="78">
        <f t="shared" si="62"/>
        <v>2005.2800000000002</v>
      </c>
      <c r="Q199" s="88"/>
      <c r="R199" s="77"/>
      <c r="S199" s="77"/>
      <c r="T199" s="77"/>
      <c r="U199" s="99"/>
      <c r="V199" s="79"/>
      <c r="W199" s="80"/>
      <c r="X199" s="298"/>
    </row>
    <row r="200" spans="1:31">
      <c r="A200" s="68">
        <v>43413</v>
      </c>
      <c r="B200" s="69" t="s">
        <v>76</v>
      </c>
      <c r="C200" s="70" t="s">
        <v>77</v>
      </c>
      <c r="D200" s="49">
        <v>2978.47</v>
      </c>
      <c r="E200" s="49">
        <v>2872.92</v>
      </c>
      <c r="F200" s="49">
        <v>2849.14</v>
      </c>
      <c r="G200" s="49">
        <v>2847.52</v>
      </c>
      <c r="H200" s="49">
        <v>2916.67</v>
      </c>
      <c r="I200" s="49">
        <v>2909.45</v>
      </c>
      <c r="J200" s="49">
        <v>2852.21</v>
      </c>
      <c r="K200" s="49">
        <v>2861.84</v>
      </c>
      <c r="L200" s="49">
        <v>2932.31</v>
      </c>
      <c r="M200" s="49">
        <v>2874.94</v>
      </c>
      <c r="N200" s="49">
        <v>2861.4</v>
      </c>
      <c r="O200" s="49">
        <v>2853.91</v>
      </c>
      <c r="P200" s="49">
        <v>2881.91</v>
      </c>
      <c r="Q200" s="70">
        <f>IF((P201=""),"",MAX(D202:P202))</f>
        <v>2044.1200000000003</v>
      </c>
      <c r="R200" s="70">
        <f>IF(P201="","",MIN(D202:P202))</f>
        <v>1988.3199999999997</v>
      </c>
      <c r="S200" s="70">
        <f>IF((P202=""),"",AVERAGE(D202:P202))</f>
        <v>2029.8184615384614</v>
      </c>
      <c r="T200" s="70">
        <f>IF((P201=""),"",STDEV(D202:P202))</f>
        <v>15.069734484598788</v>
      </c>
      <c r="U200" s="97">
        <f>IF((P201=""),"",((Q200-R200)/(Q200+R200))*100)</f>
        <v>1.3837775639563299</v>
      </c>
      <c r="V200" s="71" t="str">
        <f>IF(P201="","",IF(U200&lt;7.2,IF(S200&gt;1700,IF(S200&lt;2100,"Pass","Fail"),"Fail"),"Fail"))</f>
        <v>Pass</v>
      </c>
      <c r="W200" s="72">
        <v>1428</v>
      </c>
      <c r="X200" s="130"/>
      <c r="Z200" s="73">
        <v>1600</v>
      </c>
      <c r="AA200" s="73">
        <v>2600</v>
      </c>
      <c r="AB200" s="74">
        <v>1700</v>
      </c>
      <c r="AC200" s="74">
        <v>2100</v>
      </c>
      <c r="AD200" s="67">
        <v>10</v>
      </c>
      <c r="AE200" s="67">
        <v>7.2</v>
      </c>
    </row>
    <row r="201" spans="1:31" ht="15.75">
      <c r="A201"/>
      <c r="B201" s="64"/>
      <c r="C201" s="64" t="s">
        <v>78</v>
      </c>
      <c r="D201" s="49">
        <v>1956.45</v>
      </c>
      <c r="E201" s="49">
        <v>1860.11</v>
      </c>
      <c r="F201" s="49">
        <v>1837.43</v>
      </c>
      <c r="G201" s="49">
        <v>1829.75</v>
      </c>
      <c r="H201" s="49">
        <v>1894.61</v>
      </c>
      <c r="I201" s="49">
        <v>1889.79</v>
      </c>
      <c r="J201" s="49">
        <v>1840.23</v>
      </c>
      <c r="K201" s="49">
        <v>1842.58</v>
      </c>
      <c r="L201" s="49">
        <v>1938.15</v>
      </c>
      <c r="M201" s="49">
        <v>1865.62</v>
      </c>
      <c r="N201" s="49">
        <v>1841.09</v>
      </c>
      <c r="O201" s="49">
        <v>1835.14</v>
      </c>
      <c r="P201" s="49">
        <v>1867.92</v>
      </c>
      <c r="Q201" s="64"/>
      <c r="R201" s="64"/>
      <c r="S201" s="64"/>
      <c r="T201" s="64"/>
      <c r="U201" s="98"/>
      <c r="V201" s="75"/>
      <c r="W201" s="76"/>
      <c r="X201" s="298"/>
    </row>
    <row r="202" spans="1:31" ht="60.75" thickBot="1">
      <c r="A202"/>
      <c r="B202" s="77"/>
      <c r="C202" s="77" t="s">
        <v>79</v>
      </c>
      <c r="D202" s="78">
        <f t="shared" ref="D202:P202" si="63">IF(((D200="")*AND(D201="")),"",(D200-D201)*2)</f>
        <v>2044.0399999999995</v>
      </c>
      <c r="E202" s="78">
        <f t="shared" si="63"/>
        <v>2025.6200000000003</v>
      </c>
      <c r="F202" s="78">
        <f t="shared" si="63"/>
        <v>2023.4199999999996</v>
      </c>
      <c r="G202" s="78">
        <f t="shared" si="63"/>
        <v>2035.54</v>
      </c>
      <c r="H202" s="78">
        <f t="shared" si="63"/>
        <v>2044.1200000000003</v>
      </c>
      <c r="I202" s="78">
        <f t="shared" si="63"/>
        <v>2039.3199999999997</v>
      </c>
      <c r="J202" s="78">
        <f t="shared" si="63"/>
        <v>2023.96</v>
      </c>
      <c r="K202" s="78">
        <f t="shared" si="63"/>
        <v>2038.5200000000004</v>
      </c>
      <c r="L202" s="78">
        <f t="shared" si="63"/>
        <v>1988.3199999999997</v>
      </c>
      <c r="M202" s="78">
        <f t="shared" si="63"/>
        <v>2018.6400000000003</v>
      </c>
      <c r="N202" s="78">
        <f t="shared" si="63"/>
        <v>2040.6200000000003</v>
      </c>
      <c r="O202" s="78">
        <f t="shared" si="63"/>
        <v>2037.5399999999995</v>
      </c>
      <c r="P202" s="78">
        <f t="shared" si="63"/>
        <v>2027.9799999999996</v>
      </c>
      <c r="Q202" s="88"/>
      <c r="R202" s="77"/>
      <c r="S202" s="77"/>
      <c r="T202" s="77"/>
      <c r="U202" s="99"/>
      <c r="V202" s="79"/>
      <c r="W202" s="80"/>
      <c r="X202" s="298"/>
    </row>
    <row r="203" spans="1:31">
      <c r="A203" s="68">
        <v>43424</v>
      </c>
      <c r="B203" s="69" t="s">
        <v>76</v>
      </c>
      <c r="C203" s="70" t="s">
        <v>77</v>
      </c>
      <c r="D203" s="49">
        <v>2900.73</v>
      </c>
      <c r="E203" s="49">
        <v>2853.21</v>
      </c>
      <c r="F203" s="49">
        <v>2851.4</v>
      </c>
      <c r="G203" s="49">
        <v>2872.29</v>
      </c>
      <c r="H203" s="49">
        <v>2972.35</v>
      </c>
      <c r="I203" s="49">
        <v>2903.29</v>
      </c>
      <c r="J203" s="49">
        <v>2850.03</v>
      </c>
      <c r="K203" s="49">
        <v>2872.36</v>
      </c>
      <c r="L203" s="49">
        <v>2971.51</v>
      </c>
      <c r="M203" s="49">
        <v>2854.32</v>
      </c>
      <c r="N203" s="49">
        <v>2890.08</v>
      </c>
      <c r="O203" s="49">
        <v>2868.36</v>
      </c>
      <c r="P203" s="49">
        <v>2866.89</v>
      </c>
      <c r="Q203" s="70">
        <f>IF((P204=""),"",MAX(D205:P205))</f>
        <v>2081.8599999999997</v>
      </c>
      <c r="R203" s="70">
        <f>IF(P204="","",MIN(D205:P205))</f>
        <v>2003.7600000000002</v>
      </c>
      <c r="S203" s="70">
        <f>IF((P205=""),"",AVERAGE(D205:P205))</f>
        <v>2048.5661538461541</v>
      </c>
      <c r="T203" s="70">
        <f>IF((P204=""),"",STDEV(D205:P205))</f>
        <v>22.087752842721468</v>
      </c>
      <c r="U203" s="97">
        <f>IF((P204=""),"",((Q203-R203)/(Q203+R203))*100)</f>
        <v>1.9115825749824862</v>
      </c>
      <c r="V203" s="71" t="str">
        <f>IF(P204="","",IF(U203&lt;7.2,IF(S203&gt;1700,IF(S203&lt;2100,"Pass","Fail"),"Fail"),"Fail"))</f>
        <v>Pass</v>
      </c>
      <c r="W203" s="72">
        <v>1335</v>
      </c>
      <c r="X203" s="373" t="s">
        <v>97</v>
      </c>
      <c r="Z203" s="73">
        <v>1600</v>
      </c>
      <c r="AA203" s="73">
        <v>2600</v>
      </c>
      <c r="AB203" s="74">
        <v>1700</v>
      </c>
      <c r="AC203" s="74">
        <v>2100</v>
      </c>
      <c r="AD203" s="67">
        <v>10</v>
      </c>
      <c r="AE203" s="67">
        <v>7.2</v>
      </c>
    </row>
    <row r="204" spans="1:31" ht="15.75">
      <c r="A204"/>
      <c r="B204" s="64"/>
      <c r="C204" s="64" t="s">
        <v>78</v>
      </c>
      <c r="D204" s="49">
        <v>1898.85</v>
      </c>
      <c r="E204" s="49">
        <v>1835.32</v>
      </c>
      <c r="F204" s="49">
        <v>1828.99</v>
      </c>
      <c r="G204" s="49">
        <v>1831.41</v>
      </c>
      <c r="H204" s="49">
        <v>1941.17</v>
      </c>
      <c r="I204" s="49">
        <v>1879.48</v>
      </c>
      <c r="J204" s="49">
        <v>1825.09</v>
      </c>
      <c r="K204" s="49">
        <v>1844.92</v>
      </c>
      <c r="L204" s="49">
        <v>1957.29</v>
      </c>
      <c r="M204" s="49">
        <v>1837.93</v>
      </c>
      <c r="N204" s="49">
        <v>1849.15</v>
      </c>
      <c r="O204" s="49">
        <v>1833.45</v>
      </c>
      <c r="P204" s="49">
        <v>1848.09</v>
      </c>
      <c r="Q204" s="64"/>
      <c r="R204" s="64"/>
      <c r="S204" s="64"/>
      <c r="T204" s="64"/>
      <c r="U204" s="98"/>
      <c r="V204" s="75"/>
      <c r="W204" s="76"/>
      <c r="X204" s="298"/>
    </row>
    <row r="205" spans="1:31" ht="60.75" thickBot="1">
      <c r="A205"/>
      <c r="B205" s="77"/>
      <c r="C205" s="77" t="s">
        <v>79</v>
      </c>
      <c r="D205" s="78">
        <f t="shared" ref="D205:P205" si="64">IF(((D203="")*AND(D204="")),"",(D203-D204)*2)</f>
        <v>2003.7600000000002</v>
      </c>
      <c r="E205" s="78">
        <f t="shared" si="64"/>
        <v>2035.7800000000002</v>
      </c>
      <c r="F205" s="78">
        <f t="shared" si="64"/>
        <v>2044.8200000000002</v>
      </c>
      <c r="G205" s="78">
        <f t="shared" si="64"/>
        <v>2081.7599999999998</v>
      </c>
      <c r="H205" s="78">
        <f t="shared" si="64"/>
        <v>2062.3599999999997</v>
      </c>
      <c r="I205" s="78">
        <f t="shared" si="64"/>
        <v>2047.62</v>
      </c>
      <c r="J205" s="78">
        <f t="shared" si="64"/>
        <v>2049.8800000000006</v>
      </c>
      <c r="K205" s="78">
        <f t="shared" si="64"/>
        <v>2054.88</v>
      </c>
      <c r="L205" s="78">
        <f t="shared" si="64"/>
        <v>2028.4400000000005</v>
      </c>
      <c r="M205" s="78">
        <f t="shared" si="64"/>
        <v>2032.7800000000002</v>
      </c>
      <c r="N205" s="78">
        <f t="shared" si="64"/>
        <v>2081.8599999999997</v>
      </c>
      <c r="O205" s="78">
        <f t="shared" si="64"/>
        <v>2069.8200000000002</v>
      </c>
      <c r="P205" s="78">
        <f t="shared" si="64"/>
        <v>2037.6</v>
      </c>
      <c r="Q205" s="88"/>
      <c r="R205" s="77"/>
      <c r="S205" s="77"/>
      <c r="T205" s="77"/>
      <c r="U205" s="99"/>
      <c r="V205" s="79"/>
      <c r="W205" s="80"/>
      <c r="X205" s="298"/>
    </row>
    <row r="206" spans="1:31">
      <c r="A206" s="68">
        <v>43430</v>
      </c>
      <c r="B206" s="69" t="s">
        <v>76</v>
      </c>
      <c r="C206" s="70" t="s">
        <v>77</v>
      </c>
      <c r="D206" s="49">
        <v>2893.72</v>
      </c>
      <c r="E206" s="49">
        <v>2849.5</v>
      </c>
      <c r="F206" s="49">
        <v>2849.45</v>
      </c>
      <c r="G206" s="49">
        <v>2866.21</v>
      </c>
      <c r="H206" s="49">
        <v>2971.33</v>
      </c>
      <c r="I206" s="49">
        <v>2900.54</v>
      </c>
      <c r="J206" s="49">
        <v>2850.71</v>
      </c>
      <c r="K206" s="49">
        <v>2868.41</v>
      </c>
      <c r="L206" s="49">
        <v>2963.92</v>
      </c>
      <c r="M206" s="49">
        <v>2850.63</v>
      </c>
      <c r="N206" s="49">
        <v>2885.69</v>
      </c>
      <c r="O206" s="49">
        <v>2868</v>
      </c>
      <c r="P206" s="49">
        <v>2862.35</v>
      </c>
      <c r="Q206" s="70">
        <f>IF((P207=""),"",MAX(D208:P208))</f>
        <v>2081.52</v>
      </c>
      <c r="R206" s="70">
        <f>IF(P207="","",MIN(D208:P208))</f>
        <v>1981.8999999999996</v>
      </c>
      <c r="S206" s="70">
        <f>IF((P208=""),"",AVERAGE(D208:P208))</f>
        <v>2041.3815384615384</v>
      </c>
      <c r="T206" s="70">
        <f>IF((P207=""),"",STDEV(D208:P208))</f>
        <v>26.514233236171819</v>
      </c>
      <c r="U206" s="97">
        <f>IF((P207=""),"",((Q206-R206)/(Q206+R206))*100)</f>
        <v>2.4516294156154266</v>
      </c>
      <c r="V206" s="71" t="str">
        <f>IF(P207="","",IF(U206&lt;7.2,IF(S206&gt;1700,IF(S206&lt;2100,"Pass","Fail"),"Fail"),"Fail"))</f>
        <v>Pass</v>
      </c>
      <c r="W206" s="72">
        <v>74</v>
      </c>
      <c r="X206" s="130"/>
      <c r="Z206" s="73">
        <v>1600</v>
      </c>
      <c r="AA206" s="73">
        <v>2600</v>
      </c>
      <c r="AB206" s="74">
        <v>1700</v>
      </c>
      <c r="AC206" s="74">
        <v>2100</v>
      </c>
      <c r="AD206" s="67">
        <v>10</v>
      </c>
      <c r="AE206" s="67">
        <v>7.2</v>
      </c>
    </row>
    <row r="207" spans="1:31" ht="15.75">
      <c r="A207"/>
      <c r="B207" s="64"/>
      <c r="C207" s="64" t="s">
        <v>78</v>
      </c>
      <c r="D207" s="49">
        <v>1902.77</v>
      </c>
      <c r="E207" s="49">
        <v>1835.15</v>
      </c>
      <c r="F207" s="49">
        <v>1831.68</v>
      </c>
      <c r="G207" s="49">
        <v>1833.64</v>
      </c>
      <c r="H207" s="49">
        <v>1930.57</v>
      </c>
      <c r="I207" s="49">
        <v>1874.85</v>
      </c>
      <c r="J207" s="49">
        <v>1832.17</v>
      </c>
      <c r="K207" s="49">
        <v>1849.26</v>
      </c>
      <c r="L207" s="49">
        <v>1951.06</v>
      </c>
      <c r="M207" s="49">
        <v>1835.48</v>
      </c>
      <c r="N207" s="49">
        <v>1851.29</v>
      </c>
      <c r="O207" s="49">
        <v>1832.25</v>
      </c>
      <c r="P207" s="49">
        <v>1851.31</v>
      </c>
      <c r="Q207" s="64"/>
      <c r="R207" s="64"/>
      <c r="S207" s="64"/>
      <c r="T207" s="64"/>
      <c r="U207" s="98"/>
      <c r="V207" s="75"/>
      <c r="W207" s="76"/>
      <c r="X207" s="298"/>
    </row>
    <row r="208" spans="1:31" ht="60.75" thickBot="1">
      <c r="A208"/>
      <c r="B208" s="77"/>
      <c r="C208" s="77" t="s">
        <v>79</v>
      </c>
      <c r="D208" s="78">
        <f t="shared" ref="D208:P208" si="65">IF(((D206="")*AND(D207="")),"",(D206-D207)*2)</f>
        <v>1981.8999999999996</v>
      </c>
      <c r="E208" s="78">
        <f t="shared" si="65"/>
        <v>2028.6999999999998</v>
      </c>
      <c r="F208" s="78">
        <f t="shared" si="65"/>
        <v>2035.5399999999995</v>
      </c>
      <c r="G208" s="78">
        <f t="shared" si="65"/>
        <v>2065.14</v>
      </c>
      <c r="H208" s="78">
        <f t="shared" si="65"/>
        <v>2081.52</v>
      </c>
      <c r="I208" s="78">
        <f t="shared" si="65"/>
        <v>2051.38</v>
      </c>
      <c r="J208" s="78">
        <f t="shared" si="65"/>
        <v>2037.08</v>
      </c>
      <c r="K208" s="78">
        <f t="shared" si="65"/>
        <v>2038.2999999999997</v>
      </c>
      <c r="L208" s="78">
        <f t="shared" si="65"/>
        <v>2025.7200000000003</v>
      </c>
      <c r="M208" s="78">
        <f t="shared" si="65"/>
        <v>2030.3000000000002</v>
      </c>
      <c r="N208" s="78">
        <f t="shared" si="65"/>
        <v>2068.8000000000002</v>
      </c>
      <c r="O208" s="78">
        <f t="shared" si="65"/>
        <v>2071.5</v>
      </c>
      <c r="P208" s="78">
        <f t="shared" si="65"/>
        <v>2022.08</v>
      </c>
      <c r="Q208" s="88"/>
      <c r="R208" s="77"/>
      <c r="S208" s="77"/>
      <c r="T208" s="77"/>
      <c r="U208" s="99"/>
      <c r="V208" s="79"/>
      <c r="W208" s="80"/>
      <c r="X208" s="298"/>
    </row>
    <row r="209" spans="1:31">
      <c r="A209" s="68">
        <v>43438</v>
      </c>
      <c r="B209" s="69" t="s">
        <v>76</v>
      </c>
      <c r="C209" s="70" t="s">
        <v>77</v>
      </c>
      <c r="D209" s="49">
        <v>2902.16</v>
      </c>
      <c r="E209" s="49">
        <v>2847.46</v>
      </c>
      <c r="F209" s="49">
        <v>2850.11</v>
      </c>
      <c r="G209" s="49">
        <v>2868.12</v>
      </c>
      <c r="H209" s="49">
        <v>2965.57</v>
      </c>
      <c r="I209" s="49">
        <v>2901.15</v>
      </c>
      <c r="J209" s="49">
        <v>2850.21</v>
      </c>
      <c r="K209" s="49">
        <v>2869.93</v>
      </c>
      <c r="L209" s="49">
        <v>2970.61</v>
      </c>
      <c r="M209" s="49">
        <v>2852.62</v>
      </c>
      <c r="N209" s="49">
        <v>2888.3</v>
      </c>
      <c r="O209" s="49">
        <v>2866.53</v>
      </c>
      <c r="P209" s="49">
        <v>2864.3</v>
      </c>
      <c r="Q209" s="70">
        <f>IF((P210=""),"",MAX(D211:P211))</f>
        <v>2094.3200000000002</v>
      </c>
      <c r="R209" s="70">
        <f>IF(P210="","",MIN(D211:P211))</f>
        <v>2015.5599999999995</v>
      </c>
      <c r="S209" s="70">
        <f>IF((P211=""),"",AVERAGE(D211:P211))</f>
        <v>2061.8923076923074</v>
      </c>
      <c r="T209" s="70">
        <f>IF((P210=""),"",STDEV(D211:P211))</f>
        <v>20.265460827861492</v>
      </c>
      <c r="U209" s="97">
        <f>IF((P210=""),"",((Q209-R209)/(Q209+R209))*100)</f>
        <v>1.916357655211361</v>
      </c>
      <c r="V209" s="71" t="str">
        <f>IF(P210="","",IF(U209&lt;7.2,IF(S209&gt;1700,IF(S209&lt;2100,"Pass","Fail"),"Fail"),"Fail"))</f>
        <v>Pass</v>
      </c>
      <c r="W209" s="72">
        <v>1340</v>
      </c>
      <c r="X209" s="130"/>
      <c r="Z209" s="73">
        <v>1600</v>
      </c>
      <c r="AA209" s="73">
        <v>2600</v>
      </c>
      <c r="AB209" s="74">
        <v>1700</v>
      </c>
      <c r="AC209" s="74">
        <v>2100</v>
      </c>
      <c r="AD209" s="67">
        <v>10</v>
      </c>
      <c r="AE209" s="67">
        <v>7.2</v>
      </c>
    </row>
    <row r="210" spans="1:31" ht="15.75">
      <c r="A210"/>
      <c r="B210" s="64"/>
      <c r="C210" s="64" t="s">
        <v>78</v>
      </c>
      <c r="D210" s="49">
        <v>1894.38</v>
      </c>
      <c r="E210" s="49">
        <v>1824.53</v>
      </c>
      <c r="F210" s="49">
        <v>1821.45</v>
      </c>
      <c r="G210" s="49">
        <v>1832.22</v>
      </c>
      <c r="H210" s="49">
        <v>1918.41</v>
      </c>
      <c r="I210" s="49">
        <v>1865.34</v>
      </c>
      <c r="J210" s="49">
        <v>1822.94</v>
      </c>
      <c r="K210" s="49">
        <v>1838.53</v>
      </c>
      <c r="L210" s="49">
        <v>1941.55</v>
      </c>
      <c r="M210" s="49">
        <v>1827.86</v>
      </c>
      <c r="N210" s="49">
        <v>1844.12</v>
      </c>
      <c r="O210" s="49">
        <v>1826.96</v>
      </c>
      <c r="P210" s="49">
        <v>1836.48</v>
      </c>
      <c r="Q210" s="64"/>
      <c r="R210" s="64"/>
      <c r="S210" s="64"/>
      <c r="T210" s="64"/>
      <c r="U210" s="98"/>
      <c r="V210" s="75"/>
      <c r="W210" s="76"/>
      <c r="X210" s="298"/>
    </row>
    <row r="211" spans="1:31" ht="60.75" thickBot="1">
      <c r="A211"/>
      <c r="B211" s="77"/>
      <c r="C211" s="77" t="s">
        <v>79</v>
      </c>
      <c r="D211" s="78">
        <f t="shared" ref="D211:P211" si="66">IF(((D209="")*AND(D210="")),"",(D209-D210)*2)</f>
        <v>2015.5599999999995</v>
      </c>
      <c r="E211" s="78">
        <f t="shared" si="66"/>
        <v>2045.8600000000001</v>
      </c>
      <c r="F211" s="78">
        <f t="shared" si="66"/>
        <v>2057.3200000000002</v>
      </c>
      <c r="G211" s="78">
        <f t="shared" si="66"/>
        <v>2071.7999999999997</v>
      </c>
      <c r="H211" s="78">
        <f t="shared" si="66"/>
        <v>2094.3200000000002</v>
      </c>
      <c r="I211" s="78">
        <f t="shared" si="66"/>
        <v>2071.6200000000003</v>
      </c>
      <c r="J211" s="78">
        <f t="shared" si="66"/>
        <v>2054.54</v>
      </c>
      <c r="K211" s="78">
        <f t="shared" si="66"/>
        <v>2062.7999999999997</v>
      </c>
      <c r="L211" s="78">
        <f t="shared" si="66"/>
        <v>2058.1200000000003</v>
      </c>
      <c r="M211" s="78">
        <f t="shared" si="66"/>
        <v>2049.52</v>
      </c>
      <c r="N211" s="78">
        <f t="shared" si="66"/>
        <v>2088.3600000000006</v>
      </c>
      <c r="O211" s="78">
        <f t="shared" si="66"/>
        <v>2079.1400000000003</v>
      </c>
      <c r="P211" s="78">
        <f t="shared" si="66"/>
        <v>2055.6400000000003</v>
      </c>
      <c r="Q211" s="88"/>
      <c r="R211" s="77"/>
      <c r="S211" s="77"/>
      <c r="T211" s="77"/>
      <c r="U211" s="99"/>
      <c r="V211" s="79"/>
      <c r="W211" s="80"/>
      <c r="X211" s="298"/>
    </row>
    <row r="212" spans="1:31">
      <c r="A212" s="68">
        <v>43452</v>
      </c>
      <c r="B212" s="69" t="s">
        <v>76</v>
      </c>
      <c r="C212" s="70" t="s">
        <v>77</v>
      </c>
      <c r="D212" s="49">
        <v>2948.49</v>
      </c>
      <c r="E212" s="49">
        <v>2840.39</v>
      </c>
      <c r="F212" s="49">
        <v>2820.64</v>
      </c>
      <c r="G212" s="49">
        <v>2825.99</v>
      </c>
      <c r="H212" s="49">
        <v>2898.02</v>
      </c>
      <c r="I212" s="49">
        <v>2881.41</v>
      </c>
      <c r="J212" s="49">
        <v>2822.7</v>
      </c>
      <c r="K212" s="49">
        <v>2841.31</v>
      </c>
      <c r="L212" s="49">
        <v>2943.48</v>
      </c>
      <c r="M212" s="49">
        <v>2838.53</v>
      </c>
      <c r="N212" s="49">
        <v>2841.64</v>
      </c>
      <c r="O212" s="49">
        <v>2829.58</v>
      </c>
      <c r="P212" s="49">
        <v>2859.08</v>
      </c>
      <c r="Q212" s="70">
        <f>IF((P213=""),"",MAX(D214:P214))</f>
        <v>2073.8999999999996</v>
      </c>
      <c r="R212" s="70">
        <f>IF(P213="","",MIN(D214:P214))</f>
        <v>2005.42</v>
      </c>
      <c r="S212" s="70">
        <f>IF((P214=""),"",AVERAGE(D214:P214))</f>
        <v>2048.1799999999998</v>
      </c>
      <c r="T212" s="70">
        <f>IF((P213=""),"",STDEV(D214:P214))</f>
        <v>17.023977208594363</v>
      </c>
      <c r="U212" s="97">
        <f>IF((P213=""),"",((Q212-R212)/(Q212+R212))*100)</f>
        <v>1.678711157741966</v>
      </c>
      <c r="V212" s="71" t="str">
        <f>IF(P213="","",IF(U212&lt;7.2,IF(S212&gt;1700,IF(S212&lt;2100,"Pass","Fail"),"Fail"),"Fail"))</f>
        <v>Pass</v>
      </c>
      <c r="W212" s="72">
        <v>1340</v>
      </c>
      <c r="X212" s="130"/>
      <c r="Z212" s="73">
        <v>1600</v>
      </c>
      <c r="AA212" s="73">
        <v>2600</v>
      </c>
      <c r="AB212" s="74">
        <v>1700</v>
      </c>
      <c r="AC212" s="74">
        <v>2100</v>
      </c>
      <c r="AD212" s="67">
        <v>10</v>
      </c>
      <c r="AE212" s="67">
        <v>7.2</v>
      </c>
    </row>
    <row r="213" spans="1:31" ht="15.75">
      <c r="A213"/>
      <c r="B213" s="64"/>
      <c r="C213" s="64" t="s">
        <v>78</v>
      </c>
      <c r="D213" s="49">
        <v>1932.64</v>
      </c>
      <c r="E213" s="49">
        <v>1815.49</v>
      </c>
      <c r="F213" s="49">
        <v>1794.85</v>
      </c>
      <c r="G213" s="49">
        <v>1794.8</v>
      </c>
      <c r="H213" s="49">
        <v>1871.99</v>
      </c>
      <c r="I213" s="49">
        <v>1862.98</v>
      </c>
      <c r="J213" s="49">
        <v>1797.09</v>
      </c>
      <c r="K213" s="49">
        <v>1812.1</v>
      </c>
      <c r="L213" s="49">
        <v>1940.77</v>
      </c>
      <c r="M213" s="49">
        <v>1815.56</v>
      </c>
      <c r="N213" s="49">
        <v>1804.69</v>
      </c>
      <c r="O213" s="49">
        <v>1798.06</v>
      </c>
      <c r="P213" s="49">
        <v>1837.07</v>
      </c>
      <c r="Q213" s="64"/>
      <c r="R213" s="64"/>
      <c r="S213" s="64"/>
      <c r="T213" s="64"/>
      <c r="U213" s="98"/>
      <c r="V213" s="75"/>
      <c r="W213" s="76"/>
      <c r="X213" s="298"/>
    </row>
    <row r="214" spans="1:31" ht="60.75" thickBot="1">
      <c r="A214"/>
      <c r="B214" s="77"/>
      <c r="C214" s="77" t="s">
        <v>79</v>
      </c>
      <c r="D214" s="78">
        <f t="shared" ref="D214:P214" si="67">IF(((D212="")*AND(D213="")),"",(D212-D213)*2)</f>
        <v>2031.6999999999994</v>
      </c>
      <c r="E214" s="78">
        <f t="shared" si="67"/>
        <v>2049.7999999999997</v>
      </c>
      <c r="F214" s="78">
        <f t="shared" si="67"/>
        <v>2051.58</v>
      </c>
      <c r="G214" s="78">
        <f t="shared" si="67"/>
        <v>2062.3799999999997</v>
      </c>
      <c r="H214" s="78">
        <f t="shared" si="67"/>
        <v>2052.06</v>
      </c>
      <c r="I214" s="78">
        <f t="shared" si="67"/>
        <v>2036.8599999999997</v>
      </c>
      <c r="J214" s="78">
        <f t="shared" si="67"/>
        <v>2051.2199999999998</v>
      </c>
      <c r="K214" s="78">
        <f t="shared" si="67"/>
        <v>2058.42</v>
      </c>
      <c r="L214" s="78">
        <f t="shared" si="67"/>
        <v>2005.42</v>
      </c>
      <c r="M214" s="78">
        <f t="shared" si="67"/>
        <v>2045.9400000000005</v>
      </c>
      <c r="N214" s="78">
        <f t="shared" si="67"/>
        <v>2073.8999999999996</v>
      </c>
      <c r="O214" s="78">
        <f t="shared" si="67"/>
        <v>2063.04</v>
      </c>
      <c r="P214" s="78">
        <f t="shared" si="67"/>
        <v>2044.02</v>
      </c>
      <c r="Q214" s="88"/>
      <c r="R214" s="77"/>
      <c r="S214" s="77"/>
      <c r="T214" s="77"/>
      <c r="U214" s="99"/>
      <c r="V214" s="79"/>
      <c r="W214" s="80"/>
      <c r="X214" s="298"/>
    </row>
    <row r="215" spans="1:31">
      <c r="A215" s="68">
        <v>43452</v>
      </c>
      <c r="B215" s="69" t="s">
        <v>76</v>
      </c>
      <c r="C215" s="70" t="s">
        <v>77</v>
      </c>
      <c r="D215" s="49">
        <v>1935.2</v>
      </c>
      <c r="E215" s="49">
        <v>1817.42</v>
      </c>
      <c r="F215" s="49">
        <v>1800.3</v>
      </c>
      <c r="G215" s="49">
        <v>1793.87</v>
      </c>
      <c r="H215" s="49">
        <v>1872.56</v>
      </c>
      <c r="I215" s="49">
        <v>1865.2</v>
      </c>
      <c r="J215" s="49">
        <v>1796.95</v>
      </c>
      <c r="K215" s="49">
        <v>1815.33</v>
      </c>
      <c r="L215" s="49">
        <v>1942.02</v>
      </c>
      <c r="M215" s="49">
        <v>1813.76</v>
      </c>
      <c r="N215" s="49">
        <v>1804.47</v>
      </c>
      <c r="O215" s="49">
        <v>1799.03</v>
      </c>
      <c r="P215" s="49">
        <v>1836.37</v>
      </c>
      <c r="Q215" s="70">
        <f>IF((P216=""),"",MAX(D217:P217))</f>
        <v>1971.2799999999997</v>
      </c>
      <c r="R215" s="70">
        <f>IF(P216="","",MIN(D217:P217))</f>
        <v>1802.52</v>
      </c>
      <c r="S215" s="70">
        <f>IF((P217=""),"",AVERAGE(D217:P217))</f>
        <v>1925.9830769230766</v>
      </c>
      <c r="T215" s="70">
        <f>IF((P216=""),"",STDEV(D217:P217))</f>
        <v>56.052540142368528</v>
      </c>
      <c r="U215" s="97">
        <f>IF((P216=""),"",((Q215-R215)/(Q215+R215))*100)</f>
        <v>4.4718851025491491</v>
      </c>
      <c r="V215" s="71" t="str">
        <f>IF(P216="","",IF(U215&lt;7.2,IF(S215&gt;1700,IF(S215&lt;2100,"Pass","Fail"),"Fail"),"Fail"))</f>
        <v>Pass</v>
      </c>
      <c r="W215" s="72">
        <v>1428</v>
      </c>
      <c r="X215" s="130"/>
      <c r="Z215" s="73">
        <v>1600</v>
      </c>
      <c r="AA215" s="73">
        <v>2600</v>
      </c>
      <c r="AB215" s="74">
        <v>1700</v>
      </c>
      <c r="AC215" s="74">
        <v>2100</v>
      </c>
      <c r="AD215" s="67">
        <v>10</v>
      </c>
      <c r="AE215" s="67">
        <v>7.2</v>
      </c>
    </row>
    <row r="216" spans="1:31" ht="15.75">
      <c r="A216"/>
      <c r="B216" s="64"/>
      <c r="C216" s="64" t="s">
        <v>78</v>
      </c>
      <c r="D216" s="49">
        <v>1019.91</v>
      </c>
      <c r="E216" s="49">
        <v>842.23</v>
      </c>
      <c r="F216" s="49">
        <v>816.53</v>
      </c>
      <c r="G216" s="49">
        <v>808.23</v>
      </c>
      <c r="H216" s="49">
        <v>931.85</v>
      </c>
      <c r="I216" s="49">
        <v>916.12</v>
      </c>
      <c r="J216" s="49">
        <v>819.63</v>
      </c>
      <c r="K216" s="49">
        <v>832.4</v>
      </c>
      <c r="L216" s="49">
        <v>1040.76</v>
      </c>
      <c r="M216" s="49">
        <v>841.63</v>
      </c>
      <c r="N216" s="49">
        <v>822.51</v>
      </c>
      <c r="O216" s="49">
        <v>814.22</v>
      </c>
      <c r="P216" s="49">
        <v>867.57</v>
      </c>
      <c r="Q216" s="64"/>
      <c r="R216" s="64"/>
      <c r="S216" s="64"/>
      <c r="T216" s="64"/>
      <c r="U216" s="98"/>
      <c r="V216" s="75"/>
      <c r="W216" s="76"/>
      <c r="X216" s="298"/>
    </row>
    <row r="217" spans="1:31" ht="60.75" thickBot="1">
      <c r="A217"/>
      <c r="B217" s="77"/>
      <c r="C217" s="77" t="s">
        <v>79</v>
      </c>
      <c r="D217" s="78">
        <f t="shared" ref="D217:P217" si="68">IF(((D215="")*AND(D216="")),"",(D215-D216)*2)</f>
        <v>1830.5800000000002</v>
      </c>
      <c r="E217" s="78">
        <f t="shared" si="68"/>
        <v>1950.38</v>
      </c>
      <c r="F217" s="78">
        <f t="shared" si="68"/>
        <v>1967.54</v>
      </c>
      <c r="G217" s="78">
        <f t="shared" si="68"/>
        <v>1971.2799999999997</v>
      </c>
      <c r="H217" s="78">
        <f t="shared" si="68"/>
        <v>1881.4199999999998</v>
      </c>
      <c r="I217" s="78">
        <f t="shared" si="68"/>
        <v>1898.16</v>
      </c>
      <c r="J217" s="78">
        <f t="shared" si="68"/>
        <v>1954.64</v>
      </c>
      <c r="K217" s="78">
        <f t="shared" si="68"/>
        <v>1965.86</v>
      </c>
      <c r="L217" s="78">
        <f t="shared" si="68"/>
        <v>1802.52</v>
      </c>
      <c r="M217" s="78">
        <f t="shared" si="68"/>
        <v>1944.26</v>
      </c>
      <c r="N217" s="78">
        <f t="shared" si="68"/>
        <v>1963.92</v>
      </c>
      <c r="O217" s="78">
        <f t="shared" si="68"/>
        <v>1969.62</v>
      </c>
      <c r="P217" s="78">
        <f t="shared" si="68"/>
        <v>1937.5999999999997</v>
      </c>
      <c r="Q217" s="88"/>
      <c r="R217" s="77"/>
      <c r="S217" s="77"/>
      <c r="T217" s="77"/>
      <c r="U217" s="99"/>
      <c r="V217" s="79"/>
      <c r="W217" s="80"/>
      <c r="X217" s="298"/>
    </row>
    <row r="218" spans="1:31">
      <c r="A218" s="68">
        <v>43458</v>
      </c>
      <c r="B218" s="69" t="s">
        <v>76</v>
      </c>
      <c r="C218" s="70" t="s">
        <v>77</v>
      </c>
      <c r="D218" s="49">
        <v>2898</v>
      </c>
      <c r="E218" s="49">
        <v>2808</v>
      </c>
      <c r="F218" s="49">
        <v>2758</v>
      </c>
      <c r="G218" s="49">
        <v>2735</v>
      </c>
      <c r="H218" s="49">
        <v>2740</v>
      </c>
      <c r="I218" s="49">
        <v>2776</v>
      </c>
      <c r="J218" s="49">
        <v>2854</v>
      </c>
      <c r="K218" s="49">
        <v>2833</v>
      </c>
      <c r="L218" s="49">
        <v>2772</v>
      </c>
      <c r="M218" s="49">
        <v>2744</v>
      </c>
      <c r="N218" s="49">
        <v>2749</v>
      </c>
      <c r="O218" s="49">
        <v>2785</v>
      </c>
      <c r="P218" s="49">
        <v>2841</v>
      </c>
      <c r="Q218" s="70">
        <f>IF((P219=""),"",MAX(D220:P220))</f>
        <v>2056</v>
      </c>
      <c r="R218" s="70">
        <f>IF(P219="","",MIN(D220:P220))</f>
        <v>1906</v>
      </c>
      <c r="S218" s="70">
        <f>IF((P220=""),"",AVERAGE(D220:P220))</f>
        <v>2003.2307692307693</v>
      </c>
      <c r="T218" s="70">
        <f>IF((P219=""),"",STDEV(D220:P220))</f>
        <v>50.606577053040787</v>
      </c>
      <c r="U218" s="97">
        <f>IF((P219=""),"",((Q218-R218)/(Q218+R218))*100)</f>
        <v>3.7859666834931853</v>
      </c>
      <c r="V218" s="71" t="str">
        <f>IF(P219="","",IF(U218&lt;7.2,IF(S218&gt;1700,IF(S218&lt;2100,"Pass","Fail"),"Fail"),"Fail"))</f>
        <v>Pass</v>
      </c>
      <c r="W218" s="72">
        <v>1428</v>
      </c>
      <c r="X218" s="130"/>
      <c r="Z218" s="73">
        <v>1600</v>
      </c>
      <c r="AA218" s="73">
        <v>2600</v>
      </c>
      <c r="AB218" s="74">
        <v>1700</v>
      </c>
      <c r="AC218" s="74">
        <v>2100</v>
      </c>
      <c r="AD218" s="67">
        <v>10</v>
      </c>
      <c r="AE218" s="67">
        <v>7.2</v>
      </c>
    </row>
    <row r="219" spans="1:31" ht="15.75">
      <c r="A219"/>
      <c r="B219" s="64"/>
      <c r="C219" s="64" t="s">
        <v>78</v>
      </c>
      <c r="D219" s="49">
        <v>1937</v>
      </c>
      <c r="E219" s="49">
        <v>1797</v>
      </c>
      <c r="F219" s="49">
        <v>1745</v>
      </c>
      <c r="G219" s="49">
        <v>1721</v>
      </c>
      <c r="H219" s="49">
        <v>1717</v>
      </c>
      <c r="I219" s="49">
        <v>1748</v>
      </c>
      <c r="J219" s="49">
        <v>1878</v>
      </c>
      <c r="K219" s="49">
        <v>1856</v>
      </c>
      <c r="L219" s="49">
        <v>1753</v>
      </c>
      <c r="M219" s="49">
        <v>1727</v>
      </c>
      <c r="N219" s="49">
        <v>1732</v>
      </c>
      <c r="O219" s="49">
        <v>1773</v>
      </c>
      <c r="P219" s="49">
        <v>1888</v>
      </c>
      <c r="Q219" s="64"/>
      <c r="R219" s="64"/>
      <c r="S219" s="64"/>
      <c r="T219" s="64"/>
      <c r="U219" s="98"/>
      <c r="V219" s="75"/>
      <c r="W219" s="76"/>
      <c r="X219" s="298"/>
    </row>
    <row r="220" spans="1:31" ht="60.75" thickBot="1">
      <c r="A220"/>
      <c r="B220" s="77"/>
      <c r="C220" s="77" t="s">
        <v>79</v>
      </c>
      <c r="D220" s="78">
        <f t="shared" ref="D220:P220" si="69">IF(((D218="")*AND(D219="")),"",(D218-D219)*2)</f>
        <v>1922</v>
      </c>
      <c r="E220" s="78">
        <f t="shared" si="69"/>
        <v>2022</v>
      </c>
      <c r="F220" s="78">
        <f t="shared" si="69"/>
        <v>2026</v>
      </c>
      <c r="G220" s="78">
        <f t="shared" si="69"/>
        <v>2028</v>
      </c>
      <c r="H220" s="78">
        <f t="shared" si="69"/>
        <v>2046</v>
      </c>
      <c r="I220" s="78">
        <f t="shared" si="69"/>
        <v>2056</v>
      </c>
      <c r="J220" s="78">
        <f t="shared" si="69"/>
        <v>1952</v>
      </c>
      <c r="K220" s="78">
        <f t="shared" si="69"/>
        <v>1954</v>
      </c>
      <c r="L220" s="78">
        <f t="shared" si="69"/>
        <v>2038</v>
      </c>
      <c r="M220" s="78">
        <f t="shared" si="69"/>
        <v>2034</v>
      </c>
      <c r="N220" s="78">
        <f t="shared" si="69"/>
        <v>2034</v>
      </c>
      <c r="O220" s="78">
        <f t="shared" si="69"/>
        <v>2024</v>
      </c>
      <c r="P220" s="78">
        <f t="shared" si="69"/>
        <v>1906</v>
      </c>
      <c r="Q220" s="88"/>
      <c r="R220" s="77"/>
      <c r="S220" s="77"/>
      <c r="T220" s="77"/>
      <c r="U220" s="99"/>
      <c r="V220" s="79"/>
      <c r="W220" s="80"/>
      <c r="X220" s="298"/>
    </row>
    <row r="221" spans="1:31">
      <c r="A221" s="68">
        <v>43462</v>
      </c>
      <c r="B221" s="69" t="s">
        <v>76</v>
      </c>
      <c r="C221" s="70" t="s">
        <v>77</v>
      </c>
      <c r="D221" s="49">
        <v>2877.91</v>
      </c>
      <c r="E221" s="49">
        <v>2758.2</v>
      </c>
      <c r="F221" s="49">
        <v>2736.32</v>
      </c>
      <c r="G221" s="49">
        <v>2739.22</v>
      </c>
      <c r="H221" s="49">
        <v>2838.01</v>
      </c>
      <c r="I221" s="49">
        <v>2812.44</v>
      </c>
      <c r="J221" s="49">
        <v>2740.44</v>
      </c>
      <c r="K221" s="49">
        <v>2748.42</v>
      </c>
      <c r="L221" s="49">
        <v>2838.14</v>
      </c>
      <c r="M221" s="49">
        <v>2761.3</v>
      </c>
      <c r="N221" s="49">
        <v>2752.24</v>
      </c>
      <c r="O221" s="49">
        <v>2744.61</v>
      </c>
      <c r="P221" s="49">
        <v>2768.02</v>
      </c>
      <c r="Q221" s="70">
        <f>IF((P222=""),"",MAX(D223:P223))</f>
        <v>2047.7200000000003</v>
      </c>
      <c r="R221" s="70">
        <f>IF(P222="","",MIN(D223:P223))</f>
        <v>1974.9999999999995</v>
      </c>
      <c r="S221" s="70">
        <f>IF((P223=""),"",AVERAGE(D223:P223))</f>
        <v>2022.6046153846155</v>
      </c>
      <c r="T221" s="70">
        <f>IF((P222=""),"",STDEV(D223:P223))</f>
        <v>19.55468597521962</v>
      </c>
      <c r="U221" s="97">
        <f>IF((P222=""),"",((Q221-R221)/(Q221+R221))*100)</f>
        <v>1.8077320817755329</v>
      </c>
      <c r="V221" s="71" t="str">
        <f>IF(P222="","",IF(U221&lt;7.2,IF(S221&gt;1700,IF(S221&lt;2100,"Pass","Fail"),"Fail"),"Fail"))</f>
        <v>Pass</v>
      </c>
      <c r="W221" s="72">
        <v>1340</v>
      </c>
      <c r="X221" s="130"/>
      <c r="Z221" s="73">
        <v>1600</v>
      </c>
      <c r="AA221" s="73">
        <v>2600</v>
      </c>
      <c r="AB221" s="74">
        <v>1700</v>
      </c>
      <c r="AC221" s="74">
        <v>2100</v>
      </c>
      <c r="AD221" s="67">
        <v>10</v>
      </c>
      <c r="AE221" s="67">
        <v>7.2</v>
      </c>
    </row>
    <row r="222" spans="1:31" ht="15.75">
      <c r="A222"/>
      <c r="B222" s="64"/>
      <c r="C222" s="64" t="s">
        <v>78</v>
      </c>
      <c r="D222" s="49">
        <v>1875.78</v>
      </c>
      <c r="E222" s="49">
        <v>1748.6</v>
      </c>
      <c r="F222" s="49">
        <v>1727.88</v>
      </c>
      <c r="G222" s="49">
        <v>1720.46</v>
      </c>
      <c r="H222" s="49">
        <v>1816.5</v>
      </c>
      <c r="I222" s="49">
        <v>1795.48</v>
      </c>
      <c r="J222" s="49">
        <v>1724.67</v>
      </c>
      <c r="K222" s="49">
        <v>1737.84</v>
      </c>
      <c r="L222" s="49">
        <v>1850.64</v>
      </c>
      <c r="M222" s="49">
        <v>1754.39</v>
      </c>
      <c r="N222" s="49">
        <v>1732.95</v>
      </c>
      <c r="O222" s="49">
        <v>1720.75</v>
      </c>
      <c r="P222" s="49">
        <v>1762.4</v>
      </c>
      <c r="Q222" s="64"/>
      <c r="R222" s="64"/>
      <c r="S222" s="64"/>
      <c r="T222" s="64"/>
      <c r="U222" s="98"/>
      <c r="V222" s="75"/>
      <c r="W222" s="76"/>
      <c r="X222" s="298"/>
    </row>
    <row r="223" spans="1:31" ht="60.75" thickBot="1">
      <c r="A223"/>
      <c r="B223" s="77"/>
      <c r="C223" s="77" t="s">
        <v>79</v>
      </c>
      <c r="D223" s="78">
        <f t="shared" ref="D223:P223" si="70">IF(((D221="")*AND(D222="")),"",(D221-D222)*2)</f>
        <v>2004.2599999999998</v>
      </c>
      <c r="E223" s="78">
        <f t="shared" si="70"/>
        <v>2019.1999999999998</v>
      </c>
      <c r="F223" s="78">
        <f t="shared" si="70"/>
        <v>2016.88</v>
      </c>
      <c r="G223" s="78">
        <f t="shared" si="70"/>
        <v>2037.5199999999995</v>
      </c>
      <c r="H223" s="78">
        <f t="shared" si="70"/>
        <v>2043.0200000000004</v>
      </c>
      <c r="I223" s="78">
        <f t="shared" si="70"/>
        <v>2033.92</v>
      </c>
      <c r="J223" s="78">
        <f t="shared" si="70"/>
        <v>2031.54</v>
      </c>
      <c r="K223" s="78">
        <f t="shared" si="70"/>
        <v>2021.1600000000003</v>
      </c>
      <c r="L223" s="78">
        <f t="shared" si="70"/>
        <v>1974.9999999999995</v>
      </c>
      <c r="M223" s="78">
        <f t="shared" si="70"/>
        <v>2013.8200000000002</v>
      </c>
      <c r="N223" s="78">
        <f t="shared" si="70"/>
        <v>2038.5799999999995</v>
      </c>
      <c r="O223" s="78">
        <f t="shared" si="70"/>
        <v>2047.7200000000003</v>
      </c>
      <c r="P223" s="78">
        <f t="shared" si="70"/>
        <v>2011.2399999999998</v>
      </c>
      <c r="Q223" s="88"/>
      <c r="R223" s="77"/>
      <c r="S223" s="77"/>
      <c r="T223" s="77"/>
      <c r="U223" s="99"/>
      <c r="V223" s="79"/>
      <c r="W223" s="80"/>
      <c r="X223" s="298"/>
    </row>
    <row r="224" spans="1:31">
      <c r="A224" s="68">
        <v>43466</v>
      </c>
      <c r="B224" s="69" t="s">
        <v>76</v>
      </c>
      <c r="C224" s="70" t="s">
        <v>77</v>
      </c>
      <c r="D224" s="49">
        <v>2874.89</v>
      </c>
      <c r="E224" s="49">
        <v>2752.57</v>
      </c>
      <c r="F224" s="49">
        <v>2735.18</v>
      </c>
      <c r="G224" s="49">
        <v>2737.82</v>
      </c>
      <c r="H224" s="49">
        <v>2830.11</v>
      </c>
      <c r="I224" s="49">
        <v>2815.47</v>
      </c>
      <c r="J224" s="49">
        <v>2738.34</v>
      </c>
      <c r="K224" s="49">
        <v>2748.86</v>
      </c>
      <c r="L224" s="49">
        <v>2843.18</v>
      </c>
      <c r="M224" s="49">
        <v>2754.2</v>
      </c>
      <c r="N224" s="49">
        <v>2749.35</v>
      </c>
      <c r="O224" s="49">
        <v>2743.61</v>
      </c>
      <c r="P224" s="49">
        <v>2768.07</v>
      </c>
      <c r="Q224" s="70">
        <f>IF((P225=""),"",MAX(D226:P226))</f>
        <v>2052.7799999999997</v>
      </c>
      <c r="R224" s="70">
        <f>IF(P225="","",MIN(D226:P226))</f>
        <v>1964.0999999999995</v>
      </c>
      <c r="S224" s="70">
        <f>IF((P226=""),"",AVERAGE(D226:P226))</f>
        <v>2024.073846153846</v>
      </c>
      <c r="T224" s="70">
        <f>IF((P225=""),"",STDEV(D226:P226))</f>
        <v>22.943027095559415</v>
      </c>
      <c r="U224" s="97">
        <f>IF((P225=""),"",((Q224-R224)/(Q224+R224))*100)</f>
        <v>2.2076835753121902</v>
      </c>
      <c r="V224" s="71" t="str">
        <f>IF(P225="","",IF(U224&lt;7.2,IF(S224&gt;1700,IF(S224&lt;2100,"Pass","Fail"),"Fail"),"Fail"))</f>
        <v>Pass</v>
      </c>
      <c r="W224" s="72" t="s">
        <v>98</v>
      </c>
      <c r="X224" s="374" t="s">
        <v>99</v>
      </c>
      <c r="Z224" s="73">
        <v>1600</v>
      </c>
      <c r="AA224" s="73">
        <v>2600</v>
      </c>
      <c r="AB224" s="74">
        <v>1700</v>
      </c>
      <c r="AC224" s="74">
        <v>2100</v>
      </c>
      <c r="AD224" s="67">
        <v>10</v>
      </c>
      <c r="AE224" s="67">
        <v>7.2</v>
      </c>
    </row>
    <row r="225" spans="1:32" ht="15.75">
      <c r="A225"/>
      <c r="B225" s="64"/>
      <c r="C225" s="64" t="s">
        <v>78</v>
      </c>
      <c r="D225" s="49">
        <v>1870.08</v>
      </c>
      <c r="E225" s="49">
        <v>1741.59</v>
      </c>
      <c r="F225" s="49">
        <v>1723.34</v>
      </c>
      <c r="G225" s="49">
        <v>1713.6</v>
      </c>
      <c r="H225" s="49">
        <v>1821.44</v>
      </c>
      <c r="I225" s="49">
        <v>1797.25</v>
      </c>
      <c r="J225" s="49">
        <v>1718.9</v>
      </c>
      <c r="K225" s="49">
        <v>1738.82</v>
      </c>
      <c r="L225" s="49">
        <v>1861.13</v>
      </c>
      <c r="M225" s="49">
        <v>1744.16</v>
      </c>
      <c r="N225" s="49">
        <v>1722.96</v>
      </c>
      <c r="O225" s="49">
        <v>1720.25</v>
      </c>
      <c r="P225" s="49">
        <v>1761.65</v>
      </c>
      <c r="Q225" s="64"/>
      <c r="R225" s="64"/>
      <c r="S225" s="64"/>
      <c r="T225" s="64"/>
      <c r="U225" s="98"/>
      <c r="V225" s="75"/>
      <c r="W225" s="76"/>
      <c r="X225" s="298"/>
    </row>
    <row r="226" spans="1:32" ht="60.75" thickBot="1">
      <c r="A226"/>
      <c r="B226" s="77"/>
      <c r="C226" s="77" t="s">
        <v>79</v>
      </c>
      <c r="D226" s="78">
        <f t="shared" ref="D226:P226" si="71">IF(((D224="")*AND(D225="")),"",(D224-D225)*2)</f>
        <v>2009.62</v>
      </c>
      <c r="E226" s="78">
        <f t="shared" si="71"/>
        <v>2021.9600000000005</v>
      </c>
      <c r="F226" s="78">
        <f t="shared" si="71"/>
        <v>2023.6799999999998</v>
      </c>
      <c r="G226" s="78">
        <f t="shared" si="71"/>
        <v>2048.4400000000005</v>
      </c>
      <c r="H226" s="78">
        <f t="shared" si="71"/>
        <v>2017.3400000000001</v>
      </c>
      <c r="I226" s="78">
        <f t="shared" si="71"/>
        <v>2036.4399999999996</v>
      </c>
      <c r="J226" s="78">
        <f t="shared" si="71"/>
        <v>2038.88</v>
      </c>
      <c r="K226" s="78">
        <f t="shared" si="71"/>
        <v>2020.0800000000004</v>
      </c>
      <c r="L226" s="78">
        <f t="shared" si="71"/>
        <v>1964.0999999999995</v>
      </c>
      <c r="M226" s="78">
        <f t="shared" si="71"/>
        <v>2020.0799999999995</v>
      </c>
      <c r="N226" s="78">
        <f t="shared" si="71"/>
        <v>2052.7799999999997</v>
      </c>
      <c r="O226" s="78">
        <f t="shared" si="71"/>
        <v>2046.7200000000003</v>
      </c>
      <c r="P226" s="78">
        <f t="shared" si="71"/>
        <v>2012.8400000000001</v>
      </c>
      <c r="Q226" s="88"/>
      <c r="R226" s="77"/>
      <c r="S226" s="77"/>
      <c r="T226" s="77"/>
      <c r="U226" s="99"/>
      <c r="V226" s="79"/>
      <c r="W226" s="80"/>
      <c r="X226" s="298"/>
    </row>
    <row r="227" spans="1:32" customFormat="1" ht="15.75">
      <c r="A227" s="340">
        <v>43476</v>
      </c>
      <c r="B227" s="341" t="s">
        <v>76</v>
      </c>
      <c r="C227" s="187" t="s">
        <v>77</v>
      </c>
      <c r="D227" s="348">
        <v>2873.7</v>
      </c>
      <c r="E227" s="348">
        <v>2747.39</v>
      </c>
      <c r="F227" s="348">
        <v>2737.87</v>
      </c>
      <c r="G227" s="348">
        <v>2739.72</v>
      </c>
      <c r="H227" s="348">
        <v>2834.12</v>
      </c>
      <c r="I227" s="348">
        <v>2814.15</v>
      </c>
      <c r="J227" s="348">
        <v>2742.18</v>
      </c>
      <c r="K227" s="348">
        <v>2748.11</v>
      </c>
      <c r="L227" s="348">
        <v>2844.03</v>
      </c>
      <c r="M227" s="348">
        <v>2765.8</v>
      </c>
      <c r="N227" s="348">
        <v>2751.92</v>
      </c>
      <c r="O227" s="348">
        <v>2746.46</v>
      </c>
      <c r="P227" s="348">
        <v>2773.89</v>
      </c>
      <c r="Q227" s="349">
        <f>IF((P228=""),"",MAX(D229:P229))</f>
        <v>448.09999999999945</v>
      </c>
      <c r="R227" s="349">
        <f>IF(P228="","",MIN(D229:P229))</f>
        <v>366.75999999999931</v>
      </c>
      <c r="S227" s="349">
        <f>IF((P229=""),"",AVERAGE(D229:P229))</f>
        <v>403.25384615384615</v>
      </c>
      <c r="T227" s="349">
        <f>IF((P228=""),"",STDEV(D229:P229))</f>
        <v>24.856315608734299</v>
      </c>
      <c r="U227" s="349">
        <f>IF((P228=""),"",((Q227-R227)/(Q227+R227))*100)</f>
        <v>9.9820828117713791</v>
      </c>
      <c r="V227" s="350" t="str">
        <f>IF(P228="","",IF(U227&lt;5,IF(S227&gt;1900,IF(S227&lt;2250,"Pass","Fail"),"Fail"),"Fail"))</f>
        <v>Fail</v>
      </c>
      <c r="W227" s="351">
        <v>1340</v>
      </c>
      <c r="X227" s="352"/>
      <c r="Y227" s="342"/>
      <c r="Z227" s="376">
        <v>1600</v>
      </c>
      <c r="AA227" s="376">
        <v>2600</v>
      </c>
      <c r="AB227" s="377">
        <v>1900</v>
      </c>
      <c r="AC227" s="377">
        <v>2250</v>
      </c>
      <c r="AD227" s="378">
        <v>10</v>
      </c>
      <c r="AE227" s="378">
        <v>4.5</v>
      </c>
      <c r="AF227" s="49"/>
    </row>
    <row r="228" spans="1:32" customFormat="1" ht="15.75">
      <c r="A228" s="343"/>
      <c r="B228" s="188"/>
      <c r="C228" s="188" t="s">
        <v>78</v>
      </c>
      <c r="D228" s="348">
        <v>2649.65</v>
      </c>
      <c r="E228" s="348">
        <v>2564.0100000000002</v>
      </c>
      <c r="F228" s="348">
        <v>2538.35</v>
      </c>
      <c r="G228" s="348">
        <v>2545.59</v>
      </c>
      <c r="H228" s="348">
        <v>2635.2</v>
      </c>
      <c r="I228" s="348">
        <v>2599.06</v>
      </c>
      <c r="J228" s="348">
        <v>2549.64</v>
      </c>
      <c r="K228" s="348">
        <v>2558.1799999999998</v>
      </c>
      <c r="L228" s="348">
        <v>2633.1</v>
      </c>
      <c r="M228" s="348">
        <v>2550.65</v>
      </c>
      <c r="N228" s="348">
        <v>2557.08</v>
      </c>
      <c r="O228" s="348">
        <v>2555.9299999999998</v>
      </c>
      <c r="P228" s="348">
        <v>2561.75</v>
      </c>
      <c r="Q228" s="353"/>
      <c r="R228" s="353"/>
      <c r="S228" s="353"/>
      <c r="T228" s="353"/>
      <c r="U228" s="353"/>
      <c r="V228" s="354"/>
      <c r="W228" s="355"/>
      <c r="X228" s="352"/>
      <c r="Y228" s="342"/>
      <c r="Z228" s="344"/>
      <c r="AA228" s="344"/>
      <c r="AB228" s="344"/>
      <c r="AC228" s="344"/>
      <c r="AD228" s="345"/>
      <c r="AE228" s="345"/>
      <c r="AF228" s="49"/>
    </row>
    <row r="229" spans="1:32" customFormat="1" ht="48.75" thickBot="1">
      <c r="A229" s="346"/>
      <c r="B229" s="347"/>
      <c r="C229" s="347" t="s">
        <v>79</v>
      </c>
      <c r="D229" s="356">
        <f t="shared" ref="D229:P229" si="72">IF(((D227="")*AND(D228="")),"",(D227-D228)*2)</f>
        <v>448.09999999999945</v>
      </c>
      <c r="E229" s="356">
        <f t="shared" si="72"/>
        <v>366.75999999999931</v>
      </c>
      <c r="F229" s="356">
        <f t="shared" si="72"/>
        <v>399.03999999999996</v>
      </c>
      <c r="G229" s="356">
        <f t="shared" si="72"/>
        <v>388.25999999999931</v>
      </c>
      <c r="H229" s="356">
        <f t="shared" si="72"/>
        <v>397.84000000000015</v>
      </c>
      <c r="I229" s="356">
        <f t="shared" si="72"/>
        <v>430.18000000000029</v>
      </c>
      <c r="J229" s="356">
        <f t="shared" si="72"/>
        <v>385.07999999999993</v>
      </c>
      <c r="K229" s="356">
        <f t="shared" si="72"/>
        <v>379.86000000000058</v>
      </c>
      <c r="L229" s="356">
        <f t="shared" si="72"/>
        <v>421.86000000000058</v>
      </c>
      <c r="M229" s="356">
        <f t="shared" si="72"/>
        <v>430.30000000000018</v>
      </c>
      <c r="N229" s="356">
        <f t="shared" si="72"/>
        <v>389.68000000000029</v>
      </c>
      <c r="O229" s="356">
        <f t="shared" si="72"/>
        <v>381.0600000000004</v>
      </c>
      <c r="P229" s="356">
        <f t="shared" si="72"/>
        <v>424.27999999999975</v>
      </c>
      <c r="Q229" s="357"/>
      <c r="R229" s="358"/>
      <c r="S229" s="358"/>
      <c r="T229" s="358"/>
      <c r="U229" s="358"/>
      <c r="V229" s="359"/>
      <c r="W229" s="360"/>
      <c r="X229" s="352"/>
      <c r="Y229" s="342"/>
      <c r="Z229" s="344"/>
      <c r="AA229" s="344"/>
      <c r="AB229" s="344"/>
      <c r="AC229" s="344"/>
      <c r="AD229" s="345"/>
      <c r="AE229" s="345"/>
      <c r="AF229" s="49"/>
    </row>
    <row r="230" spans="1:32" customFormat="1" ht="15.75">
      <c r="A230" s="340">
        <v>43480</v>
      </c>
      <c r="B230" s="341" t="s">
        <v>76</v>
      </c>
      <c r="C230" s="187" t="s">
        <v>77</v>
      </c>
      <c r="D230" s="348">
        <v>2883.34</v>
      </c>
      <c r="E230" s="348">
        <v>2761.44</v>
      </c>
      <c r="F230" s="348">
        <v>2742.06</v>
      </c>
      <c r="G230" s="348">
        <v>2742.92</v>
      </c>
      <c r="H230" s="348">
        <v>2841.14</v>
      </c>
      <c r="I230" s="348">
        <v>2821.65</v>
      </c>
      <c r="J230" s="348">
        <v>2747.13</v>
      </c>
      <c r="K230" s="348">
        <v>2755.63</v>
      </c>
      <c r="L230" s="348">
        <v>2847.02</v>
      </c>
      <c r="M230" s="348">
        <v>2766.36</v>
      </c>
      <c r="N230" s="348">
        <v>2758.38</v>
      </c>
      <c r="O230" s="348">
        <v>2748.95</v>
      </c>
      <c r="P230" s="348">
        <v>2778.22</v>
      </c>
      <c r="Q230" s="349">
        <f>IF((P231=""),"",MAX(D232:P232))</f>
        <v>2098.38</v>
      </c>
      <c r="R230" s="349">
        <f>IF(P231="","",MIN(D232:P232))</f>
        <v>2016.88</v>
      </c>
      <c r="S230" s="349">
        <f>IF((P232=""),"",AVERAGE(D232:P232))</f>
        <v>2070.1523076923081</v>
      </c>
      <c r="T230" s="349">
        <f>IF((P231=""),"",STDEV(D232:P232))</f>
        <v>20.297780730000252</v>
      </c>
      <c r="U230" s="349">
        <f>IF((P231=""),"",((Q230-R230)/(Q230+R230))*100)</f>
        <v>1.9804338000515156</v>
      </c>
      <c r="V230" s="350" t="str">
        <f>IF(P231="","",IF(U230&lt;5,IF(S230&gt;1900,IF(S230&lt;2250,"Pass","Fail"),"Fail"),"Fail"))</f>
        <v>Pass</v>
      </c>
      <c r="W230" s="351" t="s">
        <v>98</v>
      </c>
      <c r="X230" s="352"/>
      <c r="Y230" s="342"/>
      <c r="Z230" s="376">
        <v>1600</v>
      </c>
      <c r="AA230" s="376">
        <v>2600</v>
      </c>
      <c r="AB230" s="377">
        <v>1900</v>
      </c>
      <c r="AC230" s="377">
        <v>2250</v>
      </c>
      <c r="AD230" s="378">
        <v>10</v>
      </c>
      <c r="AE230" s="378">
        <v>4.5</v>
      </c>
      <c r="AF230" s="49"/>
    </row>
    <row r="231" spans="1:32" customFormat="1" ht="15.75">
      <c r="A231" s="343"/>
      <c r="B231" s="188"/>
      <c r="C231" s="188" t="s">
        <v>78</v>
      </c>
      <c r="D231" s="348">
        <v>1857.83</v>
      </c>
      <c r="E231" s="348">
        <v>1726.71</v>
      </c>
      <c r="F231" s="348">
        <v>1704.6</v>
      </c>
      <c r="G231" s="348">
        <v>1701</v>
      </c>
      <c r="H231" s="348">
        <v>1808.21</v>
      </c>
      <c r="I231" s="348">
        <v>1789.63</v>
      </c>
      <c r="J231" s="348">
        <v>1705.94</v>
      </c>
      <c r="K231" s="348">
        <v>1715.56</v>
      </c>
      <c r="L231" s="348">
        <v>1838.58</v>
      </c>
      <c r="M231" s="348">
        <v>1727.55</v>
      </c>
      <c r="N231" s="348">
        <v>1709.19</v>
      </c>
      <c r="O231" s="348">
        <v>1705.51</v>
      </c>
      <c r="P231" s="348">
        <v>1747.94</v>
      </c>
      <c r="Q231" s="353"/>
      <c r="R231" s="353"/>
      <c r="S231" s="353"/>
      <c r="T231" s="353"/>
      <c r="U231" s="353"/>
      <c r="V231" s="354"/>
      <c r="W231" s="355"/>
      <c r="X231" s="352"/>
      <c r="Y231" s="342"/>
      <c r="Z231" s="344"/>
      <c r="AA231" s="344"/>
      <c r="AB231" s="344"/>
      <c r="AC231" s="344"/>
      <c r="AD231" s="345"/>
      <c r="AE231" s="345"/>
      <c r="AF231" s="49"/>
    </row>
    <row r="232" spans="1:32" customFormat="1" ht="48.75" thickBot="1">
      <c r="A232" s="346"/>
      <c r="B232" s="347"/>
      <c r="C232" s="347" t="s">
        <v>79</v>
      </c>
      <c r="D232" s="356">
        <f t="shared" ref="D232:P232" si="73">IF(((D230="")*AND(D231="")),"",(D230-D231)*2)</f>
        <v>2051.0200000000004</v>
      </c>
      <c r="E232" s="356">
        <f t="shared" si="73"/>
        <v>2069.46</v>
      </c>
      <c r="F232" s="356">
        <f t="shared" si="73"/>
        <v>2074.92</v>
      </c>
      <c r="G232" s="356">
        <f t="shared" si="73"/>
        <v>2083.84</v>
      </c>
      <c r="H232" s="356">
        <f t="shared" si="73"/>
        <v>2065.8599999999997</v>
      </c>
      <c r="I232" s="356">
        <f t="shared" si="73"/>
        <v>2064.04</v>
      </c>
      <c r="J232" s="356">
        <f t="shared" si="73"/>
        <v>2082.38</v>
      </c>
      <c r="K232" s="356">
        <f t="shared" si="73"/>
        <v>2080.1400000000003</v>
      </c>
      <c r="L232" s="356">
        <f t="shared" si="73"/>
        <v>2016.88</v>
      </c>
      <c r="M232" s="356">
        <f t="shared" si="73"/>
        <v>2077.6200000000003</v>
      </c>
      <c r="N232" s="356">
        <f t="shared" si="73"/>
        <v>2098.38</v>
      </c>
      <c r="O232" s="356">
        <f t="shared" si="73"/>
        <v>2086.8799999999997</v>
      </c>
      <c r="P232" s="356">
        <f t="shared" si="73"/>
        <v>2060.5599999999995</v>
      </c>
      <c r="Q232" s="357"/>
      <c r="R232" s="358"/>
      <c r="S232" s="358"/>
      <c r="T232" s="358"/>
      <c r="U232" s="358"/>
      <c r="V232" s="359"/>
      <c r="W232" s="360"/>
      <c r="X232" s="352"/>
      <c r="Y232" s="342"/>
      <c r="Z232" s="344"/>
      <c r="AA232" s="344"/>
      <c r="AB232" s="344"/>
      <c r="AC232" s="344"/>
      <c r="AD232" s="345"/>
      <c r="AE232" s="345"/>
      <c r="AF232" s="49"/>
    </row>
    <row r="233" spans="1:32" customFormat="1" ht="15.75">
      <c r="A233" s="340">
        <v>43487</v>
      </c>
      <c r="B233" s="341" t="s">
        <v>76</v>
      </c>
      <c r="C233" s="187" t="s">
        <v>77</v>
      </c>
      <c r="D233" s="348">
        <v>2881.66</v>
      </c>
      <c r="E233" s="348">
        <v>2764.31</v>
      </c>
      <c r="F233" s="348">
        <v>2739.98</v>
      </c>
      <c r="G233" s="348">
        <v>2743.94</v>
      </c>
      <c r="H233" s="348">
        <v>2837.35</v>
      </c>
      <c r="I233" s="348">
        <v>2817.87</v>
      </c>
      <c r="J233" s="348">
        <v>2745.22</v>
      </c>
      <c r="K233" s="348">
        <v>2753.09</v>
      </c>
      <c r="L233" s="348">
        <v>2844.82</v>
      </c>
      <c r="M233" s="348">
        <v>2766.95</v>
      </c>
      <c r="N233" s="348">
        <v>2756.83</v>
      </c>
      <c r="O233" s="348">
        <v>2750.15</v>
      </c>
      <c r="P233" s="348">
        <v>2773.58</v>
      </c>
      <c r="Q233" s="349">
        <f>IF((P234=""),"",MAX(D235:P235))</f>
        <v>1959.6400000000003</v>
      </c>
      <c r="R233" s="349">
        <f>IF(P234="","",MIN(D235:P235))</f>
        <v>1845</v>
      </c>
      <c r="S233" s="349">
        <f>IF((P235=""),"",AVERAGE(D235:P235))</f>
        <v>1928.3076923076924</v>
      </c>
      <c r="T233" s="349">
        <f>IF((P234=""),"",STDEV(D235:P235))</f>
        <v>39.382668386362596</v>
      </c>
      <c r="U233" s="349">
        <f>IF((P234=""),"",((Q233-R233)/(Q233+R233))*100)</f>
        <v>3.0131628748055093</v>
      </c>
      <c r="V233" s="350" t="str">
        <f>IF(P234="","",IF(U233&lt;5,IF(S233&gt;1900,IF(S233&lt;2250,"Pass","Fail"),"Fail"),"Fail"))</f>
        <v>Pass</v>
      </c>
      <c r="W233" s="351">
        <v>1335</v>
      </c>
      <c r="X233" s="352" t="s">
        <v>160</v>
      </c>
      <c r="Y233" s="342"/>
      <c r="Z233" s="376">
        <v>1600</v>
      </c>
      <c r="AA233" s="376">
        <v>2600</v>
      </c>
      <c r="AB233" s="377">
        <v>1900</v>
      </c>
      <c r="AC233" s="377">
        <v>2250</v>
      </c>
      <c r="AD233" s="378">
        <v>10</v>
      </c>
      <c r="AE233" s="378">
        <v>4.5</v>
      </c>
      <c r="AF233" s="49"/>
    </row>
    <row r="234" spans="1:32" customFormat="1" ht="15.75">
      <c r="A234" s="343"/>
      <c r="B234" s="188"/>
      <c r="C234" s="188" t="s">
        <v>78</v>
      </c>
      <c r="D234" s="348">
        <v>1932.55</v>
      </c>
      <c r="E234" s="348">
        <v>1787.08</v>
      </c>
      <c r="F234" s="348">
        <v>1767.7</v>
      </c>
      <c r="G234" s="348">
        <v>1765.72</v>
      </c>
      <c r="H234" s="348">
        <v>1914.85</v>
      </c>
      <c r="I234" s="348">
        <v>1872.94</v>
      </c>
      <c r="J234" s="348">
        <v>1769.61</v>
      </c>
      <c r="K234" s="348">
        <v>1779.88</v>
      </c>
      <c r="L234" s="348">
        <v>1911.82</v>
      </c>
      <c r="M234" s="348">
        <v>1789.05</v>
      </c>
      <c r="N234" s="348">
        <v>1777.89</v>
      </c>
      <c r="O234" s="348">
        <v>1770.33</v>
      </c>
      <c r="P234" s="348">
        <v>1802.33</v>
      </c>
      <c r="Q234" s="353"/>
      <c r="R234" s="353"/>
      <c r="S234" s="353"/>
      <c r="T234" s="353"/>
      <c r="U234" s="353"/>
      <c r="V234" s="354"/>
      <c r="W234" s="355"/>
      <c r="X234" s="352"/>
      <c r="Y234" s="342"/>
      <c r="Z234" s="344"/>
      <c r="AA234" s="344"/>
      <c r="AB234" s="344"/>
      <c r="AC234" s="344"/>
      <c r="AD234" s="345"/>
      <c r="AE234" s="345"/>
      <c r="AF234" s="49"/>
    </row>
    <row r="235" spans="1:32" customFormat="1" ht="48.75" thickBot="1">
      <c r="A235" s="346"/>
      <c r="B235" s="347"/>
      <c r="C235" s="347" t="s">
        <v>79</v>
      </c>
      <c r="D235" s="356">
        <f t="shared" ref="D235:P235" si="74">IF(((D233="")*AND(D234="")),"",(D233-D234)*2)</f>
        <v>1898.2199999999998</v>
      </c>
      <c r="E235" s="356">
        <f t="shared" si="74"/>
        <v>1954.46</v>
      </c>
      <c r="F235" s="356">
        <f t="shared" si="74"/>
        <v>1944.56</v>
      </c>
      <c r="G235" s="356">
        <f t="shared" si="74"/>
        <v>1956.44</v>
      </c>
      <c r="H235" s="356">
        <f t="shared" si="74"/>
        <v>1845</v>
      </c>
      <c r="I235" s="356">
        <f t="shared" si="74"/>
        <v>1889.8599999999997</v>
      </c>
      <c r="J235" s="356">
        <f t="shared" si="74"/>
        <v>1951.2199999999998</v>
      </c>
      <c r="K235" s="356">
        <f t="shared" si="74"/>
        <v>1946.42</v>
      </c>
      <c r="L235" s="356">
        <f t="shared" si="74"/>
        <v>1866.0000000000005</v>
      </c>
      <c r="M235" s="356">
        <f t="shared" si="74"/>
        <v>1955.7999999999997</v>
      </c>
      <c r="N235" s="356">
        <f t="shared" si="74"/>
        <v>1957.8799999999997</v>
      </c>
      <c r="O235" s="356">
        <f t="shared" si="74"/>
        <v>1959.6400000000003</v>
      </c>
      <c r="P235" s="356">
        <f t="shared" si="74"/>
        <v>1942.5</v>
      </c>
      <c r="Q235" s="357"/>
      <c r="R235" s="358"/>
      <c r="S235" s="358"/>
      <c r="T235" s="358"/>
      <c r="U235" s="358"/>
      <c r="V235" s="359"/>
      <c r="W235" s="360"/>
      <c r="X235" s="352"/>
      <c r="Y235" s="342"/>
      <c r="Z235" s="344"/>
      <c r="AA235" s="344"/>
      <c r="AB235" s="344"/>
      <c r="AC235" s="344"/>
      <c r="AD235" s="345"/>
      <c r="AE235" s="345"/>
      <c r="AF235" s="49"/>
    </row>
    <row r="236" spans="1:32" customFormat="1" ht="15.75">
      <c r="A236" s="340">
        <v>43493</v>
      </c>
      <c r="B236" s="341" t="s">
        <v>76</v>
      </c>
      <c r="C236" s="187" t="s">
        <v>77</v>
      </c>
      <c r="D236" s="348">
        <v>2875.59</v>
      </c>
      <c r="E236" s="348">
        <v>2759.22</v>
      </c>
      <c r="F236" s="348">
        <v>2740.39</v>
      </c>
      <c r="G236" s="348">
        <v>2743.84</v>
      </c>
      <c r="H236" s="348">
        <v>2843.43</v>
      </c>
      <c r="I236" s="348">
        <v>2820.33</v>
      </c>
      <c r="J236" s="348">
        <v>2746.17</v>
      </c>
      <c r="K236" s="348">
        <v>2750.23</v>
      </c>
      <c r="L236" s="348">
        <v>2838.39</v>
      </c>
      <c r="M236" s="348">
        <v>2766.83</v>
      </c>
      <c r="N236" s="348">
        <v>2754.53</v>
      </c>
      <c r="O236" s="348">
        <v>2751.42</v>
      </c>
      <c r="P236" s="348">
        <v>2768.83</v>
      </c>
      <c r="Q236" s="349">
        <f>IF((P237=""),"",MAX(D238:P238))</f>
        <v>2058.3000000000002</v>
      </c>
      <c r="R236" s="349">
        <f>IF(P237="","",MIN(D238:P238))</f>
        <v>1945.1</v>
      </c>
      <c r="S236" s="349">
        <f>IF((P238=""),"",AVERAGE(D238:P238))</f>
        <v>2019.6015384615384</v>
      </c>
      <c r="T236" s="349">
        <f>IF((P237=""),"",STDEV(D238:P238))</f>
        <v>39.432038971334329</v>
      </c>
      <c r="U236" s="349">
        <f>IF((P237=""),"",((Q236-R236)/(Q236+R236))*100)</f>
        <v>2.827596542938509</v>
      </c>
      <c r="V236" s="350" t="str">
        <f>IF(P237="","",IF(U236&lt;5,IF(S236&gt;1900,IF(S236&lt;2250,"Pass","Fail"),"Fail"),"Fail"))</f>
        <v>Pass</v>
      </c>
      <c r="W236" s="361" t="s">
        <v>98</v>
      </c>
      <c r="X236" s="352" t="s">
        <v>161</v>
      </c>
      <c r="Y236" s="342"/>
      <c r="Z236" s="376">
        <v>1600</v>
      </c>
      <c r="AA236" s="376">
        <v>2600</v>
      </c>
      <c r="AB236" s="377">
        <v>1900</v>
      </c>
      <c r="AC236" s="377">
        <v>2250</v>
      </c>
      <c r="AD236" s="378">
        <v>10</v>
      </c>
      <c r="AE236" s="378">
        <v>4.5</v>
      </c>
      <c r="AF236" s="49"/>
    </row>
    <row r="237" spans="1:32" customFormat="1" ht="15.75">
      <c r="A237" s="343"/>
      <c r="B237" s="188"/>
      <c r="C237" s="188" t="s">
        <v>78</v>
      </c>
      <c r="D237" s="348">
        <v>1894.54</v>
      </c>
      <c r="E237" s="348">
        <v>1741.45</v>
      </c>
      <c r="F237" s="348">
        <v>1721.64</v>
      </c>
      <c r="G237" s="348">
        <v>1716.1</v>
      </c>
      <c r="H237" s="348">
        <v>1851.24</v>
      </c>
      <c r="I237" s="348">
        <v>1834.67</v>
      </c>
      <c r="J237" s="348">
        <v>1726.15</v>
      </c>
      <c r="K237" s="348">
        <v>1730.57</v>
      </c>
      <c r="L237" s="348">
        <v>1865.84</v>
      </c>
      <c r="M237" s="348">
        <v>1745.35</v>
      </c>
      <c r="N237" s="348">
        <v>1725.4</v>
      </c>
      <c r="O237" s="348">
        <v>1722.27</v>
      </c>
      <c r="P237" s="348">
        <v>1756.57</v>
      </c>
      <c r="Q237" s="353"/>
      <c r="R237" s="353"/>
      <c r="S237" s="353"/>
      <c r="T237" s="353"/>
      <c r="U237" s="353"/>
      <c r="V237" s="354"/>
      <c r="W237" s="355"/>
      <c r="X237" s="352"/>
      <c r="Y237" s="342"/>
      <c r="Z237" s="344"/>
      <c r="AA237" s="344"/>
      <c r="AB237" s="344"/>
      <c r="AC237" s="344"/>
      <c r="AD237" s="345"/>
      <c r="AE237" s="345"/>
      <c r="AF237" s="49"/>
    </row>
    <row r="238" spans="1:32" customFormat="1" ht="48.75" thickBot="1">
      <c r="A238" s="346"/>
      <c r="B238" s="347"/>
      <c r="C238" s="347" t="s">
        <v>79</v>
      </c>
      <c r="D238" s="356">
        <f t="shared" ref="D238:P238" si="75">IF(((D236="")*AND(D237="")),"",(D236-D237)*2)</f>
        <v>1962.1000000000004</v>
      </c>
      <c r="E238" s="356">
        <f t="shared" si="75"/>
        <v>2035.5399999999995</v>
      </c>
      <c r="F238" s="356">
        <f t="shared" si="75"/>
        <v>2037.4999999999995</v>
      </c>
      <c r="G238" s="356">
        <f t="shared" si="75"/>
        <v>2055.4800000000005</v>
      </c>
      <c r="H238" s="356">
        <f t="shared" si="75"/>
        <v>1984.3799999999997</v>
      </c>
      <c r="I238" s="356">
        <f t="shared" si="75"/>
        <v>1971.3199999999997</v>
      </c>
      <c r="J238" s="356">
        <f t="shared" si="75"/>
        <v>2040.04</v>
      </c>
      <c r="K238" s="356">
        <f t="shared" si="75"/>
        <v>2039.3200000000002</v>
      </c>
      <c r="L238" s="356">
        <f t="shared" si="75"/>
        <v>1945.1</v>
      </c>
      <c r="M238" s="356">
        <f t="shared" si="75"/>
        <v>2042.96</v>
      </c>
      <c r="N238" s="356">
        <f t="shared" si="75"/>
        <v>2058.2600000000002</v>
      </c>
      <c r="O238" s="356">
        <f t="shared" si="75"/>
        <v>2058.3000000000002</v>
      </c>
      <c r="P238" s="356">
        <f t="shared" si="75"/>
        <v>2024.52</v>
      </c>
      <c r="Q238" s="357"/>
      <c r="R238" s="358"/>
      <c r="S238" s="358"/>
      <c r="T238" s="358"/>
      <c r="U238" s="358"/>
      <c r="V238" s="359"/>
      <c r="W238" s="360"/>
      <c r="X238" s="352"/>
      <c r="Y238" s="342"/>
      <c r="Z238" s="344"/>
      <c r="AA238" s="344"/>
      <c r="AB238" s="344"/>
      <c r="AC238" s="344"/>
      <c r="AD238" s="345"/>
      <c r="AE238" s="345"/>
      <c r="AF238" s="49"/>
    </row>
    <row r="239" spans="1:32" customFormat="1" ht="15.75">
      <c r="A239" s="340">
        <v>43497</v>
      </c>
      <c r="B239" s="341" t="s">
        <v>76</v>
      </c>
      <c r="C239" s="187" t="s">
        <v>77</v>
      </c>
      <c r="D239" s="348">
        <v>2882.54</v>
      </c>
      <c r="E239" s="348">
        <v>2765.4</v>
      </c>
      <c r="F239" s="348">
        <v>2749.28</v>
      </c>
      <c r="G239" s="348">
        <v>2749.93</v>
      </c>
      <c r="H239" s="348">
        <v>2845.01</v>
      </c>
      <c r="I239" s="348">
        <v>2827.64</v>
      </c>
      <c r="J239" s="348">
        <v>2748.34</v>
      </c>
      <c r="K239" s="348">
        <v>2757.68</v>
      </c>
      <c r="L239" s="348">
        <v>2848.03</v>
      </c>
      <c r="M239" s="348">
        <v>2770.31</v>
      </c>
      <c r="N239" s="348">
        <v>2764.53</v>
      </c>
      <c r="O239" s="348">
        <v>2757.7</v>
      </c>
      <c r="P239" s="348">
        <v>2781.62</v>
      </c>
      <c r="Q239" s="349">
        <f>IF((P240=""),"",MAX(D241:P241))</f>
        <v>2088.0000000000005</v>
      </c>
      <c r="R239" s="349">
        <f>IF(P240="","",MIN(D241:P241))</f>
        <v>1985.7200000000003</v>
      </c>
      <c r="S239" s="349">
        <f>IF((P241=""),"",AVERAGE(D241:P241))</f>
        <v>2049.9184615384615</v>
      </c>
      <c r="T239" s="349">
        <f>IF((P240=""),"",STDEV(D241:P241))</f>
        <v>30.255572997947951</v>
      </c>
      <c r="U239" s="349">
        <f>IF((P240=""),"",((Q239-R239)/(Q239+R239))*100)</f>
        <v>2.5107272959359057</v>
      </c>
      <c r="V239" s="350" t="str">
        <f>IF(P240="","",IF(U239&lt;5,IF(S239&gt;1900,IF(S239&lt;2250,"Pass","Fail"),"Fail"),"Fail"))</f>
        <v>Pass</v>
      </c>
      <c r="W239" s="351">
        <v>121</v>
      </c>
      <c r="X239" s="352" t="s">
        <v>162</v>
      </c>
      <c r="Y239" s="342"/>
      <c r="Z239" s="376">
        <v>1600</v>
      </c>
      <c r="AA239" s="376">
        <v>2600</v>
      </c>
      <c r="AB239" s="377">
        <v>1900</v>
      </c>
      <c r="AC239" s="377">
        <v>2250</v>
      </c>
      <c r="AD239" s="378">
        <v>10</v>
      </c>
      <c r="AE239" s="378">
        <v>4.5</v>
      </c>
      <c r="AF239" s="49"/>
    </row>
    <row r="240" spans="1:32" customFormat="1" ht="15.75">
      <c r="A240" s="343"/>
      <c r="B240" s="188"/>
      <c r="C240" s="188" t="s">
        <v>78</v>
      </c>
      <c r="D240" s="348">
        <v>1880.55</v>
      </c>
      <c r="E240" s="348">
        <v>1737.37</v>
      </c>
      <c r="F240" s="348">
        <v>1718.94</v>
      </c>
      <c r="G240" s="348">
        <v>1710.14</v>
      </c>
      <c r="H240" s="348">
        <v>1827.69</v>
      </c>
      <c r="I240" s="348">
        <v>1817.37</v>
      </c>
      <c r="J240" s="348">
        <v>1718.59</v>
      </c>
      <c r="K240" s="348">
        <v>1725.52</v>
      </c>
      <c r="L240" s="348">
        <v>1855.17</v>
      </c>
      <c r="M240" s="348">
        <v>1742.44</v>
      </c>
      <c r="N240" s="348">
        <v>1720.53</v>
      </c>
      <c r="O240" s="348">
        <v>1720.85</v>
      </c>
      <c r="P240" s="348">
        <v>1748.38</v>
      </c>
      <c r="Q240" s="353"/>
      <c r="R240" s="353"/>
      <c r="S240" s="353"/>
      <c r="T240" s="353"/>
      <c r="U240" s="353"/>
      <c r="V240" s="354"/>
      <c r="W240" s="355"/>
      <c r="X240" s="352"/>
      <c r="Y240" s="342"/>
      <c r="Z240" s="344"/>
      <c r="AA240" s="344"/>
      <c r="AB240" s="344"/>
      <c r="AC240" s="344"/>
      <c r="AD240" s="345"/>
      <c r="AE240" s="345"/>
      <c r="AF240" s="49"/>
    </row>
    <row r="241" spans="1:32" customFormat="1" ht="48.75" thickBot="1">
      <c r="A241" s="346"/>
      <c r="B241" s="347"/>
      <c r="C241" s="347" t="s">
        <v>79</v>
      </c>
      <c r="D241" s="356">
        <f t="shared" ref="D241:P241" si="76">IF(((D239="")*AND(D240="")),"",(D239-D240)*2)</f>
        <v>2003.98</v>
      </c>
      <c r="E241" s="356">
        <f t="shared" si="76"/>
        <v>2056.0600000000004</v>
      </c>
      <c r="F241" s="356">
        <f t="shared" si="76"/>
        <v>2060.6800000000003</v>
      </c>
      <c r="G241" s="356">
        <f t="shared" si="76"/>
        <v>2079.5799999999995</v>
      </c>
      <c r="H241" s="356">
        <f t="shared" si="76"/>
        <v>2034.6400000000003</v>
      </c>
      <c r="I241" s="356">
        <f t="shared" si="76"/>
        <v>2020.54</v>
      </c>
      <c r="J241" s="356">
        <f t="shared" si="76"/>
        <v>2059.5000000000005</v>
      </c>
      <c r="K241" s="356">
        <f t="shared" si="76"/>
        <v>2064.3199999999997</v>
      </c>
      <c r="L241" s="356">
        <f t="shared" si="76"/>
        <v>1985.7200000000003</v>
      </c>
      <c r="M241" s="356">
        <f t="shared" si="76"/>
        <v>2055.7399999999998</v>
      </c>
      <c r="N241" s="356">
        <f t="shared" si="76"/>
        <v>2088.0000000000005</v>
      </c>
      <c r="O241" s="356">
        <f t="shared" si="76"/>
        <v>2073.6999999999998</v>
      </c>
      <c r="P241" s="356">
        <f t="shared" si="76"/>
        <v>2066.4799999999996</v>
      </c>
      <c r="Q241" s="357"/>
      <c r="R241" s="358"/>
      <c r="S241" s="358"/>
      <c r="T241" s="358"/>
      <c r="U241" s="358"/>
      <c r="V241" s="359"/>
      <c r="W241" s="360"/>
      <c r="X241" s="352"/>
      <c r="Y241" s="342"/>
      <c r="Z241" s="344"/>
      <c r="AA241" s="344"/>
      <c r="AB241" s="344"/>
      <c r="AC241" s="344"/>
      <c r="AD241" s="345"/>
      <c r="AE241" s="345"/>
      <c r="AF241" s="49"/>
    </row>
    <row r="242" spans="1:32" customFormat="1" ht="15.75">
      <c r="A242" s="340">
        <v>43502</v>
      </c>
      <c r="B242" s="341" t="s">
        <v>76</v>
      </c>
      <c r="C242" s="187" t="s">
        <v>77</v>
      </c>
      <c r="D242" s="348">
        <v>2849.15</v>
      </c>
      <c r="E242" s="348">
        <v>2756.68</v>
      </c>
      <c r="F242" s="348">
        <v>2754.26</v>
      </c>
      <c r="G242" s="348">
        <v>2776.5</v>
      </c>
      <c r="H242" s="348">
        <v>2890.65</v>
      </c>
      <c r="I242" s="348">
        <v>2836.46</v>
      </c>
      <c r="J242" s="348">
        <v>2762.12</v>
      </c>
      <c r="K242" s="348">
        <v>2764.54</v>
      </c>
      <c r="L242" s="348">
        <v>2842.48</v>
      </c>
      <c r="M242" s="348">
        <v>2766.89</v>
      </c>
      <c r="N242" s="348">
        <v>2783.42</v>
      </c>
      <c r="O242" s="348">
        <v>2782.46</v>
      </c>
      <c r="P242" s="348">
        <v>2769.22</v>
      </c>
      <c r="Q242" s="349">
        <f>IF((P243=""),"",MAX(D244:P244))</f>
        <v>2089.54</v>
      </c>
      <c r="R242" s="349">
        <f>IF(P243="","",MIN(D244:P244))</f>
        <v>1984.5</v>
      </c>
      <c r="S242" s="349">
        <f>IF((P244=""),"",AVERAGE(D244:P244))</f>
        <v>2048.1338461538462</v>
      </c>
      <c r="T242" s="349">
        <f>IF((P243=""),"",STDEV(D244:P244))</f>
        <v>34.546130882829118</v>
      </c>
      <c r="U242" s="349">
        <f>IF((P243=""),"",((Q242-R242)/(Q242+R242))*100)</f>
        <v>2.578276109218367</v>
      </c>
      <c r="V242" s="350" t="str">
        <f>IF(P243="","",IF(U242&lt;5,IF(S242&gt;1900,IF(S242&lt;2250,"Pass","Fail"),"Fail"),"Fail"))</f>
        <v>Pass</v>
      </c>
      <c r="W242" s="351">
        <v>102</v>
      </c>
      <c r="X242" s="352" t="s">
        <v>163</v>
      </c>
      <c r="Y242" s="342"/>
      <c r="Z242" s="376">
        <v>1600</v>
      </c>
      <c r="AA242" s="376">
        <v>2600</v>
      </c>
      <c r="AB242" s="377">
        <v>1900</v>
      </c>
      <c r="AC242" s="377">
        <v>2250</v>
      </c>
      <c r="AD242" s="378">
        <v>10</v>
      </c>
      <c r="AE242" s="378">
        <v>4.5</v>
      </c>
      <c r="AF242" s="49"/>
    </row>
    <row r="243" spans="1:32" customFormat="1" ht="15.75">
      <c r="A243" s="343"/>
      <c r="B243" s="188"/>
      <c r="C243" s="188" t="s">
        <v>78</v>
      </c>
      <c r="D243" s="348">
        <v>1843.18</v>
      </c>
      <c r="E243" s="348">
        <v>1732.48</v>
      </c>
      <c r="F243" s="348">
        <v>1723.53</v>
      </c>
      <c r="G243" s="348">
        <v>1732.6</v>
      </c>
      <c r="H243" s="348">
        <v>1891.56</v>
      </c>
      <c r="I243" s="348">
        <v>1829.31</v>
      </c>
      <c r="J243" s="348">
        <v>1729.42</v>
      </c>
      <c r="K243" s="348">
        <v>1729.53</v>
      </c>
      <c r="L243" s="348">
        <v>1850.23</v>
      </c>
      <c r="M243" s="348">
        <v>1738.72</v>
      </c>
      <c r="N243" s="348">
        <v>1738.65</v>
      </c>
      <c r="O243" s="348">
        <v>1743.71</v>
      </c>
      <c r="P243" s="348">
        <v>1739.04</v>
      </c>
      <c r="Q243" s="353"/>
      <c r="R243" s="353"/>
      <c r="S243" s="353"/>
      <c r="T243" s="353"/>
      <c r="U243" s="353"/>
      <c r="V243" s="354"/>
      <c r="W243" s="355"/>
      <c r="X243" s="352"/>
      <c r="Y243" s="342"/>
      <c r="Z243" s="344"/>
      <c r="AA243" s="344"/>
      <c r="AB243" s="344"/>
      <c r="AC243" s="344"/>
      <c r="AD243" s="345"/>
      <c r="AE243" s="345"/>
      <c r="AF243" s="49"/>
    </row>
    <row r="244" spans="1:32" customFormat="1" ht="48.75" thickBot="1">
      <c r="A244" s="346"/>
      <c r="B244" s="347"/>
      <c r="C244" s="347" t="s">
        <v>79</v>
      </c>
      <c r="D244" s="356">
        <f t="shared" ref="D244:P244" si="77">IF(((D242="")*AND(D243="")),"",(D242-D243)*2)</f>
        <v>2011.94</v>
      </c>
      <c r="E244" s="356">
        <f t="shared" si="77"/>
        <v>2048.3999999999996</v>
      </c>
      <c r="F244" s="356">
        <f t="shared" si="77"/>
        <v>2061.4600000000005</v>
      </c>
      <c r="G244" s="356">
        <f t="shared" si="77"/>
        <v>2087.8000000000002</v>
      </c>
      <c r="H244" s="356">
        <f t="shared" si="77"/>
        <v>1998.1800000000003</v>
      </c>
      <c r="I244" s="356">
        <f t="shared" si="77"/>
        <v>2014.3000000000002</v>
      </c>
      <c r="J244" s="356">
        <f t="shared" si="77"/>
        <v>2065.3999999999996</v>
      </c>
      <c r="K244" s="356">
        <f t="shared" si="77"/>
        <v>2070.02</v>
      </c>
      <c r="L244" s="356">
        <f t="shared" si="77"/>
        <v>1984.5</v>
      </c>
      <c r="M244" s="356">
        <f t="shared" si="77"/>
        <v>2056.3399999999997</v>
      </c>
      <c r="N244" s="356">
        <f t="shared" si="77"/>
        <v>2089.54</v>
      </c>
      <c r="O244" s="356">
        <f t="shared" si="77"/>
        <v>2077.5</v>
      </c>
      <c r="P244" s="356">
        <f t="shared" si="77"/>
        <v>2060.3599999999997</v>
      </c>
      <c r="Q244" s="357"/>
      <c r="R244" s="358"/>
      <c r="S244" s="358"/>
      <c r="T244" s="358"/>
      <c r="U244" s="358"/>
      <c r="V244" s="359"/>
      <c r="W244" s="360"/>
      <c r="X244" s="352"/>
      <c r="Y244" s="342"/>
      <c r="Z244" s="344"/>
      <c r="AA244" s="344"/>
      <c r="AB244" s="344"/>
      <c r="AC244" s="344"/>
      <c r="AD244" s="345"/>
      <c r="AE244" s="345"/>
      <c r="AF244" s="49"/>
    </row>
    <row r="245" spans="1:32" customFormat="1" ht="15.75">
      <c r="A245" s="340">
        <v>43507</v>
      </c>
      <c r="B245" s="341" t="s">
        <v>76</v>
      </c>
      <c r="C245" s="187" t="s">
        <v>77</v>
      </c>
      <c r="D245" s="348">
        <v>2853.01</v>
      </c>
      <c r="E245" s="348">
        <v>2764.34</v>
      </c>
      <c r="F245" s="348">
        <v>2756.15</v>
      </c>
      <c r="G245" s="348">
        <v>2776.45</v>
      </c>
      <c r="H245" s="348">
        <v>2892.13</v>
      </c>
      <c r="I245" s="348">
        <v>2837.52</v>
      </c>
      <c r="J245" s="348">
        <v>2766.11</v>
      </c>
      <c r="K245" s="348">
        <v>2769.66</v>
      </c>
      <c r="L245" s="348">
        <v>2840.49</v>
      </c>
      <c r="M245" s="348">
        <v>2766.32</v>
      </c>
      <c r="N245" s="348">
        <v>2787.52</v>
      </c>
      <c r="O245" s="348">
        <v>2787.18</v>
      </c>
      <c r="P245" s="348">
        <v>2775.24</v>
      </c>
      <c r="Q245" s="349">
        <f>IF((P246=""),"",MAX(D247:P247))</f>
        <v>2078.92</v>
      </c>
      <c r="R245" s="349">
        <f>IF(P246="","",MIN(D247:P247))</f>
        <v>1962.4599999999996</v>
      </c>
      <c r="S245" s="349">
        <f>IF((P247=""),"",AVERAGE(D247:P247))</f>
        <v>2037.3584615384611</v>
      </c>
      <c r="T245" s="349">
        <f>IF((P246=""),"",STDEV(D247:P247))</f>
        <v>37.827598797295437</v>
      </c>
      <c r="U245" s="349">
        <f>IF((P246=""),"",((Q245-R245)/(Q245+R245))*100)</f>
        <v>2.8816889280394444</v>
      </c>
      <c r="V245" s="350" t="str">
        <f>IF(P246="","",IF(U245&lt;5,IF(S245&gt;1900,IF(S245&lt;2250,"Pass","Fail"),"Fail"),"Fail"))</f>
        <v>Pass</v>
      </c>
      <c r="W245" s="351">
        <v>74</v>
      </c>
      <c r="X245" s="352"/>
      <c r="Y245" s="342"/>
      <c r="Z245" s="376">
        <v>1600</v>
      </c>
      <c r="AA245" s="376">
        <v>2600</v>
      </c>
      <c r="AB245" s="377">
        <v>1900</v>
      </c>
      <c r="AC245" s="377">
        <v>2250</v>
      </c>
      <c r="AD245" s="378">
        <v>10</v>
      </c>
      <c r="AE245" s="378">
        <v>4.5</v>
      </c>
      <c r="AF245" s="49"/>
    </row>
    <row r="246" spans="1:32" customFormat="1" ht="15.75">
      <c r="A246" s="343"/>
      <c r="B246" s="188"/>
      <c r="C246" s="188" t="s">
        <v>78</v>
      </c>
      <c r="D246" s="348">
        <v>1857.5</v>
      </c>
      <c r="E246" s="348">
        <v>1737.01</v>
      </c>
      <c r="F246" s="348">
        <v>1730.42</v>
      </c>
      <c r="G246" s="348">
        <v>1741.24</v>
      </c>
      <c r="H246" s="348">
        <v>1896.45</v>
      </c>
      <c r="I246" s="348">
        <v>1838.59</v>
      </c>
      <c r="J246" s="348">
        <v>1736.12</v>
      </c>
      <c r="K246" s="348">
        <v>1739.01</v>
      </c>
      <c r="L246" s="348">
        <v>1859.26</v>
      </c>
      <c r="M246" s="348">
        <v>1744.76</v>
      </c>
      <c r="N246" s="348">
        <v>1748.06</v>
      </c>
      <c r="O246" s="348">
        <v>1752.36</v>
      </c>
      <c r="P246" s="348">
        <v>1748.51</v>
      </c>
      <c r="Q246" s="353"/>
      <c r="R246" s="353"/>
      <c r="S246" s="353"/>
      <c r="T246" s="353"/>
      <c r="U246" s="353"/>
      <c r="V246" s="354"/>
      <c r="W246" s="355"/>
      <c r="X246" s="352"/>
      <c r="Y246" s="342"/>
      <c r="Z246" s="344"/>
      <c r="AA246" s="344"/>
      <c r="AB246" s="344"/>
      <c r="AC246" s="344"/>
      <c r="AD246" s="345"/>
      <c r="AE246" s="345"/>
      <c r="AF246" s="49"/>
    </row>
    <row r="247" spans="1:32" customFormat="1" ht="48.75" thickBot="1">
      <c r="A247" s="346"/>
      <c r="B247" s="347"/>
      <c r="C247" s="347" t="s">
        <v>79</v>
      </c>
      <c r="D247" s="356">
        <f t="shared" ref="D247:P247" si="78">IF(((D245="")*AND(D246="")),"",(D245-D246)*2)</f>
        <v>1991.0200000000004</v>
      </c>
      <c r="E247" s="356">
        <f t="shared" si="78"/>
        <v>2054.6600000000003</v>
      </c>
      <c r="F247" s="356">
        <f t="shared" si="78"/>
        <v>2051.46</v>
      </c>
      <c r="G247" s="356">
        <f t="shared" si="78"/>
        <v>2070.4199999999996</v>
      </c>
      <c r="H247" s="356">
        <f t="shared" si="78"/>
        <v>1991.3600000000001</v>
      </c>
      <c r="I247" s="356">
        <f t="shared" si="78"/>
        <v>1997.8600000000001</v>
      </c>
      <c r="J247" s="356">
        <f t="shared" si="78"/>
        <v>2059.9800000000005</v>
      </c>
      <c r="K247" s="356">
        <f t="shared" si="78"/>
        <v>2061.2999999999997</v>
      </c>
      <c r="L247" s="356">
        <f t="shared" si="78"/>
        <v>1962.4599999999996</v>
      </c>
      <c r="M247" s="356">
        <f t="shared" si="78"/>
        <v>2043.1200000000003</v>
      </c>
      <c r="N247" s="356">
        <f t="shared" si="78"/>
        <v>2078.92</v>
      </c>
      <c r="O247" s="356">
        <f t="shared" si="78"/>
        <v>2069.64</v>
      </c>
      <c r="P247" s="356">
        <f t="shared" si="78"/>
        <v>2053.4599999999996</v>
      </c>
      <c r="Q247" s="357"/>
      <c r="R247" s="358"/>
      <c r="S247" s="358"/>
      <c r="T247" s="358"/>
      <c r="U247" s="358"/>
      <c r="V247" s="359"/>
      <c r="W247" s="360"/>
      <c r="X247" s="352"/>
      <c r="Y247" s="342"/>
      <c r="Z247" s="344"/>
      <c r="AA247" s="344"/>
      <c r="AB247" s="344"/>
      <c r="AC247" s="344"/>
      <c r="AD247" s="345"/>
      <c r="AE247" s="345"/>
      <c r="AF247" s="49"/>
    </row>
    <row r="248" spans="1:32" customFormat="1" ht="15.75">
      <c r="A248" s="340">
        <v>43510</v>
      </c>
      <c r="B248" s="341" t="s">
        <v>76</v>
      </c>
      <c r="C248" s="187" t="s">
        <v>77</v>
      </c>
      <c r="D248" s="348">
        <v>2848.07</v>
      </c>
      <c r="E248" s="348">
        <v>2753.57</v>
      </c>
      <c r="F248" s="348">
        <v>2752.31</v>
      </c>
      <c r="G248" s="348">
        <v>2772.66</v>
      </c>
      <c r="H248" s="348">
        <v>2884.92</v>
      </c>
      <c r="I248" s="348">
        <v>2836.04</v>
      </c>
      <c r="J248" s="348">
        <v>2762.58</v>
      </c>
      <c r="K248" s="348">
        <v>2759.64</v>
      </c>
      <c r="L248" s="348">
        <v>2838.42</v>
      </c>
      <c r="M248" s="348">
        <v>2759.5</v>
      </c>
      <c r="N248" s="348">
        <v>2779.7</v>
      </c>
      <c r="O248" s="348">
        <v>2781.87</v>
      </c>
      <c r="P248" s="348">
        <v>2763.81</v>
      </c>
      <c r="Q248" s="349">
        <f>IF((P249=""),"",MAX(D250:P250))</f>
        <v>2050.3999999999996</v>
      </c>
      <c r="R248" s="349">
        <f>IF(P249="","",MIN(D250:P250))</f>
        <v>1914.2800000000002</v>
      </c>
      <c r="S248" s="349">
        <f>IF((P250=""),"",AVERAGE(D250:P250))</f>
        <v>2003.8646153846153</v>
      </c>
      <c r="T248" s="349">
        <f>IF((P249=""),"",STDEV(D250:P250))</f>
        <v>50.59877874273721</v>
      </c>
      <c r="U248" s="349">
        <f>IF((P249=""),"",((Q248-R248)/(Q248+R248))*100)</f>
        <v>3.4333161818860396</v>
      </c>
      <c r="V248" s="350" t="str">
        <f>IF(P249="","",IF(U248&lt;5,IF(S248&gt;1900,IF(S248&lt;2250,"Pass","Fail"),"Fail"),"Fail"))</f>
        <v>Pass</v>
      </c>
      <c r="W248" s="351" t="s">
        <v>151</v>
      </c>
      <c r="X248" s="352"/>
      <c r="Y248" s="342"/>
      <c r="Z248" s="376">
        <v>1600</v>
      </c>
      <c r="AA248" s="376">
        <v>2600</v>
      </c>
      <c r="AB248" s="377">
        <v>1900</v>
      </c>
      <c r="AC248" s="377">
        <v>2250</v>
      </c>
      <c r="AD248" s="378">
        <v>10</v>
      </c>
      <c r="AE248" s="378">
        <v>4.5</v>
      </c>
      <c r="AF248" s="49"/>
    </row>
    <row r="249" spans="1:32" customFormat="1" ht="15.75">
      <c r="A249" s="343"/>
      <c r="B249" s="188"/>
      <c r="C249" s="188" t="s">
        <v>78</v>
      </c>
      <c r="D249" s="348">
        <v>1873</v>
      </c>
      <c r="E249" s="348">
        <v>1739.3</v>
      </c>
      <c r="F249" s="348">
        <v>1734.63</v>
      </c>
      <c r="G249" s="348">
        <v>1747.46</v>
      </c>
      <c r="H249" s="348">
        <v>1927.57</v>
      </c>
      <c r="I249" s="348">
        <v>1858.71</v>
      </c>
      <c r="J249" s="348">
        <v>1748.09</v>
      </c>
      <c r="K249" s="348">
        <v>1741.88</v>
      </c>
      <c r="L249" s="348">
        <v>1881.28</v>
      </c>
      <c r="M249" s="348">
        <v>1748.05</v>
      </c>
      <c r="N249" s="348">
        <v>1756.23</v>
      </c>
      <c r="O249" s="348">
        <v>1763.45</v>
      </c>
      <c r="P249" s="348">
        <v>1748.32</v>
      </c>
      <c r="Q249" s="353"/>
      <c r="R249" s="353"/>
      <c r="S249" s="353"/>
      <c r="T249" s="353"/>
      <c r="U249" s="353"/>
      <c r="V249" s="354"/>
      <c r="W249" s="355"/>
      <c r="X249" s="352"/>
      <c r="Y249" s="342"/>
      <c r="Z249" s="344"/>
      <c r="AA249" s="344"/>
      <c r="AB249" s="344"/>
      <c r="AC249" s="344"/>
      <c r="AD249" s="345"/>
      <c r="AE249" s="345"/>
      <c r="AF249" s="49"/>
    </row>
    <row r="250" spans="1:32" customFormat="1" ht="48.75" thickBot="1">
      <c r="A250" s="346"/>
      <c r="B250" s="347"/>
      <c r="C250" s="347" t="s">
        <v>79</v>
      </c>
      <c r="D250" s="356">
        <f t="shared" ref="D250:P250" si="79">IF(((D248="")*AND(D249="")),"",(D248-D249)*2)</f>
        <v>1950.1400000000003</v>
      </c>
      <c r="E250" s="356">
        <f t="shared" si="79"/>
        <v>2028.5400000000004</v>
      </c>
      <c r="F250" s="356">
        <f t="shared" si="79"/>
        <v>2035.3599999999997</v>
      </c>
      <c r="G250" s="356">
        <f t="shared" si="79"/>
        <v>2050.3999999999996</v>
      </c>
      <c r="H250" s="356">
        <f t="shared" si="79"/>
        <v>1914.7000000000003</v>
      </c>
      <c r="I250" s="356">
        <f t="shared" si="79"/>
        <v>1954.6599999999999</v>
      </c>
      <c r="J250" s="356">
        <f t="shared" si="79"/>
        <v>2028.98</v>
      </c>
      <c r="K250" s="356">
        <f t="shared" si="79"/>
        <v>2035.5199999999995</v>
      </c>
      <c r="L250" s="356">
        <f t="shared" si="79"/>
        <v>1914.2800000000002</v>
      </c>
      <c r="M250" s="356">
        <f t="shared" si="79"/>
        <v>2022.9</v>
      </c>
      <c r="N250" s="356">
        <f t="shared" si="79"/>
        <v>2046.9399999999996</v>
      </c>
      <c r="O250" s="356">
        <f t="shared" si="79"/>
        <v>2036.8399999999997</v>
      </c>
      <c r="P250" s="356">
        <f t="shared" si="79"/>
        <v>2030.98</v>
      </c>
      <c r="Q250" s="357"/>
      <c r="R250" s="358"/>
      <c r="S250" s="358"/>
      <c r="T250" s="358"/>
      <c r="U250" s="358"/>
      <c r="V250" s="359"/>
      <c r="W250" s="360"/>
      <c r="X250" s="352"/>
      <c r="Y250" s="342"/>
      <c r="Z250" s="344"/>
      <c r="AA250" s="344"/>
      <c r="AB250" s="344"/>
      <c r="AC250" s="344"/>
      <c r="AD250" s="345"/>
      <c r="AE250" s="345"/>
      <c r="AF250" s="49"/>
    </row>
    <row r="251" spans="1:32" customFormat="1" ht="15.75">
      <c r="A251" s="340">
        <v>43514</v>
      </c>
      <c r="B251" s="341" t="s">
        <v>76</v>
      </c>
      <c r="C251" s="187" t="s">
        <v>77</v>
      </c>
      <c r="D251" s="348">
        <v>2858.15</v>
      </c>
      <c r="E251" s="348">
        <v>2766.4</v>
      </c>
      <c r="F251" s="348">
        <v>2761.96</v>
      </c>
      <c r="G251" s="348">
        <v>2780.35</v>
      </c>
      <c r="H251" s="348">
        <v>2895.56</v>
      </c>
      <c r="I251" s="348">
        <v>2841.33</v>
      </c>
      <c r="J251" s="348">
        <v>2770.32</v>
      </c>
      <c r="K251" s="348">
        <v>2771.91</v>
      </c>
      <c r="L251" s="348">
        <v>2850.01</v>
      </c>
      <c r="M251" s="348">
        <v>2772.1</v>
      </c>
      <c r="N251" s="348">
        <v>2791.86</v>
      </c>
      <c r="O251" s="348">
        <v>2793.02</v>
      </c>
      <c r="P251" s="348">
        <v>2777.14</v>
      </c>
      <c r="Q251" s="349">
        <f>IF((P252=""),"",MAX(D253:P253))</f>
        <v>2075.5000000000005</v>
      </c>
      <c r="R251" s="349">
        <f>IF(P252="","",MIN(D253:P253))</f>
        <v>1950.7399999999998</v>
      </c>
      <c r="S251" s="349">
        <f>IF((P253=""),"",AVERAGE(D253:P253))</f>
        <v>2029.9969230769227</v>
      </c>
      <c r="T251" s="349">
        <f>IF((P252=""),"",STDEV(D253:P253))</f>
        <v>43.346014692762985</v>
      </c>
      <c r="U251" s="349">
        <f>IF((P252=""),"",((Q251-R251)/(Q251+R251))*100)</f>
        <v>3.0986727070418221</v>
      </c>
      <c r="V251" s="350" t="str">
        <f>IF(P252="","",IF(U251&lt;5,IF(S251&gt;1900,IF(S251&lt;2250,"Pass","Fail"),"Fail"),"Fail"))</f>
        <v>Pass</v>
      </c>
      <c r="W251" s="351">
        <v>1428</v>
      </c>
      <c r="X251" s="352"/>
      <c r="Y251" s="342"/>
      <c r="Z251" s="376">
        <v>1600</v>
      </c>
      <c r="AA251" s="376">
        <v>2600</v>
      </c>
      <c r="AB251" s="377">
        <v>1900</v>
      </c>
      <c r="AC251" s="377">
        <v>2250</v>
      </c>
      <c r="AD251" s="378">
        <v>10</v>
      </c>
      <c r="AE251" s="378">
        <v>4.5</v>
      </c>
      <c r="AF251" s="49"/>
    </row>
    <row r="252" spans="1:32" customFormat="1" ht="15.75">
      <c r="A252" s="343"/>
      <c r="B252" s="188"/>
      <c r="C252" s="188" t="s">
        <v>78</v>
      </c>
      <c r="D252" s="348">
        <v>1862.51</v>
      </c>
      <c r="E252" s="348">
        <v>1742.54</v>
      </c>
      <c r="F252" s="348">
        <v>1736.17</v>
      </c>
      <c r="G252" s="348">
        <v>1747.28</v>
      </c>
      <c r="H252" s="348">
        <v>1920.19</v>
      </c>
      <c r="I252" s="348">
        <v>1851.55</v>
      </c>
      <c r="J252" s="348">
        <v>1743.36</v>
      </c>
      <c r="K252" s="348">
        <v>1744.89</v>
      </c>
      <c r="L252" s="348">
        <v>1870.82</v>
      </c>
      <c r="M252" s="348">
        <v>1748.97</v>
      </c>
      <c r="N252" s="348">
        <v>1754.11</v>
      </c>
      <c r="O252" s="348">
        <v>1762.84</v>
      </c>
      <c r="P252" s="348">
        <v>1749.9</v>
      </c>
      <c r="Q252" s="353"/>
      <c r="R252" s="353"/>
      <c r="S252" s="353"/>
      <c r="T252" s="353"/>
      <c r="U252" s="353"/>
      <c r="V252" s="354"/>
      <c r="W252" s="355"/>
      <c r="X252" s="352"/>
      <c r="Y252" s="342"/>
      <c r="Z252" s="344"/>
      <c r="AA252" s="344"/>
      <c r="AB252" s="344"/>
      <c r="AC252" s="344"/>
      <c r="AD252" s="345"/>
      <c r="AE252" s="345"/>
      <c r="AF252" s="49"/>
    </row>
    <row r="253" spans="1:32" customFormat="1" ht="48.75" thickBot="1">
      <c r="A253" s="346"/>
      <c r="B253" s="347"/>
      <c r="C253" s="347" t="s">
        <v>79</v>
      </c>
      <c r="D253" s="356">
        <f t="shared" ref="D253:P253" si="80">IF(((D251="")*AND(D252="")),"",(D251-D252)*2)</f>
        <v>1991.2800000000002</v>
      </c>
      <c r="E253" s="356">
        <f t="shared" si="80"/>
        <v>2047.7200000000003</v>
      </c>
      <c r="F253" s="356">
        <f t="shared" si="80"/>
        <v>2051.58</v>
      </c>
      <c r="G253" s="356">
        <f t="shared" si="80"/>
        <v>2066.14</v>
      </c>
      <c r="H253" s="356">
        <f t="shared" si="80"/>
        <v>1950.7399999999998</v>
      </c>
      <c r="I253" s="356">
        <f t="shared" si="80"/>
        <v>1979.56</v>
      </c>
      <c r="J253" s="356">
        <f t="shared" si="80"/>
        <v>2053.9200000000005</v>
      </c>
      <c r="K253" s="356">
        <f t="shared" si="80"/>
        <v>2054.0399999999995</v>
      </c>
      <c r="L253" s="356">
        <f t="shared" si="80"/>
        <v>1958.3800000000006</v>
      </c>
      <c r="M253" s="356">
        <f t="shared" si="80"/>
        <v>2046.2599999999998</v>
      </c>
      <c r="N253" s="356">
        <f t="shared" si="80"/>
        <v>2075.5000000000005</v>
      </c>
      <c r="O253" s="356">
        <f t="shared" si="80"/>
        <v>2060.36</v>
      </c>
      <c r="P253" s="356">
        <f t="shared" si="80"/>
        <v>2054.4799999999996</v>
      </c>
      <c r="Q253" s="357"/>
      <c r="R253" s="358"/>
      <c r="S253" s="358"/>
      <c r="T253" s="358"/>
      <c r="U253" s="358"/>
      <c r="V253" s="359"/>
      <c r="W253" s="360"/>
      <c r="X253" s="352"/>
      <c r="Y253" s="342"/>
      <c r="Z253" s="344"/>
      <c r="AA253" s="344"/>
      <c r="AB253" s="344"/>
      <c r="AC253" s="344"/>
      <c r="AD253" s="345"/>
      <c r="AE253" s="345"/>
      <c r="AF253" s="49"/>
    </row>
    <row r="254" spans="1:32" customFormat="1" ht="15.75">
      <c r="A254" s="340">
        <v>43522</v>
      </c>
      <c r="B254" s="341" t="s">
        <v>76</v>
      </c>
      <c r="C254" s="187" t="s">
        <v>77</v>
      </c>
      <c r="D254" s="348">
        <v>2864.73</v>
      </c>
      <c r="E254" s="348">
        <v>2772.33</v>
      </c>
      <c r="F254" s="348">
        <v>2772.87</v>
      </c>
      <c r="G254" s="348">
        <v>2788.8</v>
      </c>
      <c r="H254" s="348">
        <v>2898.55</v>
      </c>
      <c r="I254" s="348">
        <v>2853.29</v>
      </c>
      <c r="J254" s="348">
        <v>2779.96</v>
      </c>
      <c r="K254" s="348">
        <v>2779.37</v>
      </c>
      <c r="L254" s="348">
        <v>2854.43</v>
      </c>
      <c r="M254" s="348">
        <v>2781.97</v>
      </c>
      <c r="N254" s="348">
        <v>2796.58</v>
      </c>
      <c r="O254" s="348">
        <v>2800.6</v>
      </c>
      <c r="P254" s="348">
        <v>2783.59</v>
      </c>
      <c r="Q254" s="349">
        <f>IF((P255=""),"",MAX(D256:P256))</f>
        <v>2028.0800000000004</v>
      </c>
      <c r="R254" s="349">
        <f>IF(P255="","",MIN(D256:P256))</f>
        <v>1903.6600000000003</v>
      </c>
      <c r="S254" s="349">
        <f>IF((P256=""),"",AVERAGE(D256:P256))</f>
        <v>1986.7061538461539</v>
      </c>
      <c r="T254" s="349">
        <f>IF((P255=""),"",STDEV(D256:P256))</f>
        <v>52.394764614159072</v>
      </c>
      <c r="U254" s="349">
        <f>IF((P255=""),"",((Q254-R254)/(Q254+R254))*100)</f>
        <v>3.1645022305645858</v>
      </c>
      <c r="V254" s="350" t="str">
        <f>IF(P255="","",IF(U254&lt;5,IF(S254&gt;1900,IF(S254&lt;2250,"Pass","Fail"),"Fail"),"Fail"))</f>
        <v>Pass</v>
      </c>
      <c r="W254" s="351" t="s">
        <v>150</v>
      </c>
      <c r="X254" s="352" t="s">
        <v>164</v>
      </c>
      <c r="Y254" s="342"/>
      <c r="Z254" s="376">
        <v>1600</v>
      </c>
      <c r="AA254" s="376">
        <v>2600</v>
      </c>
      <c r="AB254" s="377">
        <v>1900</v>
      </c>
      <c r="AC254" s="377">
        <v>2250</v>
      </c>
      <c r="AD254" s="378">
        <v>10</v>
      </c>
      <c r="AE254" s="378">
        <v>4.5</v>
      </c>
      <c r="AF254" s="49"/>
    </row>
    <row r="255" spans="1:32" customFormat="1" ht="15.75">
      <c r="A255" s="343"/>
      <c r="B255" s="188"/>
      <c r="C255" s="188" t="s">
        <v>78</v>
      </c>
      <c r="D255" s="348">
        <v>1904.59</v>
      </c>
      <c r="E255" s="348">
        <v>1763.21</v>
      </c>
      <c r="F255" s="348">
        <v>1760.85</v>
      </c>
      <c r="G255" s="348">
        <v>1774.76</v>
      </c>
      <c r="H255" s="348">
        <v>1946.72</v>
      </c>
      <c r="I255" s="348">
        <v>1894.53</v>
      </c>
      <c r="J255" s="348">
        <v>1773.99</v>
      </c>
      <c r="K255" s="348">
        <v>1768.98</v>
      </c>
      <c r="L255" s="348">
        <v>1901.7</v>
      </c>
      <c r="M255" s="348">
        <v>1775.15</v>
      </c>
      <c r="N255" s="348">
        <v>1782.91</v>
      </c>
      <c r="O255" s="348">
        <v>1791.35</v>
      </c>
      <c r="P255" s="348">
        <v>1774.74</v>
      </c>
      <c r="Q255" s="353"/>
      <c r="R255" s="353"/>
      <c r="S255" s="353"/>
      <c r="T255" s="353"/>
      <c r="U255" s="353"/>
      <c r="V255" s="354"/>
      <c r="W255" s="355"/>
      <c r="X255" s="352"/>
      <c r="Y255" s="342"/>
      <c r="Z255" s="344"/>
      <c r="AA255" s="344"/>
      <c r="AB255" s="344"/>
      <c r="AC255" s="344"/>
      <c r="AD255" s="345"/>
      <c r="AE255" s="345"/>
      <c r="AF255" s="49"/>
    </row>
    <row r="256" spans="1:32" customFormat="1" ht="48.75" thickBot="1">
      <c r="A256" s="346"/>
      <c r="B256" s="347"/>
      <c r="C256" s="347" t="s">
        <v>79</v>
      </c>
      <c r="D256" s="356">
        <f t="shared" ref="D256:P256" si="81">IF(((D254="")*AND(D255="")),"",(D254-D255)*2)</f>
        <v>1920.2800000000002</v>
      </c>
      <c r="E256" s="356">
        <f t="shared" si="81"/>
        <v>2018.2399999999998</v>
      </c>
      <c r="F256" s="356">
        <f t="shared" si="81"/>
        <v>2024.04</v>
      </c>
      <c r="G256" s="356">
        <f t="shared" si="81"/>
        <v>2028.0800000000004</v>
      </c>
      <c r="H256" s="356">
        <f t="shared" si="81"/>
        <v>1903.6600000000003</v>
      </c>
      <c r="I256" s="356">
        <f t="shared" si="81"/>
        <v>1917.52</v>
      </c>
      <c r="J256" s="356">
        <f t="shared" si="81"/>
        <v>2011.94</v>
      </c>
      <c r="K256" s="356">
        <f t="shared" si="81"/>
        <v>2020.7799999999997</v>
      </c>
      <c r="L256" s="356">
        <f t="shared" si="81"/>
        <v>1905.4599999999996</v>
      </c>
      <c r="M256" s="356">
        <f t="shared" si="81"/>
        <v>2013.6399999999994</v>
      </c>
      <c r="N256" s="356">
        <f t="shared" si="81"/>
        <v>2027.3399999999997</v>
      </c>
      <c r="O256" s="356">
        <f t="shared" si="81"/>
        <v>2018.5</v>
      </c>
      <c r="P256" s="356">
        <f t="shared" si="81"/>
        <v>2017.7000000000003</v>
      </c>
      <c r="Q256" s="357"/>
      <c r="R256" s="358"/>
      <c r="S256" s="358"/>
      <c r="T256" s="358"/>
      <c r="U256" s="358"/>
      <c r="V256" s="359"/>
      <c r="W256" s="360"/>
      <c r="X256" s="352"/>
      <c r="Y256" s="342"/>
      <c r="Z256" s="344"/>
      <c r="AA256" s="344"/>
      <c r="AB256" s="344"/>
      <c r="AC256" s="344"/>
      <c r="AD256" s="345"/>
      <c r="AE256" s="345"/>
      <c r="AF256" s="49"/>
    </row>
    <row r="257" spans="1:32" customFormat="1" ht="15.75">
      <c r="A257" s="340">
        <v>43528</v>
      </c>
      <c r="B257" s="341" t="s">
        <v>76</v>
      </c>
      <c r="C257" s="187" t="s">
        <v>77</v>
      </c>
      <c r="D257" s="348">
        <v>2873.8</v>
      </c>
      <c r="E257" s="348">
        <v>2785.44</v>
      </c>
      <c r="F257" s="348">
        <v>2782.6</v>
      </c>
      <c r="G257" s="348">
        <v>2802.3</v>
      </c>
      <c r="H257" s="348">
        <v>2910.33</v>
      </c>
      <c r="I257" s="348">
        <v>2866.89</v>
      </c>
      <c r="J257" s="348">
        <v>2790.3</v>
      </c>
      <c r="K257" s="348">
        <v>2789.91</v>
      </c>
      <c r="L257" s="348">
        <v>2865.65</v>
      </c>
      <c r="M257" s="348">
        <v>2793.54</v>
      </c>
      <c r="N257" s="348">
        <v>2806.78</v>
      </c>
      <c r="O257" s="348">
        <v>2809.04</v>
      </c>
      <c r="P257" s="348">
        <v>2794.67</v>
      </c>
      <c r="Q257" s="349">
        <f>IF((P258=""),"",MAX(D259:P259))</f>
        <v>2115.4000000000005</v>
      </c>
      <c r="R257" s="349">
        <f>IF(P258="","",MIN(D259:P259))</f>
        <v>1960.7999999999997</v>
      </c>
      <c r="S257" s="349">
        <f>IF((P259=""),"",AVERAGE(D259:P259))</f>
        <v>2068.9076923076918</v>
      </c>
      <c r="T257" s="349">
        <f>IF((P258=""),"",STDEV(D259:P259))</f>
        <v>54.562477056724511</v>
      </c>
      <c r="U257" s="349">
        <f>IF((P258=""),"",((Q257-R257)/(Q257+R257))*100)</f>
        <v>3.7927481477847214</v>
      </c>
      <c r="V257" s="350" t="str">
        <f>IF(P258="","",IF(U257&lt;5,IF(S257&gt;1900,IF(S257&lt;2250,"Pass","Fail"),"Fail"),"Fail"))</f>
        <v>Pass</v>
      </c>
      <c r="W257" s="351">
        <v>1159</v>
      </c>
      <c r="X257" s="352" t="s">
        <v>165</v>
      </c>
      <c r="Y257" s="342"/>
      <c r="Z257" s="376">
        <v>1600</v>
      </c>
      <c r="AA257" s="376">
        <v>2600</v>
      </c>
      <c r="AB257" s="377">
        <v>1900</v>
      </c>
      <c r="AC257" s="377">
        <v>2250</v>
      </c>
      <c r="AD257" s="378">
        <v>10</v>
      </c>
      <c r="AE257" s="378">
        <v>4.5</v>
      </c>
      <c r="AF257" s="49"/>
    </row>
    <row r="258" spans="1:32" customFormat="1" ht="15.75">
      <c r="A258" s="343"/>
      <c r="B258" s="188"/>
      <c r="C258" s="188" t="s">
        <v>78</v>
      </c>
      <c r="D258" s="348">
        <v>1857.93</v>
      </c>
      <c r="E258" s="348">
        <v>1733.41</v>
      </c>
      <c r="F258" s="348">
        <v>1731.94</v>
      </c>
      <c r="G258" s="348">
        <v>1746.54</v>
      </c>
      <c r="H258" s="348">
        <v>1929.93</v>
      </c>
      <c r="I258" s="348">
        <v>1865.96</v>
      </c>
      <c r="J258" s="348">
        <v>1749.17</v>
      </c>
      <c r="K258" s="348">
        <v>1734.96</v>
      </c>
      <c r="L258" s="348">
        <v>1873.99</v>
      </c>
      <c r="M258" s="348">
        <v>1746.42</v>
      </c>
      <c r="N258" s="348">
        <v>1749.08</v>
      </c>
      <c r="O258" s="348">
        <v>1763.89</v>
      </c>
      <c r="P258" s="348">
        <v>1740.13</v>
      </c>
      <c r="Q258" s="353"/>
      <c r="R258" s="353"/>
      <c r="S258" s="353"/>
      <c r="T258" s="353"/>
      <c r="U258" s="353"/>
      <c r="V258" s="354"/>
      <c r="W258" s="355"/>
      <c r="X258" s="352"/>
      <c r="Y258" s="342"/>
      <c r="Z258" s="344"/>
      <c r="AA258" s="344"/>
      <c r="AB258" s="344"/>
      <c r="AC258" s="344"/>
      <c r="AD258" s="345"/>
      <c r="AE258" s="345"/>
      <c r="AF258" s="49"/>
    </row>
    <row r="259" spans="1:32" customFormat="1" ht="48.75" thickBot="1">
      <c r="A259" s="346"/>
      <c r="B259" s="347"/>
      <c r="C259" s="347" t="s">
        <v>79</v>
      </c>
      <c r="D259" s="356">
        <f t="shared" ref="D259:P259" si="82">IF(((D257="")*AND(D258="")),"",(D257-D258)*2)</f>
        <v>2031.7400000000002</v>
      </c>
      <c r="E259" s="356">
        <f t="shared" si="82"/>
        <v>2104.06</v>
      </c>
      <c r="F259" s="356">
        <f t="shared" si="82"/>
        <v>2101.3199999999997</v>
      </c>
      <c r="G259" s="356">
        <f t="shared" si="82"/>
        <v>2111.5200000000004</v>
      </c>
      <c r="H259" s="356">
        <f t="shared" si="82"/>
        <v>1960.7999999999997</v>
      </c>
      <c r="I259" s="356">
        <f t="shared" si="82"/>
        <v>2001.8599999999997</v>
      </c>
      <c r="J259" s="356">
        <f t="shared" si="82"/>
        <v>2082.2600000000002</v>
      </c>
      <c r="K259" s="356">
        <f t="shared" si="82"/>
        <v>2109.8999999999996</v>
      </c>
      <c r="L259" s="356">
        <f t="shared" si="82"/>
        <v>1983.3200000000002</v>
      </c>
      <c r="M259" s="356">
        <f t="shared" si="82"/>
        <v>2094.2399999999998</v>
      </c>
      <c r="N259" s="356">
        <f t="shared" si="82"/>
        <v>2115.4000000000005</v>
      </c>
      <c r="O259" s="356">
        <f t="shared" si="82"/>
        <v>2090.2999999999997</v>
      </c>
      <c r="P259" s="356">
        <f t="shared" si="82"/>
        <v>2109.08</v>
      </c>
      <c r="Q259" s="357"/>
      <c r="R259" s="358"/>
      <c r="S259" s="358"/>
      <c r="T259" s="358"/>
      <c r="U259" s="358"/>
      <c r="V259" s="359"/>
      <c r="W259" s="360"/>
      <c r="X259" s="352"/>
      <c r="Y259" s="342"/>
      <c r="Z259" s="344"/>
      <c r="AA259" s="344"/>
      <c r="AB259" s="344"/>
      <c r="AC259" s="344"/>
      <c r="AD259" s="345"/>
      <c r="AE259" s="345"/>
      <c r="AF259" s="49"/>
    </row>
    <row r="260" spans="1:32" customFormat="1" ht="15" customHeight="1">
      <c r="A260" s="340">
        <v>43544</v>
      </c>
      <c r="B260" s="341" t="s">
        <v>76</v>
      </c>
      <c r="C260" s="187" t="s">
        <v>77</v>
      </c>
      <c r="D260" s="348">
        <v>2855</v>
      </c>
      <c r="E260" s="348">
        <v>2796</v>
      </c>
      <c r="F260" s="348">
        <v>2794</v>
      </c>
      <c r="G260" s="348">
        <v>2809</v>
      </c>
      <c r="H260" s="348">
        <v>2894</v>
      </c>
      <c r="I260" s="348">
        <v>2855</v>
      </c>
      <c r="J260" s="348">
        <v>2798</v>
      </c>
      <c r="K260" s="348">
        <v>2805</v>
      </c>
      <c r="L260" s="348">
        <v>2869</v>
      </c>
      <c r="M260" s="348">
        <v>2805</v>
      </c>
      <c r="N260" s="348">
        <v>2820</v>
      </c>
      <c r="O260" s="348">
        <v>2816</v>
      </c>
      <c r="P260" s="348">
        <v>2805</v>
      </c>
      <c r="Q260" s="349">
        <f>IF((P261=""),"",MAX(D262:P262))</f>
        <v>2061.42</v>
      </c>
      <c r="R260" s="349">
        <f>IF(P261="","",MIN(D262:P262))</f>
        <v>1986.42</v>
      </c>
      <c r="S260" s="349">
        <f>IF((P262=""),"",AVERAGE(D262:P262))</f>
        <v>2034.9861538461544</v>
      </c>
      <c r="T260" s="349">
        <f>IF((P261=""),"",STDEV(D262:P262))</f>
        <v>27.30132522374015</v>
      </c>
      <c r="U260" s="349">
        <f>IF((P261=""),"",((Q260-R260)/(Q260+R260))*100)</f>
        <v>1.8528400332028934</v>
      </c>
      <c r="V260" s="350" t="str">
        <f>IF(P261="","",IF(U260&lt;5,IF(S260&gt;1900,IF(S260&lt;2250,"Pass","Fail"),"Fail"),"Fail"))</f>
        <v>Pass</v>
      </c>
      <c r="W260" s="351">
        <v>74</v>
      </c>
      <c r="X260" s="84"/>
      <c r="Y260" s="362" t="s">
        <v>166</v>
      </c>
      <c r="Z260" s="376">
        <v>1600</v>
      </c>
      <c r="AA260" s="376">
        <v>2600</v>
      </c>
      <c r="AB260" s="377">
        <v>1900</v>
      </c>
      <c r="AC260" s="377">
        <v>2250</v>
      </c>
      <c r="AD260" s="378">
        <v>10</v>
      </c>
      <c r="AE260" s="378">
        <v>4.5</v>
      </c>
      <c r="AF260" s="49"/>
    </row>
    <row r="261" spans="1:32" customFormat="1" ht="15.75">
      <c r="A261" s="343"/>
      <c r="B261" s="188"/>
      <c r="C261" s="188" t="s">
        <v>78</v>
      </c>
      <c r="D261" s="348">
        <v>1845.19</v>
      </c>
      <c r="E261" s="348">
        <v>1777.1</v>
      </c>
      <c r="F261" s="348">
        <v>1767.96</v>
      </c>
      <c r="G261" s="348">
        <v>1779.62</v>
      </c>
      <c r="H261" s="348">
        <v>1900.79</v>
      </c>
      <c r="I261" s="348">
        <v>1856.25</v>
      </c>
      <c r="J261" s="348">
        <v>1781.78</v>
      </c>
      <c r="K261" s="348">
        <v>1774.29</v>
      </c>
      <c r="L261" s="348">
        <v>1872.4</v>
      </c>
      <c r="M261" s="348">
        <v>1778.4</v>
      </c>
      <c r="N261" s="348">
        <v>1789.62</v>
      </c>
      <c r="O261" s="348">
        <v>1794.64</v>
      </c>
      <c r="P261" s="348">
        <v>1775.55</v>
      </c>
      <c r="Q261" s="353"/>
      <c r="R261" s="353"/>
      <c r="S261" s="353"/>
      <c r="T261" s="353"/>
      <c r="U261" s="353"/>
      <c r="V261" s="354"/>
      <c r="W261" s="355"/>
      <c r="X261" s="352"/>
      <c r="Y261" s="342"/>
      <c r="Z261" s="344"/>
      <c r="AA261" s="344"/>
      <c r="AB261" s="344"/>
      <c r="AC261" s="344"/>
      <c r="AD261" s="345"/>
      <c r="AE261" s="345"/>
      <c r="AF261" s="49"/>
    </row>
    <row r="262" spans="1:32" customFormat="1" ht="48.75" thickBot="1">
      <c r="A262" s="346"/>
      <c r="B262" s="347"/>
      <c r="C262" s="347" t="s">
        <v>79</v>
      </c>
      <c r="D262" s="356">
        <f t="shared" ref="D262:P262" si="83">IF(((D260="")*AND(D261="")),"",(D260-D261)*2)</f>
        <v>2019.62</v>
      </c>
      <c r="E262" s="356">
        <f t="shared" si="83"/>
        <v>2037.8000000000002</v>
      </c>
      <c r="F262" s="356">
        <f t="shared" si="83"/>
        <v>2052.08</v>
      </c>
      <c r="G262" s="356">
        <f t="shared" si="83"/>
        <v>2058.7600000000002</v>
      </c>
      <c r="H262" s="356">
        <f t="shared" si="83"/>
        <v>1986.42</v>
      </c>
      <c r="I262" s="356">
        <f t="shared" si="83"/>
        <v>1997.5</v>
      </c>
      <c r="J262" s="356">
        <f t="shared" si="83"/>
        <v>2032.44</v>
      </c>
      <c r="K262" s="356">
        <f t="shared" si="83"/>
        <v>2061.42</v>
      </c>
      <c r="L262" s="356">
        <f t="shared" si="83"/>
        <v>1993.1999999999998</v>
      </c>
      <c r="M262" s="356">
        <f t="shared" si="83"/>
        <v>2053.1999999999998</v>
      </c>
      <c r="N262" s="356">
        <f t="shared" si="83"/>
        <v>2060.7600000000002</v>
      </c>
      <c r="O262" s="356">
        <f t="shared" si="83"/>
        <v>2042.7199999999998</v>
      </c>
      <c r="P262" s="356">
        <f t="shared" si="83"/>
        <v>2058.9</v>
      </c>
      <c r="Q262" s="357"/>
      <c r="R262" s="358"/>
      <c r="S262" s="358"/>
      <c r="T262" s="358"/>
      <c r="U262" s="358"/>
      <c r="V262" s="359"/>
      <c r="W262" s="360"/>
      <c r="X262" s="352"/>
      <c r="Y262" s="342"/>
      <c r="Z262" s="344"/>
      <c r="AA262" s="344"/>
      <c r="AB262" s="344"/>
      <c r="AC262" s="344"/>
      <c r="AD262" s="345"/>
      <c r="AE262" s="345"/>
      <c r="AF262" s="49"/>
    </row>
    <row r="263" spans="1:32" customFormat="1" ht="15" customHeight="1">
      <c r="A263" s="340">
        <v>43546</v>
      </c>
      <c r="B263" s="341" t="s">
        <v>76</v>
      </c>
      <c r="C263" s="187" t="s">
        <v>77</v>
      </c>
      <c r="D263" s="348">
        <v>2860.47</v>
      </c>
      <c r="E263" s="348">
        <v>2795.97</v>
      </c>
      <c r="F263" s="348">
        <v>2791.68</v>
      </c>
      <c r="G263" s="348">
        <v>2810.66</v>
      </c>
      <c r="H263" s="348">
        <v>2895.76</v>
      </c>
      <c r="I263" s="348">
        <v>2856.49</v>
      </c>
      <c r="J263" s="348">
        <v>2803.62</v>
      </c>
      <c r="K263" s="348">
        <v>2800.58</v>
      </c>
      <c r="L263" s="348">
        <v>2857.49</v>
      </c>
      <c r="M263" s="348">
        <v>2803.11</v>
      </c>
      <c r="N263" s="348">
        <v>2817.08</v>
      </c>
      <c r="O263" s="348">
        <v>2816.11</v>
      </c>
      <c r="P263" s="348">
        <v>2800.38</v>
      </c>
      <c r="Q263" s="349">
        <f>IF((P264=""),"",MAX(D265:P265))</f>
        <v>2192.8599999999997</v>
      </c>
      <c r="R263" s="349">
        <f>IF(P264="","",MIN(D265:P265))</f>
        <v>2108.4199999999996</v>
      </c>
      <c r="S263" s="349">
        <f>IF((P265=""),"",AVERAGE(D265:P265))</f>
        <v>2161.2876923076924</v>
      </c>
      <c r="T263" s="349">
        <f>IF((P264=""),"",STDEV(D265:P265))</f>
        <v>28.561919331430389</v>
      </c>
      <c r="U263" s="349">
        <f>IF((P264=""),"",((Q263-R263)/(Q263+R263))*100)</f>
        <v>1.9631365546999981</v>
      </c>
      <c r="V263" s="350" t="str">
        <f>IF(P264="","",IF(U263&lt;5,IF(S263&gt;1900,IF(S263&lt;2250,"Pass","Fail"),"Fail"),"Fail"))</f>
        <v>Pass</v>
      </c>
      <c r="W263" s="351">
        <v>1340</v>
      </c>
      <c r="X263" s="362"/>
      <c r="Y263" s="342"/>
      <c r="Z263" s="376">
        <v>1600</v>
      </c>
      <c r="AA263" s="376">
        <v>2600</v>
      </c>
      <c r="AB263" s="377">
        <v>1900</v>
      </c>
      <c r="AC263" s="377">
        <v>2250</v>
      </c>
      <c r="AD263" s="378">
        <v>10</v>
      </c>
      <c r="AE263" s="378">
        <v>4.5</v>
      </c>
      <c r="AF263" s="49"/>
    </row>
    <row r="264" spans="1:32" customFormat="1" ht="15.75">
      <c r="A264" s="343"/>
      <c r="B264" s="188"/>
      <c r="C264" s="188" t="s">
        <v>78</v>
      </c>
      <c r="D264" s="348">
        <v>1788.39</v>
      </c>
      <c r="E264" s="348">
        <v>1706.99</v>
      </c>
      <c r="F264" s="348">
        <v>1704.91</v>
      </c>
      <c r="G264" s="348">
        <v>1717.35</v>
      </c>
      <c r="H264" s="348">
        <v>1838.51</v>
      </c>
      <c r="I264" s="348">
        <v>1802.28</v>
      </c>
      <c r="J264" s="348">
        <v>1717.82</v>
      </c>
      <c r="K264" s="348">
        <v>1710.96</v>
      </c>
      <c r="L264" s="348">
        <v>1795.38</v>
      </c>
      <c r="M264" s="348">
        <v>1713.19</v>
      </c>
      <c r="N264" s="348">
        <v>1720.65</v>
      </c>
      <c r="O264" s="348">
        <v>1733.2</v>
      </c>
      <c r="P264" s="348">
        <v>1711.4</v>
      </c>
      <c r="Q264" s="353"/>
      <c r="R264" s="353"/>
      <c r="S264" s="353"/>
      <c r="T264" s="353"/>
      <c r="U264" s="353"/>
      <c r="V264" s="354"/>
      <c r="W264" s="355"/>
      <c r="X264" s="352"/>
      <c r="Y264" s="342"/>
      <c r="Z264" s="344"/>
      <c r="AA264" s="344"/>
      <c r="AB264" s="344"/>
      <c r="AC264" s="344"/>
      <c r="AD264" s="345"/>
      <c r="AE264" s="345"/>
      <c r="AF264" s="49"/>
    </row>
    <row r="265" spans="1:32" customFormat="1" ht="48.75" thickBot="1">
      <c r="A265" s="346"/>
      <c r="B265" s="347"/>
      <c r="C265" s="347" t="s">
        <v>79</v>
      </c>
      <c r="D265" s="356">
        <f t="shared" ref="D265:P265" si="84">IF(((D263="")*AND(D264="")),"",(D263-D264)*2)</f>
        <v>2144.1599999999994</v>
      </c>
      <c r="E265" s="356">
        <f t="shared" si="84"/>
        <v>2177.9599999999996</v>
      </c>
      <c r="F265" s="356">
        <f t="shared" si="84"/>
        <v>2173.5399999999995</v>
      </c>
      <c r="G265" s="356">
        <f t="shared" si="84"/>
        <v>2186.62</v>
      </c>
      <c r="H265" s="356">
        <f t="shared" si="84"/>
        <v>2114.5000000000005</v>
      </c>
      <c r="I265" s="356">
        <f t="shared" si="84"/>
        <v>2108.4199999999996</v>
      </c>
      <c r="J265" s="356">
        <f t="shared" si="84"/>
        <v>2171.6</v>
      </c>
      <c r="K265" s="356">
        <f t="shared" si="84"/>
        <v>2179.2399999999998</v>
      </c>
      <c r="L265" s="356">
        <f t="shared" si="84"/>
        <v>2124.2199999999993</v>
      </c>
      <c r="M265" s="356">
        <f t="shared" si="84"/>
        <v>2179.84</v>
      </c>
      <c r="N265" s="356">
        <f t="shared" si="84"/>
        <v>2192.8599999999997</v>
      </c>
      <c r="O265" s="356">
        <f t="shared" si="84"/>
        <v>2165.8200000000002</v>
      </c>
      <c r="P265" s="356">
        <f t="shared" si="84"/>
        <v>2177.96</v>
      </c>
      <c r="Q265" s="357"/>
      <c r="R265" s="358"/>
      <c r="S265" s="358"/>
      <c r="T265" s="358"/>
      <c r="U265" s="358"/>
      <c r="V265" s="359"/>
      <c r="W265" s="360"/>
      <c r="X265" s="352"/>
      <c r="Y265" s="342"/>
      <c r="Z265" s="344"/>
      <c r="AA265" s="344"/>
      <c r="AB265" s="344"/>
      <c r="AC265" s="344"/>
      <c r="AD265" s="345"/>
      <c r="AE265" s="345"/>
      <c r="AF265" s="49"/>
    </row>
    <row r="266" spans="1:32" customFormat="1" ht="15.75">
      <c r="A266" s="340">
        <v>43549</v>
      </c>
      <c r="B266" s="341" t="s">
        <v>76</v>
      </c>
      <c r="C266" s="187" t="s">
        <v>77</v>
      </c>
      <c r="D266" s="348">
        <v>2856.82</v>
      </c>
      <c r="E266" s="348">
        <v>2796.93</v>
      </c>
      <c r="F266" s="348">
        <v>2789.12</v>
      </c>
      <c r="G266" s="348">
        <v>2808.43</v>
      </c>
      <c r="H266" s="348">
        <v>2893.98</v>
      </c>
      <c r="I266" s="348">
        <v>2858.07</v>
      </c>
      <c r="J266" s="348">
        <v>2801.1</v>
      </c>
      <c r="K266" s="348">
        <v>2798.91</v>
      </c>
      <c r="L266" s="348">
        <v>2857.46</v>
      </c>
      <c r="M266" s="348">
        <v>2803.24</v>
      </c>
      <c r="N266" s="348">
        <v>2815.45</v>
      </c>
      <c r="O266" s="348">
        <v>2815.37</v>
      </c>
      <c r="P266" s="348">
        <v>2801.64</v>
      </c>
      <c r="Q266" s="349">
        <f>IF((P267=""),"",MAX(D268:P268))</f>
        <v>2250.1399999999994</v>
      </c>
      <c r="R266" s="349">
        <f>IF(P267="","",MIN(D268:P268))</f>
        <v>2175.1400000000003</v>
      </c>
      <c r="S266" s="349">
        <f>IF((P268=""),"",AVERAGE(D268:P268))</f>
        <v>2212.6215384615384</v>
      </c>
      <c r="T266" s="349">
        <f>IF((P267=""),"",STDEV(D268:P268))</f>
        <v>23.721709412182687</v>
      </c>
      <c r="U266" s="349">
        <f>IF((P267=""),"",((Q266-R266)/(Q266+R266))*100)</f>
        <v>1.6948080121483633</v>
      </c>
      <c r="V266" s="350" t="str">
        <f>IF(P267="","",IF(U266&lt;5,IF(S266&gt;1900,IF(S266&lt;2250,"Pass","Fail"),"Fail"),"Fail"))</f>
        <v>Pass</v>
      </c>
      <c r="W266" s="351">
        <v>1159</v>
      </c>
      <c r="X266" s="363" t="s">
        <v>167</v>
      </c>
      <c r="Y266" s="342"/>
      <c r="Z266" s="376">
        <v>1600</v>
      </c>
      <c r="AA266" s="376">
        <v>2600</v>
      </c>
      <c r="AB266" s="377">
        <v>1900</v>
      </c>
      <c r="AC266" s="377">
        <v>2250</v>
      </c>
      <c r="AD266" s="378">
        <v>10</v>
      </c>
      <c r="AE266" s="378">
        <v>4.5</v>
      </c>
      <c r="AF266" s="49"/>
    </row>
    <row r="267" spans="1:32" customFormat="1" ht="15.75">
      <c r="A267" s="343"/>
      <c r="B267" s="188"/>
      <c r="C267" s="188" t="s">
        <v>78</v>
      </c>
      <c r="D267" s="348">
        <v>1765.14</v>
      </c>
      <c r="E267" s="348">
        <v>1685.33</v>
      </c>
      <c r="F267" s="348">
        <v>1678.78</v>
      </c>
      <c r="G267" s="348">
        <v>1692.65</v>
      </c>
      <c r="H267" s="348">
        <v>1803.58</v>
      </c>
      <c r="I267" s="348">
        <v>1770.5</v>
      </c>
      <c r="J267" s="348">
        <v>1693.26</v>
      </c>
      <c r="K267" s="348">
        <v>1684.09</v>
      </c>
      <c r="L267" s="348">
        <v>1765.38</v>
      </c>
      <c r="M267" s="348">
        <v>1689.73</v>
      </c>
      <c r="N267" s="348">
        <v>1690.38</v>
      </c>
      <c r="O267" s="348">
        <v>1707.59</v>
      </c>
      <c r="P267" s="348">
        <v>1688.07</v>
      </c>
      <c r="Q267" s="353"/>
      <c r="R267" s="353"/>
      <c r="S267" s="353"/>
      <c r="T267" s="353"/>
      <c r="U267" s="353"/>
      <c r="V267" s="354"/>
      <c r="W267" s="355"/>
      <c r="X267" s="352"/>
      <c r="Y267" s="342"/>
      <c r="Z267" s="344"/>
      <c r="AA267" s="344"/>
      <c r="AB267" s="344"/>
      <c r="AC267" s="344"/>
      <c r="AD267" s="345"/>
      <c r="AE267" s="345"/>
      <c r="AF267" s="49"/>
    </row>
    <row r="268" spans="1:32" customFormat="1" ht="48.75" thickBot="1">
      <c r="A268" s="346"/>
      <c r="B268" s="347"/>
      <c r="C268" s="347" t="s">
        <v>79</v>
      </c>
      <c r="D268" s="356">
        <f t="shared" ref="D268:P268" si="85">IF(((D266="")*AND(D267="")),"",(D266-D267)*2)</f>
        <v>2183.36</v>
      </c>
      <c r="E268" s="356">
        <f t="shared" si="85"/>
        <v>2223.1999999999998</v>
      </c>
      <c r="F268" s="356">
        <f t="shared" si="85"/>
        <v>2220.6799999999998</v>
      </c>
      <c r="G268" s="356">
        <f t="shared" si="85"/>
        <v>2231.5599999999995</v>
      </c>
      <c r="H268" s="356">
        <f t="shared" si="85"/>
        <v>2180.8000000000002</v>
      </c>
      <c r="I268" s="356">
        <f t="shared" si="85"/>
        <v>2175.1400000000003</v>
      </c>
      <c r="J268" s="356">
        <f t="shared" si="85"/>
        <v>2215.6799999999998</v>
      </c>
      <c r="K268" s="356">
        <f t="shared" si="85"/>
        <v>2229.64</v>
      </c>
      <c r="L268" s="356">
        <f t="shared" si="85"/>
        <v>2184.16</v>
      </c>
      <c r="M268" s="356">
        <f t="shared" si="85"/>
        <v>2227.0199999999995</v>
      </c>
      <c r="N268" s="356">
        <f t="shared" si="85"/>
        <v>2250.1399999999994</v>
      </c>
      <c r="O268" s="356">
        <f t="shared" si="85"/>
        <v>2215.56</v>
      </c>
      <c r="P268" s="356">
        <f t="shared" si="85"/>
        <v>2227.14</v>
      </c>
      <c r="Q268" s="357"/>
      <c r="R268" s="358"/>
      <c r="S268" s="358"/>
      <c r="T268" s="358"/>
      <c r="U268" s="358"/>
      <c r="V268" s="359"/>
      <c r="W268" s="360"/>
      <c r="X268" s="352"/>
      <c r="Y268" s="342"/>
      <c r="Z268" s="344"/>
      <c r="AA268" s="344"/>
      <c r="AB268" s="344"/>
      <c r="AC268" s="344"/>
      <c r="AD268" s="345"/>
      <c r="AE268" s="345"/>
      <c r="AF268" s="49"/>
    </row>
    <row r="269" spans="1:32" customFormat="1" ht="15.75">
      <c r="A269" s="340">
        <v>43552</v>
      </c>
      <c r="B269" s="341" t="s">
        <v>76</v>
      </c>
      <c r="C269" s="187" t="s">
        <v>77</v>
      </c>
      <c r="D269" s="348">
        <v>2844.63</v>
      </c>
      <c r="E269" s="348">
        <v>2787.98</v>
      </c>
      <c r="F269" s="348">
        <v>2790.18</v>
      </c>
      <c r="G269" s="348">
        <v>2803.34</v>
      </c>
      <c r="H269" s="348">
        <v>2881.46</v>
      </c>
      <c r="I269" s="348">
        <v>2871.11</v>
      </c>
      <c r="J269" s="348">
        <v>2800.88</v>
      </c>
      <c r="K269" s="348">
        <v>2798.34</v>
      </c>
      <c r="L269" s="348">
        <v>2845.42</v>
      </c>
      <c r="M269" s="348">
        <v>2801.84</v>
      </c>
      <c r="N269" s="348">
        <v>2805.53</v>
      </c>
      <c r="O269" s="348">
        <v>2813.89</v>
      </c>
      <c r="P269" s="348">
        <v>2797.72</v>
      </c>
      <c r="Q269" s="349">
        <f>IF((P270=""),"",MAX(D271:P271))</f>
        <v>2257.0600000000004</v>
      </c>
      <c r="R269" s="349">
        <f>IF(P270="","",MIN(D271:P271))</f>
        <v>2174.84</v>
      </c>
      <c r="S269" s="349">
        <f>IF((P271=""),"",AVERAGE(D271:P271))</f>
        <v>2226.295384615385</v>
      </c>
      <c r="T269" s="349">
        <f>IF((P270=""),"",STDEV(D271:P271))</f>
        <v>30.249045333515706</v>
      </c>
      <c r="U269" s="349">
        <f>IF((P270=""),"",((Q269-R269)/(Q269+R269))*100)</f>
        <v>1.8551862632279665</v>
      </c>
      <c r="V269" s="350" t="str">
        <f>IF(P270="","",IF(U269&lt;5,IF(S269&gt;1900,IF(S269&lt;2250,"Pass","Fail"),"Fail"),"Fail"))</f>
        <v>Pass</v>
      </c>
      <c r="W269" s="351">
        <v>1159</v>
      </c>
      <c r="X269" s="364" t="s">
        <v>168</v>
      </c>
      <c r="Y269" s="342"/>
      <c r="Z269" s="376">
        <v>1600</v>
      </c>
      <c r="AA269" s="376">
        <v>2600</v>
      </c>
      <c r="AB269" s="377">
        <v>1900</v>
      </c>
      <c r="AC269" s="377">
        <v>2250</v>
      </c>
      <c r="AD269" s="378">
        <v>10</v>
      </c>
      <c r="AE269" s="378">
        <v>3.6</v>
      </c>
      <c r="AF269" s="49"/>
    </row>
    <row r="270" spans="1:32" customFormat="1" ht="15.75">
      <c r="A270" s="343"/>
      <c r="B270" s="188"/>
      <c r="C270" s="188" t="s">
        <v>78</v>
      </c>
      <c r="D270" s="348">
        <v>1740.8</v>
      </c>
      <c r="E270" s="348">
        <v>1668.79</v>
      </c>
      <c r="F270" s="348">
        <v>1668.25</v>
      </c>
      <c r="G270" s="348">
        <v>1676.32</v>
      </c>
      <c r="H270" s="348">
        <v>1791.95</v>
      </c>
      <c r="I270" s="348">
        <v>1783.69</v>
      </c>
      <c r="J270" s="348">
        <v>1688.11</v>
      </c>
      <c r="K270" s="348">
        <v>1671.01</v>
      </c>
      <c r="L270" s="348">
        <v>1753.89</v>
      </c>
      <c r="M270" s="348">
        <v>1677.83</v>
      </c>
      <c r="N270" s="348">
        <v>1677</v>
      </c>
      <c r="O270" s="348">
        <v>1699.52</v>
      </c>
      <c r="P270" s="348">
        <v>1674.24</v>
      </c>
      <c r="Q270" s="353"/>
      <c r="R270" s="353"/>
      <c r="S270" s="353"/>
      <c r="T270" s="353"/>
      <c r="U270" s="353"/>
      <c r="V270" s="354"/>
      <c r="W270" s="355"/>
      <c r="X270" s="352"/>
      <c r="Y270" s="342"/>
      <c r="Z270" s="344"/>
      <c r="AA270" s="344"/>
      <c r="AB270" s="344"/>
      <c r="AC270" s="344"/>
      <c r="AD270" s="345"/>
      <c r="AE270" s="345"/>
      <c r="AF270" s="49"/>
    </row>
    <row r="271" spans="1:32" customFormat="1" ht="48.75" thickBot="1">
      <c r="A271" s="346"/>
      <c r="B271" s="347"/>
      <c r="C271" s="347" t="s">
        <v>79</v>
      </c>
      <c r="D271" s="356">
        <f t="shared" ref="D271:P271" si="86">IF(((D269="")*AND(D270="")),"",(D269-D270)*2)</f>
        <v>2207.6600000000003</v>
      </c>
      <c r="E271" s="356">
        <f t="shared" si="86"/>
        <v>2238.38</v>
      </c>
      <c r="F271" s="356">
        <f t="shared" si="86"/>
        <v>2243.8599999999997</v>
      </c>
      <c r="G271" s="356">
        <f t="shared" si="86"/>
        <v>2254.0400000000004</v>
      </c>
      <c r="H271" s="356">
        <f t="shared" si="86"/>
        <v>2179.02</v>
      </c>
      <c r="I271" s="356">
        <f t="shared" si="86"/>
        <v>2174.84</v>
      </c>
      <c r="J271" s="356">
        <f t="shared" si="86"/>
        <v>2225.5400000000004</v>
      </c>
      <c r="K271" s="356">
        <f t="shared" si="86"/>
        <v>2254.6600000000003</v>
      </c>
      <c r="L271" s="356">
        <f t="shared" si="86"/>
        <v>2183.06</v>
      </c>
      <c r="M271" s="356">
        <f t="shared" si="86"/>
        <v>2248.0200000000004</v>
      </c>
      <c r="N271" s="356">
        <f t="shared" si="86"/>
        <v>2257.0600000000004</v>
      </c>
      <c r="O271" s="356">
        <f t="shared" si="86"/>
        <v>2228.7399999999998</v>
      </c>
      <c r="P271" s="356">
        <f t="shared" si="86"/>
        <v>2246.9599999999996</v>
      </c>
      <c r="Q271" s="357"/>
      <c r="R271" s="358"/>
      <c r="S271" s="358"/>
      <c r="T271" s="358"/>
      <c r="U271" s="358"/>
      <c r="V271" s="359"/>
      <c r="W271" s="360"/>
      <c r="X271" s="352"/>
      <c r="Y271" s="342"/>
      <c r="Z271" s="344"/>
      <c r="AA271" s="344"/>
      <c r="AB271" s="344"/>
      <c r="AC271" s="344"/>
      <c r="AD271" s="345"/>
      <c r="AE271" s="345"/>
      <c r="AF271" s="49"/>
    </row>
    <row r="272" spans="1:32" customFormat="1" ht="15.75">
      <c r="A272" s="340">
        <v>43558</v>
      </c>
      <c r="B272" s="341" t="s">
        <v>76</v>
      </c>
      <c r="C272" s="187" t="s">
        <v>77</v>
      </c>
      <c r="D272" s="365">
        <v>2850.61</v>
      </c>
      <c r="E272" s="365">
        <v>2792.24</v>
      </c>
      <c r="F272" s="365">
        <v>2793.16</v>
      </c>
      <c r="G272" s="365">
        <v>2805.96</v>
      </c>
      <c r="H272" s="365">
        <v>2885.22</v>
      </c>
      <c r="I272" s="365">
        <v>2864.62</v>
      </c>
      <c r="J272" s="365">
        <v>2798.78</v>
      </c>
      <c r="K272" s="365">
        <v>2793.59</v>
      </c>
      <c r="L272" s="365">
        <v>2852.36</v>
      </c>
      <c r="M272" s="365">
        <v>2798.64</v>
      </c>
      <c r="N272" s="365">
        <v>2806.36</v>
      </c>
      <c r="O272" s="365">
        <v>2813.88</v>
      </c>
      <c r="P272" s="365">
        <v>2801.02</v>
      </c>
      <c r="Q272" s="349">
        <f>IF((P273=""),"",MAX(D274:P274))</f>
        <v>2251.2400000000002</v>
      </c>
      <c r="R272" s="349">
        <f>IF(P273="","",MIN(D274:P274))</f>
        <v>2155.7999999999997</v>
      </c>
      <c r="S272" s="349">
        <f>IF((P274=""),"",AVERAGE(D274:P274))</f>
        <v>2220.0353846153848</v>
      </c>
      <c r="T272" s="349">
        <f>IF((P273=""),"",STDEV(D274:P274))</f>
        <v>32.045895372993449</v>
      </c>
      <c r="U272" s="349">
        <f>IF((P273=""),"",((Q272-R272)/(Q272+R272))*100)</f>
        <v>2.1656259076386988</v>
      </c>
      <c r="V272" s="350" t="str">
        <f>IF(P273="","",IF(U272&lt;5,IF(S272&gt;1900,IF(S272&lt;2250,"Pass","Fail"),"Fail"),"Fail"))</f>
        <v>Pass</v>
      </c>
      <c r="W272" s="351">
        <v>1340</v>
      </c>
      <c r="X272" s="352" t="s">
        <v>169</v>
      </c>
      <c r="Y272" s="342"/>
      <c r="Z272" s="376">
        <v>1600</v>
      </c>
      <c r="AA272" s="376">
        <v>2600</v>
      </c>
      <c r="AB272" s="377">
        <v>1900</v>
      </c>
      <c r="AC272" s="377">
        <v>2250</v>
      </c>
      <c r="AD272" s="378">
        <v>10</v>
      </c>
      <c r="AE272" s="378">
        <v>3.6</v>
      </c>
      <c r="AF272" s="49"/>
    </row>
    <row r="273" spans="1:32" customFormat="1" ht="15.75">
      <c r="A273" s="343"/>
      <c r="B273" s="188"/>
      <c r="C273" s="188" t="s">
        <v>78</v>
      </c>
      <c r="D273" s="365">
        <v>1744.09</v>
      </c>
      <c r="E273" s="365">
        <v>1676.84</v>
      </c>
      <c r="F273" s="365">
        <v>1671.27</v>
      </c>
      <c r="G273" s="365">
        <v>1682.1</v>
      </c>
      <c r="H273" s="365">
        <v>1807.32</v>
      </c>
      <c r="I273" s="365">
        <v>1782.24</v>
      </c>
      <c r="J273" s="365">
        <v>1687.96</v>
      </c>
      <c r="K273" s="365">
        <v>1673.11</v>
      </c>
      <c r="L273" s="365">
        <v>1760.62</v>
      </c>
      <c r="M273" s="365">
        <v>1678.51</v>
      </c>
      <c r="N273" s="365">
        <v>1680.74</v>
      </c>
      <c r="O273" s="365">
        <v>1701.09</v>
      </c>
      <c r="P273" s="365">
        <v>1680.32</v>
      </c>
      <c r="Q273" s="353"/>
      <c r="R273" s="353"/>
      <c r="S273" s="353"/>
      <c r="T273" s="353"/>
      <c r="U273" s="353"/>
      <c r="V273" s="354"/>
      <c r="W273" s="355"/>
      <c r="X273" s="352"/>
      <c r="Y273" s="342"/>
      <c r="Z273" s="344"/>
      <c r="AA273" s="344"/>
      <c r="AB273" s="344"/>
      <c r="AC273" s="344"/>
      <c r="AD273" s="345"/>
      <c r="AE273" s="345"/>
      <c r="AF273" s="49"/>
    </row>
    <row r="274" spans="1:32" customFormat="1" ht="48.75" thickBot="1">
      <c r="A274" s="346"/>
      <c r="B274" s="347"/>
      <c r="C274" s="347" t="s">
        <v>79</v>
      </c>
      <c r="D274" s="356">
        <f t="shared" ref="D274:P274" si="87">IF(((D272="")*AND(D273="")),"",(D272-D273)*2)</f>
        <v>2213.0400000000004</v>
      </c>
      <c r="E274" s="356">
        <f t="shared" si="87"/>
        <v>2230.7999999999997</v>
      </c>
      <c r="F274" s="356">
        <f t="shared" si="87"/>
        <v>2243.7799999999997</v>
      </c>
      <c r="G274" s="356">
        <f t="shared" si="87"/>
        <v>2247.7200000000003</v>
      </c>
      <c r="H274" s="356">
        <f t="shared" si="87"/>
        <v>2155.7999999999997</v>
      </c>
      <c r="I274" s="356">
        <f t="shared" si="87"/>
        <v>2164.7599999999998</v>
      </c>
      <c r="J274" s="356">
        <f t="shared" si="87"/>
        <v>2221.6400000000003</v>
      </c>
      <c r="K274" s="356">
        <f t="shared" si="87"/>
        <v>2240.9600000000005</v>
      </c>
      <c r="L274" s="356">
        <f t="shared" si="87"/>
        <v>2183.4800000000005</v>
      </c>
      <c r="M274" s="356">
        <f t="shared" si="87"/>
        <v>2240.2599999999998</v>
      </c>
      <c r="N274" s="356">
        <f t="shared" si="87"/>
        <v>2251.2400000000002</v>
      </c>
      <c r="O274" s="356">
        <f t="shared" si="87"/>
        <v>2225.5800000000004</v>
      </c>
      <c r="P274" s="356">
        <f t="shared" si="87"/>
        <v>2241.4</v>
      </c>
      <c r="Q274" s="357"/>
      <c r="R274" s="358"/>
      <c r="S274" s="358"/>
      <c r="T274" s="358"/>
      <c r="U274" s="358"/>
      <c r="V274" s="359"/>
      <c r="W274" s="360"/>
      <c r="X274" s="352"/>
      <c r="Y274" s="342"/>
      <c r="Z274" s="344"/>
      <c r="AA274" s="344"/>
      <c r="AB274" s="344"/>
      <c r="AC274" s="344"/>
      <c r="AD274" s="345"/>
      <c r="AE274" s="345"/>
      <c r="AF274" s="49"/>
    </row>
    <row r="275" spans="1:32" customFormat="1" ht="15.75">
      <c r="A275" s="340">
        <v>43564</v>
      </c>
      <c r="B275" s="341" t="s">
        <v>76</v>
      </c>
      <c r="C275" s="187" t="s">
        <v>77</v>
      </c>
      <c r="D275" s="366">
        <v>2884</v>
      </c>
      <c r="E275" s="367">
        <v>2831</v>
      </c>
      <c r="F275" s="367">
        <v>2807</v>
      </c>
      <c r="G275" s="367">
        <v>2799</v>
      </c>
      <c r="H275" s="367">
        <v>2815</v>
      </c>
      <c r="I275" s="367">
        <v>2848</v>
      </c>
      <c r="J275" s="367">
        <v>2916</v>
      </c>
      <c r="K275" s="367">
        <v>2904</v>
      </c>
      <c r="L275" s="367">
        <v>2844</v>
      </c>
      <c r="M275" s="367">
        <v>2813</v>
      </c>
      <c r="N275" s="367">
        <v>2804</v>
      </c>
      <c r="O275" s="367">
        <v>2828</v>
      </c>
      <c r="P275" s="367">
        <v>2881</v>
      </c>
      <c r="Q275" s="349">
        <f>IF((P276=""),"",MAX(D277:P277))</f>
        <v>2240</v>
      </c>
      <c r="R275" s="349">
        <f>IF(P276="","",MIN(D277:P277))</f>
        <v>2102</v>
      </c>
      <c r="S275" s="349">
        <f>IF((P277=""),"",AVERAGE(D277:P277))</f>
        <v>2198.1538461538462</v>
      </c>
      <c r="T275" s="349">
        <f>IF((P276=""),"",STDEV(D277:P277))</f>
        <v>53.413241419845001</v>
      </c>
      <c r="U275" s="349">
        <f>IF((P276=""),"",((Q275-R275)/(Q275+R275))*100)</f>
        <v>3.1782588668816212</v>
      </c>
      <c r="V275" s="350" t="str">
        <f>IF(P276="","",IF(U275&lt;5,IF(S275&gt;1900,IF(S275&lt;2250,"Pass","Fail"),"Fail"),"Fail"))</f>
        <v>Pass</v>
      </c>
      <c r="W275" s="351">
        <v>1159</v>
      </c>
      <c r="X275" s="352" t="s">
        <v>170</v>
      </c>
      <c r="Y275" s="342"/>
      <c r="Z275" s="376">
        <v>1600</v>
      </c>
      <c r="AA275" s="376">
        <v>2600</v>
      </c>
      <c r="AB275" s="377">
        <v>1900</v>
      </c>
      <c r="AC275" s="377">
        <v>2250</v>
      </c>
      <c r="AD275" s="378">
        <v>10</v>
      </c>
      <c r="AE275" s="378">
        <v>3.6</v>
      </c>
      <c r="AF275" s="49"/>
    </row>
    <row r="276" spans="1:32" customFormat="1" ht="15.75">
      <c r="A276" s="343"/>
      <c r="B276" s="188"/>
      <c r="C276" s="188" t="s">
        <v>78</v>
      </c>
      <c r="D276" s="365">
        <v>1821</v>
      </c>
      <c r="E276" s="365">
        <v>1719</v>
      </c>
      <c r="F276" s="365">
        <v>1689</v>
      </c>
      <c r="G276" s="365">
        <v>1685</v>
      </c>
      <c r="H276" s="365">
        <v>1696</v>
      </c>
      <c r="I276" s="365">
        <v>1732</v>
      </c>
      <c r="J276" s="365">
        <v>1856</v>
      </c>
      <c r="K276" s="365">
        <v>1833</v>
      </c>
      <c r="L276" s="365">
        <v>1724</v>
      </c>
      <c r="M276" s="365">
        <v>1696</v>
      </c>
      <c r="N276" s="365">
        <v>1687</v>
      </c>
      <c r="O276" s="365">
        <v>1718</v>
      </c>
      <c r="P276" s="365">
        <v>1830</v>
      </c>
      <c r="Q276" s="353"/>
      <c r="R276" s="353"/>
      <c r="S276" s="353"/>
      <c r="T276" s="353"/>
      <c r="U276" s="353"/>
      <c r="V276" s="354"/>
      <c r="W276" s="355"/>
      <c r="X276" s="352"/>
      <c r="Y276" s="342"/>
      <c r="Z276" s="344"/>
      <c r="AA276" s="344"/>
      <c r="AB276" s="344"/>
      <c r="AC276" s="344"/>
      <c r="AD276" s="345"/>
      <c r="AE276" s="345"/>
      <c r="AF276" s="49"/>
    </row>
    <row r="277" spans="1:32" customFormat="1" ht="48.75" thickBot="1">
      <c r="A277" s="346"/>
      <c r="B277" s="347"/>
      <c r="C277" s="347" t="s">
        <v>79</v>
      </c>
      <c r="D277" s="356">
        <f t="shared" ref="D277:P277" si="88">IF(((D275="")*AND(D276="")),"",(D275-D276)*2)</f>
        <v>2126</v>
      </c>
      <c r="E277" s="356">
        <f t="shared" si="88"/>
        <v>2224</v>
      </c>
      <c r="F277" s="356">
        <f t="shared" si="88"/>
        <v>2236</v>
      </c>
      <c r="G277" s="356">
        <f t="shared" si="88"/>
        <v>2228</v>
      </c>
      <c r="H277" s="356">
        <f t="shared" si="88"/>
        <v>2238</v>
      </c>
      <c r="I277" s="356">
        <f t="shared" si="88"/>
        <v>2232</v>
      </c>
      <c r="J277" s="356">
        <f t="shared" si="88"/>
        <v>2120</v>
      </c>
      <c r="K277" s="356">
        <f t="shared" si="88"/>
        <v>2142</v>
      </c>
      <c r="L277" s="356">
        <f t="shared" si="88"/>
        <v>2240</v>
      </c>
      <c r="M277" s="356">
        <f t="shared" si="88"/>
        <v>2234</v>
      </c>
      <c r="N277" s="356">
        <f t="shared" si="88"/>
        <v>2234</v>
      </c>
      <c r="O277" s="356">
        <f t="shared" si="88"/>
        <v>2220</v>
      </c>
      <c r="P277" s="356">
        <f t="shared" si="88"/>
        <v>2102</v>
      </c>
      <c r="Q277" s="357"/>
      <c r="R277" s="358"/>
      <c r="S277" s="358"/>
      <c r="T277" s="358"/>
      <c r="U277" s="358"/>
      <c r="V277" s="359"/>
      <c r="W277" s="360"/>
      <c r="X277" s="352"/>
      <c r="Y277" s="342"/>
      <c r="Z277" s="344"/>
      <c r="AA277" s="344"/>
      <c r="AB277" s="344"/>
      <c r="AC277" s="344"/>
      <c r="AD277" s="345"/>
      <c r="AE277" s="345"/>
      <c r="AF277" s="49"/>
    </row>
    <row r="278" spans="1:32" customFormat="1" ht="15.75">
      <c r="A278" s="340">
        <v>43569</v>
      </c>
      <c r="B278" s="341" t="s">
        <v>76</v>
      </c>
      <c r="C278" s="187" t="s">
        <v>77</v>
      </c>
      <c r="D278" s="348">
        <v>2852.41</v>
      </c>
      <c r="E278" s="348">
        <v>2798.98</v>
      </c>
      <c r="F278" s="348">
        <v>2795.75</v>
      </c>
      <c r="G278" s="348">
        <v>2807.04</v>
      </c>
      <c r="H278" s="348">
        <v>2877.07</v>
      </c>
      <c r="I278" s="348">
        <v>2881.2</v>
      </c>
      <c r="J278" s="348">
        <v>2806.87</v>
      </c>
      <c r="K278" s="348">
        <v>2799.69</v>
      </c>
      <c r="L278" s="348">
        <v>2856.48</v>
      </c>
      <c r="M278" s="348">
        <v>2807.28</v>
      </c>
      <c r="N278" s="348">
        <v>2805.09</v>
      </c>
      <c r="O278" s="348">
        <v>2817.24</v>
      </c>
      <c r="P278" s="348">
        <v>2806.64</v>
      </c>
      <c r="Q278" s="349">
        <f>IF((P279=""),"",MAX(D280:P280))</f>
        <v>2244.94</v>
      </c>
      <c r="R278" s="349">
        <f>IF(P279="","",MIN(D280:P280))</f>
        <v>2158.6400000000003</v>
      </c>
      <c r="S278" s="349">
        <f>IF((P280=""),"",AVERAGE(D280:P280))</f>
        <v>2212.7584615384612</v>
      </c>
      <c r="T278" s="349">
        <f>IF((P279=""),"",STDEV(D280:P280))</f>
        <v>30.24349126843369</v>
      </c>
      <c r="U278" s="349">
        <f>IF((P279=""),"",((Q278-R278)/(Q278+R278))*100)</f>
        <v>1.9597690969620112</v>
      </c>
      <c r="V278" s="350" t="str">
        <f>IF(P279="","",IF(U278&lt;5,IF(S278&gt;1900,IF(S278&lt;2250,"Pass","Fail"),"Fail"),"Fail"))</f>
        <v>Pass</v>
      </c>
      <c r="W278" s="351">
        <v>1534</v>
      </c>
      <c r="X278" s="352"/>
      <c r="Y278" s="342"/>
      <c r="Z278" s="376">
        <v>1600</v>
      </c>
      <c r="AA278" s="376">
        <v>2600</v>
      </c>
      <c r="AB278" s="377">
        <v>1900</v>
      </c>
      <c r="AC278" s="377">
        <v>2250</v>
      </c>
      <c r="AD278" s="378">
        <v>10</v>
      </c>
      <c r="AE278" s="378">
        <v>3.6</v>
      </c>
      <c r="AF278" s="49"/>
    </row>
    <row r="279" spans="1:32" customFormat="1" ht="15.75">
      <c r="A279" s="343"/>
      <c r="B279" s="188"/>
      <c r="C279" s="188" t="s">
        <v>78</v>
      </c>
      <c r="D279" s="348">
        <v>1754.13</v>
      </c>
      <c r="E279" s="348">
        <v>1682.31</v>
      </c>
      <c r="F279" s="348">
        <v>1682.24</v>
      </c>
      <c r="G279" s="348">
        <v>1691.49</v>
      </c>
      <c r="H279" s="348">
        <v>1797.75</v>
      </c>
      <c r="I279" s="348">
        <v>1798.72</v>
      </c>
      <c r="J279" s="348">
        <v>1702.55</v>
      </c>
      <c r="K279" s="348">
        <v>1677.22</v>
      </c>
      <c r="L279" s="348">
        <v>1770.39</v>
      </c>
      <c r="M279" s="348">
        <v>1693.04</v>
      </c>
      <c r="N279" s="348">
        <v>1683.28</v>
      </c>
      <c r="O279" s="348">
        <v>1707.64</v>
      </c>
      <c r="P279" s="348">
        <v>1688.05</v>
      </c>
      <c r="Q279" s="353"/>
      <c r="R279" s="353"/>
      <c r="S279" s="353"/>
      <c r="T279" s="353"/>
      <c r="U279" s="353"/>
      <c r="V279" s="354"/>
      <c r="W279" s="355"/>
      <c r="X279" s="352"/>
      <c r="Y279" s="342"/>
      <c r="Z279" s="344"/>
      <c r="AA279" s="344"/>
      <c r="AB279" s="344"/>
      <c r="AC279" s="344"/>
      <c r="AD279" s="345"/>
      <c r="AE279" s="345"/>
      <c r="AF279" s="49"/>
    </row>
    <row r="280" spans="1:32" customFormat="1" ht="48.75" thickBot="1">
      <c r="A280" s="346"/>
      <c r="B280" s="347"/>
      <c r="C280" s="347" t="s">
        <v>79</v>
      </c>
      <c r="D280" s="356">
        <f t="shared" ref="D280:P280" si="89">IF(((D278="")*AND(D279="")),"",(D278-D279)*2)</f>
        <v>2196.5599999999995</v>
      </c>
      <c r="E280" s="356">
        <f t="shared" si="89"/>
        <v>2233.34</v>
      </c>
      <c r="F280" s="356">
        <f t="shared" si="89"/>
        <v>2227.02</v>
      </c>
      <c r="G280" s="356">
        <f t="shared" si="89"/>
        <v>2231.1</v>
      </c>
      <c r="H280" s="356">
        <f t="shared" si="89"/>
        <v>2158.6400000000003</v>
      </c>
      <c r="I280" s="356">
        <f t="shared" si="89"/>
        <v>2164.9599999999996</v>
      </c>
      <c r="J280" s="356">
        <f t="shared" si="89"/>
        <v>2208.64</v>
      </c>
      <c r="K280" s="356">
        <f t="shared" si="89"/>
        <v>2244.94</v>
      </c>
      <c r="L280" s="356">
        <f t="shared" si="89"/>
        <v>2172.1799999999998</v>
      </c>
      <c r="M280" s="356">
        <f t="shared" si="89"/>
        <v>2228.4800000000005</v>
      </c>
      <c r="N280" s="356">
        <f t="shared" si="89"/>
        <v>2243.6200000000003</v>
      </c>
      <c r="O280" s="356">
        <f t="shared" si="89"/>
        <v>2219.1999999999994</v>
      </c>
      <c r="P280" s="356">
        <f t="shared" si="89"/>
        <v>2237.1799999999998</v>
      </c>
      <c r="Q280" s="357"/>
      <c r="R280" s="358"/>
      <c r="S280" s="358"/>
      <c r="T280" s="358"/>
      <c r="U280" s="358"/>
      <c r="V280" s="359"/>
      <c r="W280" s="360"/>
      <c r="X280" s="352"/>
      <c r="Y280" s="342"/>
      <c r="Z280" s="344"/>
      <c r="AA280" s="344"/>
      <c r="AB280" s="344"/>
      <c r="AC280" s="344"/>
      <c r="AD280" s="345"/>
      <c r="AE280" s="345"/>
      <c r="AF280" s="49"/>
    </row>
    <row r="281" spans="1:32" customFormat="1" ht="15.75">
      <c r="A281" s="340">
        <v>43577</v>
      </c>
      <c r="B281" s="341" t="s">
        <v>76</v>
      </c>
      <c r="C281" s="187" t="s">
        <v>77</v>
      </c>
      <c r="D281" s="348">
        <v>2981</v>
      </c>
      <c r="E281" s="348">
        <v>2905</v>
      </c>
      <c r="F281" s="348">
        <v>2859</v>
      </c>
      <c r="G281" s="348">
        <v>2837</v>
      </c>
      <c r="H281" s="348">
        <v>2839</v>
      </c>
      <c r="I281" s="348">
        <v>2868</v>
      </c>
      <c r="J281" s="348">
        <v>2935</v>
      </c>
      <c r="K281" s="348">
        <v>2912</v>
      </c>
      <c r="L281" s="348">
        <v>2868</v>
      </c>
      <c r="M281" s="348">
        <v>2843</v>
      </c>
      <c r="N281" s="348">
        <v>2848</v>
      </c>
      <c r="O281" s="348">
        <v>2878</v>
      </c>
      <c r="P281" s="348">
        <v>2931</v>
      </c>
      <c r="Q281" s="349">
        <f>IF((P282=""),"",MAX(D283:P283))</f>
        <v>2270</v>
      </c>
      <c r="R281" s="349">
        <f>IF(P282="","",MIN(D283:P283))</f>
        <v>2118</v>
      </c>
      <c r="S281" s="349">
        <f>IF((P283=""),"",AVERAGE(D283:P283))</f>
        <v>2225.2307692307691</v>
      </c>
      <c r="T281" s="349">
        <f>IF((P282=""),"",STDEV(D283:P283))</f>
        <v>60.423717537282947</v>
      </c>
      <c r="U281" s="349">
        <f>IF((P282=""),"",((Q281-R281)/(Q281+R281))*100)</f>
        <v>3.4639927073837744</v>
      </c>
      <c r="V281" s="350" t="str">
        <f>IF(P282="","",IF(U281&lt;5,IF(S281&gt;1900,IF(S281&lt;2250,"Pass","Fail"),"Fail"),"Fail"))</f>
        <v>Pass</v>
      </c>
      <c r="W281" s="351">
        <v>1340</v>
      </c>
      <c r="X281" s="352"/>
      <c r="Y281" s="342"/>
      <c r="Z281" s="376">
        <v>1600</v>
      </c>
      <c r="AA281" s="376">
        <v>2600</v>
      </c>
      <c r="AB281" s="377">
        <v>1900</v>
      </c>
      <c r="AC281" s="377">
        <v>2250</v>
      </c>
      <c r="AD281" s="378">
        <v>10</v>
      </c>
      <c r="AE281" s="378">
        <v>3.6</v>
      </c>
      <c r="AF281" s="49"/>
    </row>
    <row r="282" spans="1:32" customFormat="1" ht="15.75">
      <c r="A282" s="343"/>
      <c r="B282" s="188"/>
      <c r="C282" s="188" t="s">
        <v>78</v>
      </c>
      <c r="D282" s="348">
        <v>1918</v>
      </c>
      <c r="E282" s="348">
        <v>1780</v>
      </c>
      <c r="F282" s="348">
        <v>1727</v>
      </c>
      <c r="G282" s="348">
        <v>1706</v>
      </c>
      <c r="H282" s="348">
        <v>1704</v>
      </c>
      <c r="I282" s="348">
        <v>1734</v>
      </c>
      <c r="J282" s="348">
        <v>1859</v>
      </c>
      <c r="K282" s="348">
        <v>1830</v>
      </c>
      <c r="L282" s="348">
        <v>1733</v>
      </c>
      <c r="M282" s="348">
        <v>1711</v>
      </c>
      <c r="N282" s="348">
        <v>1714</v>
      </c>
      <c r="O282" s="348">
        <v>1752</v>
      </c>
      <c r="P282" s="348">
        <v>1872</v>
      </c>
      <c r="Q282" s="353"/>
      <c r="R282" s="353"/>
      <c r="S282" s="353"/>
      <c r="T282" s="353"/>
      <c r="U282" s="353"/>
      <c r="V282" s="354"/>
      <c r="W282" s="355"/>
      <c r="X282" s="352"/>
      <c r="Y282" s="342"/>
      <c r="Z282" s="344"/>
      <c r="AA282" s="344"/>
      <c r="AB282" s="344"/>
      <c r="AC282" s="344"/>
      <c r="AD282" s="345"/>
      <c r="AE282" s="345"/>
      <c r="AF282" s="49"/>
    </row>
    <row r="283" spans="1:32" customFormat="1" ht="48.75" thickBot="1">
      <c r="A283" s="346"/>
      <c r="B283" s="347"/>
      <c r="C283" s="347" t="s">
        <v>79</v>
      </c>
      <c r="D283" s="356">
        <f t="shared" ref="D283:P283" si="90">IF(((D281="")*AND(D282="")),"",(D281-D282)*2)</f>
        <v>2126</v>
      </c>
      <c r="E283" s="356">
        <f t="shared" si="90"/>
        <v>2250</v>
      </c>
      <c r="F283" s="356">
        <f t="shared" si="90"/>
        <v>2264</v>
      </c>
      <c r="G283" s="356">
        <f t="shared" si="90"/>
        <v>2262</v>
      </c>
      <c r="H283" s="356">
        <f t="shared" si="90"/>
        <v>2270</v>
      </c>
      <c r="I283" s="356">
        <f t="shared" si="90"/>
        <v>2268</v>
      </c>
      <c r="J283" s="356">
        <f t="shared" si="90"/>
        <v>2152</v>
      </c>
      <c r="K283" s="356">
        <f t="shared" si="90"/>
        <v>2164</v>
      </c>
      <c r="L283" s="356">
        <f t="shared" si="90"/>
        <v>2270</v>
      </c>
      <c r="M283" s="356">
        <f t="shared" si="90"/>
        <v>2264</v>
      </c>
      <c r="N283" s="356">
        <f t="shared" si="90"/>
        <v>2268</v>
      </c>
      <c r="O283" s="356">
        <f t="shared" si="90"/>
        <v>2252</v>
      </c>
      <c r="P283" s="356">
        <f t="shared" si="90"/>
        <v>2118</v>
      </c>
      <c r="Q283" s="357"/>
      <c r="R283" s="358"/>
      <c r="S283" s="358"/>
      <c r="T283" s="358"/>
      <c r="U283" s="358"/>
      <c r="V283" s="359"/>
      <c r="W283" s="360"/>
      <c r="X283" s="352"/>
      <c r="Y283" s="342"/>
      <c r="Z283" s="344"/>
      <c r="AA283" s="344"/>
      <c r="AB283" s="344"/>
      <c r="AC283" s="344"/>
      <c r="AD283" s="345"/>
      <c r="AE283" s="345"/>
      <c r="AF283" s="49"/>
    </row>
    <row r="284" spans="1:32" customFormat="1" ht="15.75">
      <c r="A284" s="340">
        <v>43580</v>
      </c>
      <c r="B284" s="341" t="s">
        <v>76</v>
      </c>
      <c r="C284" s="187" t="s">
        <v>77</v>
      </c>
      <c r="D284" s="348">
        <v>2833</v>
      </c>
      <c r="E284" s="348">
        <v>2765</v>
      </c>
      <c r="F284" s="348">
        <v>2732</v>
      </c>
      <c r="G284" s="348">
        <v>2725</v>
      </c>
      <c r="H284" s="348">
        <v>2746</v>
      </c>
      <c r="I284" s="348">
        <v>2793</v>
      </c>
      <c r="J284" s="348">
        <v>2874</v>
      </c>
      <c r="K284" s="348">
        <v>2850</v>
      </c>
      <c r="L284" s="348">
        <v>2779</v>
      </c>
      <c r="M284" s="348">
        <v>2743</v>
      </c>
      <c r="N284" s="348">
        <v>2731</v>
      </c>
      <c r="O284" s="348">
        <v>2760</v>
      </c>
      <c r="P284" s="348">
        <v>2823</v>
      </c>
      <c r="Q284" s="349">
        <f>IF((P285=""),"",MAX(D286:P286))</f>
        <v>2278</v>
      </c>
      <c r="R284" s="349">
        <f>IF(P285="","",MIN(D286:P286))</f>
        <v>2152</v>
      </c>
      <c r="S284" s="349">
        <f>IF((P286=""),"",AVERAGE(D286:P286))</f>
        <v>2231.6923076923076</v>
      </c>
      <c r="T284" s="349">
        <f>IF((P285=""),"",STDEV(D286:P286))</f>
        <v>49.630945681406004</v>
      </c>
      <c r="U284" s="349">
        <f>IF((P285=""),"",((Q284-R284)/(Q284+R284))*100)</f>
        <v>2.8442437923250563</v>
      </c>
      <c r="V284" s="350" t="str">
        <f>IF(P285="","",IF(U284&lt;5,IF(S284&gt;1900,IF(S284&lt;2250,"Pass","Fail"),"Fail"),"Fail"))</f>
        <v>Pass</v>
      </c>
      <c r="W284" s="351">
        <v>121</v>
      </c>
      <c r="X284" s="368" t="s">
        <v>171</v>
      </c>
      <c r="Y284" s="342"/>
      <c r="Z284" s="376">
        <v>1600</v>
      </c>
      <c r="AA284" s="376">
        <v>2600</v>
      </c>
      <c r="AB284" s="377">
        <v>1900</v>
      </c>
      <c r="AC284" s="377">
        <v>2250</v>
      </c>
      <c r="AD284" s="378">
        <v>10</v>
      </c>
      <c r="AE284" s="378">
        <v>3.6</v>
      </c>
      <c r="AF284" s="49"/>
    </row>
    <row r="285" spans="1:32" customFormat="1" ht="15.75">
      <c r="A285" s="343"/>
      <c r="B285" s="188"/>
      <c r="C285" s="188" t="s">
        <v>78</v>
      </c>
      <c r="D285" s="348">
        <v>1757</v>
      </c>
      <c r="E285" s="348">
        <v>1638</v>
      </c>
      <c r="F285" s="348">
        <v>1603</v>
      </c>
      <c r="G285" s="348">
        <v>1599</v>
      </c>
      <c r="H285" s="348">
        <v>1612</v>
      </c>
      <c r="I285" s="348">
        <v>1654</v>
      </c>
      <c r="J285" s="348">
        <v>1788</v>
      </c>
      <c r="K285" s="348">
        <v>1765</v>
      </c>
      <c r="L285" s="348">
        <v>1641</v>
      </c>
      <c r="M285" s="348">
        <v>1611</v>
      </c>
      <c r="N285" s="348">
        <v>1600</v>
      </c>
      <c r="O285" s="348">
        <v>1633</v>
      </c>
      <c r="P285" s="348">
        <v>1747</v>
      </c>
      <c r="Q285" s="353"/>
      <c r="R285" s="353"/>
      <c r="S285" s="353"/>
      <c r="T285" s="353"/>
      <c r="U285" s="353"/>
      <c r="V285" s="354"/>
      <c r="W285" s="355"/>
      <c r="X285" s="352"/>
      <c r="Y285" s="342"/>
      <c r="Z285" s="344"/>
      <c r="AA285" s="344"/>
      <c r="AB285" s="344"/>
      <c r="AC285" s="344"/>
      <c r="AD285" s="345"/>
      <c r="AE285" s="345"/>
      <c r="AF285" s="49"/>
    </row>
    <row r="286" spans="1:32" customFormat="1" ht="48.75" thickBot="1">
      <c r="A286" s="346"/>
      <c r="B286" s="347"/>
      <c r="C286" s="347" t="s">
        <v>79</v>
      </c>
      <c r="D286" s="356">
        <f t="shared" ref="D286:P286" si="91">IF(((D284="")*AND(D285="")),"",(D284-D285)*2)</f>
        <v>2152</v>
      </c>
      <c r="E286" s="356">
        <f t="shared" si="91"/>
        <v>2254</v>
      </c>
      <c r="F286" s="356">
        <f t="shared" si="91"/>
        <v>2258</v>
      </c>
      <c r="G286" s="356">
        <f t="shared" si="91"/>
        <v>2252</v>
      </c>
      <c r="H286" s="356">
        <f t="shared" si="91"/>
        <v>2268</v>
      </c>
      <c r="I286" s="356">
        <f t="shared" si="91"/>
        <v>2278</v>
      </c>
      <c r="J286" s="356">
        <f t="shared" si="91"/>
        <v>2172</v>
      </c>
      <c r="K286" s="356">
        <f t="shared" si="91"/>
        <v>2170</v>
      </c>
      <c r="L286" s="356">
        <f t="shared" si="91"/>
        <v>2276</v>
      </c>
      <c r="M286" s="356">
        <f t="shared" si="91"/>
        <v>2264</v>
      </c>
      <c r="N286" s="356">
        <f t="shared" si="91"/>
        <v>2262</v>
      </c>
      <c r="O286" s="356">
        <f t="shared" si="91"/>
        <v>2254</v>
      </c>
      <c r="P286" s="356">
        <f t="shared" si="91"/>
        <v>2152</v>
      </c>
      <c r="Q286" s="357"/>
      <c r="R286" s="358"/>
      <c r="S286" s="358"/>
      <c r="T286" s="358"/>
      <c r="U286" s="358"/>
      <c r="V286" s="359"/>
      <c r="W286" s="360"/>
      <c r="X286" s="352"/>
      <c r="Y286" s="342"/>
      <c r="Z286" s="344"/>
      <c r="AA286" s="344"/>
      <c r="AB286" s="344"/>
      <c r="AC286" s="344"/>
      <c r="AD286" s="345"/>
      <c r="AE286" s="345"/>
      <c r="AF286" s="49"/>
    </row>
    <row r="287" spans="1:32" customFormat="1" ht="15.75">
      <c r="A287" s="340">
        <v>43585</v>
      </c>
      <c r="B287" s="341" t="s">
        <v>76</v>
      </c>
      <c r="C287" s="187" t="s">
        <v>77</v>
      </c>
      <c r="D287" s="348">
        <v>2835</v>
      </c>
      <c r="E287" s="348">
        <v>2756</v>
      </c>
      <c r="F287" s="348">
        <v>2725</v>
      </c>
      <c r="G287" s="348">
        <v>2718</v>
      </c>
      <c r="H287" s="348">
        <v>2741</v>
      </c>
      <c r="I287" s="348">
        <v>2789</v>
      </c>
      <c r="J287" s="348">
        <v>2873</v>
      </c>
      <c r="K287" s="348">
        <v>2826</v>
      </c>
      <c r="L287" s="348">
        <v>2760</v>
      </c>
      <c r="M287" s="348">
        <v>2726</v>
      </c>
      <c r="N287" s="348">
        <v>2725</v>
      </c>
      <c r="O287" s="348">
        <v>2762</v>
      </c>
      <c r="P287" s="348">
        <v>2812</v>
      </c>
      <c r="Q287" s="349">
        <f>IF((P288=""),"",MAX(D289:P289))</f>
        <v>2228</v>
      </c>
      <c r="R287" s="349">
        <f>IF(P288="","",MIN(D289:P289))</f>
        <v>2100</v>
      </c>
      <c r="S287" s="349">
        <f>IF((P289=""),"",AVERAGE(D289:P289))</f>
        <v>2183.2307692307691</v>
      </c>
      <c r="T287" s="349">
        <f>IF((P288=""),"",STDEV(D289:P289))</f>
        <v>46.529836030501492</v>
      </c>
      <c r="U287" s="349">
        <f>IF((P288=""),"",((Q287-R287)/(Q287+R287))*100)</f>
        <v>2.957486136783734</v>
      </c>
      <c r="V287" s="350" t="str">
        <f>IF(P288="","",IF(U287&lt;5,IF(S287&gt;1900,IF(S287&lt;2250,"Pass","Fail"),"Fail"),"Fail"))</f>
        <v>Pass</v>
      </c>
      <c r="W287" s="351">
        <v>1340</v>
      </c>
      <c r="X287" s="352"/>
      <c r="Y287" s="342"/>
      <c r="Z287" s="376">
        <v>1600</v>
      </c>
      <c r="AA287" s="376">
        <v>2600</v>
      </c>
      <c r="AB287" s="377">
        <v>1900</v>
      </c>
      <c r="AC287" s="377">
        <v>2250</v>
      </c>
      <c r="AD287" s="378">
        <v>10</v>
      </c>
      <c r="AE287" s="378">
        <v>3.6</v>
      </c>
      <c r="AF287" s="49"/>
    </row>
    <row r="288" spans="1:32" customFormat="1" ht="15.75">
      <c r="A288" s="343"/>
      <c r="B288" s="188"/>
      <c r="C288" s="188" t="s">
        <v>78</v>
      </c>
      <c r="D288" s="348">
        <v>1778</v>
      </c>
      <c r="E288" s="348">
        <v>1656</v>
      </c>
      <c r="F288" s="348">
        <v>1620</v>
      </c>
      <c r="G288" s="348">
        <v>1615</v>
      </c>
      <c r="H288" s="348">
        <v>1631</v>
      </c>
      <c r="I288" s="348">
        <v>1675</v>
      </c>
      <c r="J288" s="348">
        <v>1813</v>
      </c>
      <c r="K288" s="348">
        <v>1757</v>
      </c>
      <c r="L288" s="348">
        <v>1650</v>
      </c>
      <c r="M288" s="348">
        <v>1624</v>
      </c>
      <c r="N288" s="348">
        <v>1621</v>
      </c>
      <c r="O288" s="348">
        <v>1655</v>
      </c>
      <c r="P288" s="348">
        <v>1762</v>
      </c>
      <c r="Q288" s="353"/>
      <c r="R288" s="353"/>
      <c r="S288" s="353"/>
      <c r="T288" s="353"/>
      <c r="U288" s="353"/>
      <c r="V288" s="354"/>
      <c r="W288" s="355"/>
      <c r="X288" s="352"/>
      <c r="Y288" s="342"/>
      <c r="Z288" s="344"/>
      <c r="AA288" s="344"/>
      <c r="AB288" s="344"/>
      <c r="AC288" s="344"/>
      <c r="AD288" s="345"/>
      <c r="AE288" s="345"/>
      <c r="AF288" s="49"/>
    </row>
    <row r="289" spans="1:32" customFormat="1" ht="48.75" thickBot="1">
      <c r="A289" s="346"/>
      <c r="B289" s="347"/>
      <c r="C289" s="347" t="s">
        <v>79</v>
      </c>
      <c r="D289" s="356">
        <f t="shared" ref="D289:P289" si="92">IF(((D287="")*AND(D288="")),"",(D287-D288)*2)</f>
        <v>2114</v>
      </c>
      <c r="E289" s="356">
        <f t="shared" si="92"/>
        <v>2200</v>
      </c>
      <c r="F289" s="356">
        <f t="shared" si="92"/>
        <v>2210</v>
      </c>
      <c r="G289" s="356">
        <f t="shared" si="92"/>
        <v>2206</v>
      </c>
      <c r="H289" s="356">
        <f t="shared" si="92"/>
        <v>2220</v>
      </c>
      <c r="I289" s="356">
        <f t="shared" si="92"/>
        <v>2228</v>
      </c>
      <c r="J289" s="356">
        <f t="shared" si="92"/>
        <v>2120</v>
      </c>
      <c r="K289" s="356">
        <f t="shared" si="92"/>
        <v>2138</v>
      </c>
      <c r="L289" s="356">
        <f t="shared" si="92"/>
        <v>2220</v>
      </c>
      <c r="M289" s="356">
        <f t="shared" si="92"/>
        <v>2204</v>
      </c>
      <c r="N289" s="356">
        <f t="shared" si="92"/>
        <v>2208</v>
      </c>
      <c r="O289" s="356">
        <f t="shared" si="92"/>
        <v>2214</v>
      </c>
      <c r="P289" s="356">
        <f t="shared" si="92"/>
        <v>2100</v>
      </c>
      <c r="Q289" s="357"/>
      <c r="R289" s="358"/>
      <c r="S289" s="358"/>
      <c r="T289" s="358"/>
      <c r="U289" s="358"/>
      <c r="V289" s="359"/>
      <c r="W289" s="360"/>
      <c r="X289" s="352"/>
      <c r="Y289" s="342"/>
      <c r="Z289" s="344"/>
      <c r="AA289" s="344"/>
      <c r="AB289" s="344"/>
      <c r="AC289" s="344"/>
      <c r="AD289" s="345"/>
      <c r="AE289" s="345"/>
      <c r="AF289" s="49"/>
    </row>
    <row r="290" spans="1:32" customFormat="1" ht="15.75">
      <c r="A290" s="340">
        <v>43588</v>
      </c>
      <c r="B290" s="341" t="s">
        <v>76</v>
      </c>
      <c r="C290" s="187" t="s">
        <v>77</v>
      </c>
      <c r="D290" s="348">
        <v>2781.45</v>
      </c>
      <c r="E290" s="348">
        <v>2711.3</v>
      </c>
      <c r="F290" s="348">
        <v>2703.73</v>
      </c>
      <c r="G290" s="348">
        <v>2720.24</v>
      </c>
      <c r="H290" s="348">
        <v>2814.53</v>
      </c>
      <c r="I290" s="348">
        <v>2780.92</v>
      </c>
      <c r="J290" s="348">
        <v>2713.92</v>
      </c>
      <c r="K290" s="348">
        <v>2715.89</v>
      </c>
      <c r="L290" s="348">
        <v>2774.69</v>
      </c>
      <c r="M290" s="348">
        <v>2718.89</v>
      </c>
      <c r="N290" s="348">
        <v>2723.92</v>
      </c>
      <c r="O290" s="348">
        <v>2726.59</v>
      </c>
      <c r="P290" s="348">
        <v>2713.39</v>
      </c>
      <c r="Q290" s="349">
        <f>IF((P291=""),"",MAX(D292:P292))</f>
        <v>2170.1799999999998</v>
      </c>
      <c r="R290" s="349">
        <f>IF(P291="","",MIN(D292:P292))</f>
        <v>2123.1</v>
      </c>
      <c r="S290" s="349">
        <f>IF((P292=""),"",AVERAGE(D292:P292))</f>
        <v>2154.5292307692307</v>
      </c>
      <c r="T290" s="349">
        <f>IF((P291=""),"",STDEV(D292:P292))</f>
        <v>14.168562889678691</v>
      </c>
      <c r="U290" s="349">
        <f>IF((P291=""),"",((Q290-R290)/(Q290+R290))*100)</f>
        <v>1.0965974732605359</v>
      </c>
      <c r="V290" s="350" t="str">
        <f>IF(P291="","",IF(U290&lt;5,IF(S290&gt;1900,IF(S290&lt;2250,"Pass","Fail"),"Fail"),"Fail"))</f>
        <v>Pass</v>
      </c>
      <c r="W290" s="351">
        <v>1340</v>
      </c>
      <c r="X290" s="352"/>
      <c r="Y290" s="342"/>
      <c r="Z290" s="376">
        <v>1600</v>
      </c>
      <c r="AA290" s="376">
        <v>2600</v>
      </c>
      <c r="AB290" s="377">
        <v>1900</v>
      </c>
      <c r="AC290" s="377">
        <v>2250</v>
      </c>
      <c r="AD290" s="378">
        <v>10</v>
      </c>
      <c r="AE290" s="378">
        <v>3.6</v>
      </c>
      <c r="AF290" s="49"/>
    </row>
    <row r="291" spans="1:32" customFormat="1" ht="15.75">
      <c r="A291" s="343"/>
      <c r="B291" s="188"/>
      <c r="C291" s="188" t="s">
        <v>78</v>
      </c>
      <c r="D291" s="348">
        <v>1716.52</v>
      </c>
      <c r="E291" s="348">
        <v>1631.8</v>
      </c>
      <c r="F291" s="348">
        <v>1626.14</v>
      </c>
      <c r="G291" s="348">
        <v>1636.78</v>
      </c>
      <c r="H291" s="348">
        <v>1739.79</v>
      </c>
      <c r="I291" s="348">
        <v>1704.82</v>
      </c>
      <c r="J291" s="348">
        <v>1637.27</v>
      </c>
      <c r="K291" s="348">
        <v>1630.8</v>
      </c>
      <c r="L291" s="348">
        <v>1713.14</v>
      </c>
      <c r="M291" s="348">
        <v>1638.6</v>
      </c>
      <c r="N291" s="348">
        <v>1638.85</v>
      </c>
      <c r="O291" s="348">
        <v>1648.86</v>
      </c>
      <c r="P291" s="348">
        <v>1631.65</v>
      </c>
      <c r="Q291" s="353"/>
      <c r="R291" s="353"/>
      <c r="S291" s="353"/>
      <c r="T291" s="353"/>
      <c r="U291" s="353"/>
      <c r="V291" s="354"/>
      <c r="W291" s="355"/>
      <c r="X291" s="352"/>
      <c r="Y291" s="342"/>
      <c r="Z291" s="344"/>
      <c r="AA291" s="344"/>
      <c r="AB291" s="344"/>
      <c r="AC291" s="344"/>
      <c r="AD291" s="345"/>
      <c r="AE291" s="345"/>
      <c r="AF291" s="49"/>
    </row>
    <row r="292" spans="1:32" customFormat="1" ht="48.75" thickBot="1">
      <c r="A292" s="346"/>
      <c r="B292" s="347"/>
      <c r="C292" s="347" t="s">
        <v>79</v>
      </c>
      <c r="D292" s="356">
        <f t="shared" ref="D292:P292" si="93">IF(((D290="")*AND(D291="")),"",(D290-D291)*2)</f>
        <v>2129.8599999999997</v>
      </c>
      <c r="E292" s="356">
        <f t="shared" si="93"/>
        <v>2159.0000000000005</v>
      </c>
      <c r="F292" s="356">
        <f t="shared" si="93"/>
        <v>2155.1799999999998</v>
      </c>
      <c r="G292" s="356">
        <f t="shared" si="93"/>
        <v>2166.9199999999996</v>
      </c>
      <c r="H292" s="356">
        <f t="shared" si="93"/>
        <v>2149.4800000000005</v>
      </c>
      <c r="I292" s="356">
        <f t="shared" si="93"/>
        <v>2152.2000000000003</v>
      </c>
      <c r="J292" s="356">
        <f t="shared" si="93"/>
        <v>2153.3000000000002</v>
      </c>
      <c r="K292" s="356">
        <f t="shared" si="93"/>
        <v>2170.1799999999998</v>
      </c>
      <c r="L292" s="356">
        <f t="shared" si="93"/>
        <v>2123.1</v>
      </c>
      <c r="M292" s="356">
        <f t="shared" si="93"/>
        <v>2160.58</v>
      </c>
      <c r="N292" s="356">
        <f t="shared" si="93"/>
        <v>2170.1400000000003</v>
      </c>
      <c r="O292" s="356">
        <f t="shared" si="93"/>
        <v>2155.4600000000005</v>
      </c>
      <c r="P292" s="356">
        <f t="shared" si="93"/>
        <v>2163.4799999999996</v>
      </c>
      <c r="Q292" s="357"/>
      <c r="R292" s="358"/>
      <c r="S292" s="358"/>
      <c r="T292" s="358"/>
      <c r="U292" s="358"/>
      <c r="V292" s="359"/>
      <c r="W292" s="360"/>
      <c r="X292" s="352"/>
      <c r="Y292" s="342"/>
      <c r="Z292" s="344"/>
      <c r="AA292" s="344"/>
      <c r="AB292" s="344"/>
      <c r="AC292" s="344"/>
      <c r="AD292" s="345"/>
      <c r="AE292" s="345"/>
      <c r="AF292" s="49"/>
    </row>
    <row r="293" spans="1:32" customFormat="1" ht="15.75">
      <c r="A293" s="340">
        <v>43591</v>
      </c>
      <c r="B293" s="341" t="s">
        <v>76</v>
      </c>
      <c r="C293" s="187" t="s">
        <v>77</v>
      </c>
      <c r="D293" s="348">
        <v>2778.39</v>
      </c>
      <c r="E293" s="348">
        <v>2723.78</v>
      </c>
      <c r="F293" s="348">
        <v>2722.26</v>
      </c>
      <c r="G293" s="348">
        <v>2732.54</v>
      </c>
      <c r="H293" s="348">
        <v>2814.7</v>
      </c>
      <c r="I293" s="348">
        <v>2822.21</v>
      </c>
      <c r="J293" s="348">
        <v>2731.52</v>
      </c>
      <c r="K293" s="348">
        <v>2721.8</v>
      </c>
      <c r="L293" s="348">
        <v>2784.06</v>
      </c>
      <c r="M293" s="348">
        <v>2741.16</v>
      </c>
      <c r="N293" s="348">
        <v>2731.01</v>
      </c>
      <c r="O293" s="348">
        <v>2747.23</v>
      </c>
      <c r="P293" s="348">
        <v>2734.54</v>
      </c>
      <c r="Q293" s="349">
        <f>IF((P294=""),"",MAX(D295:P295))</f>
        <v>2175.8599999999997</v>
      </c>
      <c r="R293" s="349">
        <f>IF(P294="","",MIN(D295:P295))</f>
        <v>2112.3399999999997</v>
      </c>
      <c r="S293" s="349">
        <f>IF((P295=""),"",AVERAGE(D295:P295))</f>
        <v>2156.395384615385</v>
      </c>
      <c r="T293" s="349">
        <f>IF((P294=""),"",STDEV(D295:P295))</f>
        <v>20.357857048067199</v>
      </c>
      <c r="U293" s="349">
        <f>IF((P294=""),"",((Q293-R293)/(Q293+R293))*100)</f>
        <v>1.4812741943006389</v>
      </c>
      <c r="V293" s="350" t="str">
        <f>IF(P294="","",IF(U293&lt;5,IF(S293&gt;1900,IF(S293&lt;2250,"Pass","Fail"),"Fail"),"Fail"))</f>
        <v>Pass</v>
      </c>
      <c r="W293" s="361" t="s">
        <v>172</v>
      </c>
      <c r="X293" s="352"/>
      <c r="Y293" s="342"/>
      <c r="Z293" s="376">
        <v>1600</v>
      </c>
      <c r="AA293" s="376">
        <v>2600</v>
      </c>
      <c r="AB293" s="377">
        <v>1900</v>
      </c>
      <c r="AC293" s="377">
        <v>2250</v>
      </c>
      <c r="AD293" s="378">
        <v>10</v>
      </c>
      <c r="AE293" s="378">
        <v>3.6</v>
      </c>
      <c r="AF293" s="49"/>
    </row>
    <row r="294" spans="1:32" customFormat="1" ht="15.75">
      <c r="A294" s="343"/>
      <c r="B294" s="188"/>
      <c r="C294" s="188" t="s">
        <v>78</v>
      </c>
      <c r="D294" s="348">
        <v>1722.22</v>
      </c>
      <c r="E294" s="348">
        <v>1645.93</v>
      </c>
      <c r="F294" s="348">
        <v>1640.69</v>
      </c>
      <c r="G294" s="348">
        <v>1645.24</v>
      </c>
      <c r="H294" s="348">
        <v>1732.8</v>
      </c>
      <c r="I294" s="348">
        <v>1745.44</v>
      </c>
      <c r="J294" s="348">
        <v>1652.18</v>
      </c>
      <c r="K294" s="348">
        <v>1642.5</v>
      </c>
      <c r="L294" s="348">
        <v>1726.87</v>
      </c>
      <c r="M294" s="348">
        <v>1653.23</v>
      </c>
      <c r="N294" s="348">
        <v>1647.51</v>
      </c>
      <c r="O294" s="348">
        <v>1666.26</v>
      </c>
      <c r="P294" s="348">
        <v>1647.76</v>
      </c>
      <c r="Q294" s="353"/>
      <c r="R294" s="353"/>
      <c r="S294" s="353"/>
      <c r="T294" s="353"/>
      <c r="U294" s="353"/>
      <c r="V294" s="354"/>
      <c r="W294" s="355"/>
      <c r="X294" s="352"/>
      <c r="Y294" s="342"/>
      <c r="Z294" s="344"/>
      <c r="AA294" s="344"/>
      <c r="AB294" s="344"/>
      <c r="AC294" s="344"/>
      <c r="AD294" s="345"/>
      <c r="AE294" s="345"/>
      <c r="AF294" s="49"/>
    </row>
    <row r="295" spans="1:32" customFormat="1" ht="48.75" thickBot="1">
      <c r="A295" s="346"/>
      <c r="B295" s="347"/>
      <c r="C295" s="347" t="s">
        <v>79</v>
      </c>
      <c r="D295" s="356">
        <f t="shared" ref="D295:P295" si="94">IF(((D293="")*AND(D294="")),"",(D293-D294)*2)</f>
        <v>2112.3399999999997</v>
      </c>
      <c r="E295" s="356">
        <f t="shared" si="94"/>
        <v>2155.7000000000003</v>
      </c>
      <c r="F295" s="356">
        <f t="shared" si="94"/>
        <v>2163.1400000000003</v>
      </c>
      <c r="G295" s="356">
        <f t="shared" si="94"/>
        <v>2174.6</v>
      </c>
      <c r="H295" s="356">
        <f t="shared" si="94"/>
        <v>2163.7999999999997</v>
      </c>
      <c r="I295" s="356">
        <f t="shared" si="94"/>
        <v>2153.54</v>
      </c>
      <c r="J295" s="356">
        <f t="shared" si="94"/>
        <v>2158.6799999999998</v>
      </c>
      <c r="K295" s="356">
        <f t="shared" si="94"/>
        <v>2158.6000000000004</v>
      </c>
      <c r="L295" s="356">
        <f t="shared" si="94"/>
        <v>2114.38</v>
      </c>
      <c r="M295" s="356">
        <f t="shared" si="94"/>
        <v>2175.8599999999997</v>
      </c>
      <c r="N295" s="356">
        <f t="shared" si="94"/>
        <v>2167.0000000000005</v>
      </c>
      <c r="O295" s="356">
        <f t="shared" si="94"/>
        <v>2161.94</v>
      </c>
      <c r="P295" s="356">
        <f t="shared" si="94"/>
        <v>2173.56</v>
      </c>
      <c r="Q295" s="357"/>
      <c r="R295" s="358"/>
      <c r="S295" s="358"/>
      <c r="T295" s="358"/>
      <c r="U295" s="358"/>
      <c r="V295" s="359"/>
      <c r="W295" s="360"/>
      <c r="X295" s="352"/>
      <c r="Y295" s="342"/>
      <c r="Z295" s="344"/>
      <c r="AA295" s="344"/>
      <c r="AB295" s="344"/>
      <c r="AC295" s="344"/>
      <c r="AD295" s="345"/>
      <c r="AE295" s="345"/>
      <c r="AF295" s="49"/>
    </row>
    <row r="296" spans="1:32" customFormat="1" ht="15.75">
      <c r="A296" s="340">
        <v>43598</v>
      </c>
      <c r="B296" s="341" t="s">
        <v>76</v>
      </c>
      <c r="C296" s="187" t="s">
        <v>77</v>
      </c>
      <c r="D296" s="348">
        <v>2781.21</v>
      </c>
      <c r="E296" s="348">
        <v>2716.55</v>
      </c>
      <c r="F296" s="348">
        <v>2712.96</v>
      </c>
      <c r="G296" s="348">
        <v>2723.2</v>
      </c>
      <c r="H296" s="348">
        <v>2815.84</v>
      </c>
      <c r="I296" s="348">
        <v>2804.83</v>
      </c>
      <c r="J296" s="348">
        <v>2722.69</v>
      </c>
      <c r="K296" s="348">
        <v>2712.72</v>
      </c>
      <c r="L296" s="348">
        <v>2771.63</v>
      </c>
      <c r="M296" s="348">
        <v>2728.22</v>
      </c>
      <c r="N296" s="348">
        <v>2730.65</v>
      </c>
      <c r="O296" s="348">
        <v>2736.39</v>
      </c>
      <c r="P296" s="348">
        <v>2717.33</v>
      </c>
      <c r="Q296" s="349">
        <f>IF((P297=""),"",MAX(D298:P298))</f>
        <v>2250.42</v>
      </c>
      <c r="R296" s="349">
        <f>IF(P297="","",MIN(D298:P298))</f>
        <v>2065.2600000000002</v>
      </c>
      <c r="S296" s="349">
        <f>IF((P298=""),"",AVERAGE(D298:P298))</f>
        <v>2115.6492307692311</v>
      </c>
      <c r="T296" s="349">
        <f>IF((P297=""),"",STDEV(D298:P298))</f>
        <v>43.177943918449287</v>
      </c>
      <c r="U296" s="349">
        <f>IF((P297=""),"",((Q296-R296)/(Q296+R296))*100)</f>
        <v>4.2904015126237312</v>
      </c>
      <c r="V296" s="350" t="str">
        <f>IF(P297="","",IF(U296&lt;5,IF(S296&gt;1900,IF(S296&lt;2250,"Pass","Fail"),"Fail"),"Fail"))</f>
        <v>Pass</v>
      </c>
      <c r="W296" s="361">
        <v>1335</v>
      </c>
      <c r="X296" s="352" t="s">
        <v>173</v>
      </c>
      <c r="Y296" s="342"/>
      <c r="Z296" s="376">
        <v>1600</v>
      </c>
      <c r="AA296" s="376">
        <v>2600</v>
      </c>
      <c r="AB296" s="377">
        <v>1900</v>
      </c>
      <c r="AC296" s="377">
        <v>2250</v>
      </c>
      <c r="AD296" s="378">
        <v>10</v>
      </c>
      <c r="AE296" s="378">
        <v>3.6</v>
      </c>
      <c r="AF296" s="49"/>
    </row>
    <row r="297" spans="1:32" customFormat="1" ht="15.75">
      <c r="A297" s="343"/>
      <c r="B297" s="188"/>
      <c r="C297" s="188" t="s">
        <v>78</v>
      </c>
      <c r="D297" s="348">
        <v>1656</v>
      </c>
      <c r="E297" s="348">
        <v>1659.36</v>
      </c>
      <c r="F297" s="348">
        <v>1657.1</v>
      </c>
      <c r="G297" s="348">
        <v>1667.7</v>
      </c>
      <c r="H297" s="348">
        <v>1768.96</v>
      </c>
      <c r="I297" s="348">
        <v>1755.04</v>
      </c>
      <c r="J297" s="348">
        <v>1668.06</v>
      </c>
      <c r="K297" s="348">
        <v>1657.65</v>
      </c>
      <c r="L297" s="348">
        <v>1739</v>
      </c>
      <c r="M297" s="348">
        <v>1671.76</v>
      </c>
      <c r="N297" s="348">
        <v>1667.7</v>
      </c>
      <c r="O297" s="348">
        <v>1681.72</v>
      </c>
      <c r="P297" s="348">
        <v>1672.45</v>
      </c>
      <c r="Q297" s="353"/>
      <c r="R297" s="353"/>
      <c r="S297" s="353"/>
      <c r="T297" s="353"/>
      <c r="U297" s="353"/>
      <c r="V297" s="354"/>
      <c r="W297" s="355"/>
      <c r="X297" s="352"/>
      <c r="Y297" s="342"/>
      <c r="Z297" s="344"/>
      <c r="AA297" s="344"/>
      <c r="AB297" s="344"/>
      <c r="AC297" s="344"/>
      <c r="AD297" s="345"/>
      <c r="AE297" s="345"/>
      <c r="AF297" s="49"/>
    </row>
    <row r="298" spans="1:32" customFormat="1" ht="48.75" thickBot="1">
      <c r="A298" s="346"/>
      <c r="B298" s="347"/>
      <c r="C298" s="347" t="s">
        <v>79</v>
      </c>
      <c r="D298" s="356">
        <f t="shared" ref="D298:P298" si="95">IF(((D296="")*AND(D297="")),"",(D296-D297)*2)</f>
        <v>2250.42</v>
      </c>
      <c r="E298" s="356">
        <f t="shared" si="95"/>
        <v>2114.3800000000006</v>
      </c>
      <c r="F298" s="356">
        <f t="shared" si="95"/>
        <v>2111.7200000000003</v>
      </c>
      <c r="G298" s="356">
        <f t="shared" si="95"/>
        <v>2110.9999999999995</v>
      </c>
      <c r="H298" s="356">
        <f t="shared" si="95"/>
        <v>2093.7600000000002</v>
      </c>
      <c r="I298" s="356">
        <f t="shared" si="95"/>
        <v>2099.58</v>
      </c>
      <c r="J298" s="356">
        <f t="shared" si="95"/>
        <v>2109.2600000000002</v>
      </c>
      <c r="K298" s="356">
        <f t="shared" si="95"/>
        <v>2110.1399999999994</v>
      </c>
      <c r="L298" s="356">
        <f t="shared" si="95"/>
        <v>2065.2600000000002</v>
      </c>
      <c r="M298" s="356">
        <f t="shared" si="95"/>
        <v>2112.9199999999996</v>
      </c>
      <c r="N298" s="356">
        <f t="shared" si="95"/>
        <v>2125.9</v>
      </c>
      <c r="O298" s="356">
        <f t="shared" si="95"/>
        <v>2109.3399999999997</v>
      </c>
      <c r="P298" s="356">
        <f t="shared" si="95"/>
        <v>2089.7599999999998</v>
      </c>
      <c r="Q298" s="357"/>
      <c r="R298" s="358"/>
      <c r="S298" s="358"/>
      <c r="T298" s="358"/>
      <c r="U298" s="358"/>
      <c r="V298" s="359"/>
      <c r="W298" s="360"/>
      <c r="X298" s="352"/>
      <c r="Y298" s="342"/>
      <c r="Z298" s="344"/>
      <c r="AA298" s="344"/>
      <c r="AB298" s="344"/>
      <c r="AC298" s="344"/>
      <c r="AD298" s="345"/>
      <c r="AE298" s="345"/>
      <c r="AF298" s="49"/>
    </row>
    <row r="299" spans="1:32" customFormat="1" ht="15.75">
      <c r="A299" s="340">
        <v>43601</v>
      </c>
      <c r="B299" s="341" t="s">
        <v>76</v>
      </c>
      <c r="C299" s="187" t="s">
        <v>77</v>
      </c>
      <c r="D299" s="348">
        <v>2787.53</v>
      </c>
      <c r="E299" s="348">
        <v>2727.14</v>
      </c>
      <c r="F299" s="348">
        <v>2728.6</v>
      </c>
      <c r="G299" s="348">
        <v>2738.26</v>
      </c>
      <c r="H299" s="348">
        <v>2827.72</v>
      </c>
      <c r="I299" s="348">
        <v>2822.5</v>
      </c>
      <c r="J299" s="348">
        <v>2743.53</v>
      </c>
      <c r="K299" s="348">
        <v>2731.05</v>
      </c>
      <c r="L299" s="348">
        <v>2786.27</v>
      </c>
      <c r="M299" s="348">
        <v>2740.57</v>
      </c>
      <c r="N299" s="348">
        <v>2741.02</v>
      </c>
      <c r="O299" s="348">
        <v>2760.58</v>
      </c>
      <c r="P299" s="348">
        <v>2734.52</v>
      </c>
      <c r="Q299" s="349">
        <f>IF((P300=""),"",MAX(D301:P301))</f>
        <v>2106.56</v>
      </c>
      <c r="R299" s="349">
        <f>IF(P300="","",MIN(D301:P301))</f>
        <v>2054.5600000000004</v>
      </c>
      <c r="S299" s="349">
        <f>IF((P301=""),"",AVERAGE(D301:P301))</f>
        <v>2084.9123076923074</v>
      </c>
      <c r="T299" s="349">
        <f>IF((P300=""),"",STDEV(D301:P301))</f>
        <v>16.166062267349556</v>
      </c>
      <c r="U299" s="349">
        <f>IF((P300=""),"",((Q299-R299)/(Q299+R299))*100)</f>
        <v>1.2496635521205719</v>
      </c>
      <c r="V299" s="350" t="str">
        <f>IF(P300="","",IF(U299&lt;5,IF(S299&gt;1900,IF(S299&lt;2250,"Pass","Fail"),"Fail"),"Fail"))</f>
        <v>Pass</v>
      </c>
      <c r="W299" s="361">
        <v>74</v>
      </c>
      <c r="X299" s="352"/>
      <c r="Y299" s="342"/>
      <c r="Z299" s="376">
        <v>1600</v>
      </c>
      <c r="AA299" s="376">
        <v>2600</v>
      </c>
      <c r="AB299" s="377">
        <v>1900</v>
      </c>
      <c r="AC299" s="377">
        <v>2250</v>
      </c>
      <c r="AD299" s="378">
        <v>10</v>
      </c>
      <c r="AE299" s="378">
        <v>3.6</v>
      </c>
      <c r="AF299" s="49"/>
    </row>
    <row r="300" spans="1:32" customFormat="1" ht="15.75">
      <c r="A300" s="343"/>
      <c r="B300" s="188"/>
      <c r="C300" s="188" t="s">
        <v>78</v>
      </c>
      <c r="D300" s="348">
        <v>1760.25</v>
      </c>
      <c r="E300" s="348">
        <v>1687.41</v>
      </c>
      <c r="F300" s="348">
        <v>1685.45</v>
      </c>
      <c r="G300" s="348">
        <v>1696.11</v>
      </c>
      <c r="H300" s="348">
        <v>1784.41</v>
      </c>
      <c r="I300" s="348">
        <v>1769.22</v>
      </c>
      <c r="J300" s="348">
        <v>1694.71</v>
      </c>
      <c r="K300" s="348">
        <v>1685.63</v>
      </c>
      <c r="L300" s="348">
        <v>1756.65</v>
      </c>
      <c r="M300" s="348">
        <v>1702.32</v>
      </c>
      <c r="N300" s="348">
        <v>1689.66</v>
      </c>
      <c r="O300" s="348">
        <v>1708.52</v>
      </c>
      <c r="P300" s="348">
        <v>1697.02</v>
      </c>
      <c r="Q300" s="353"/>
      <c r="R300" s="353"/>
      <c r="S300" s="353"/>
      <c r="T300" s="353"/>
      <c r="U300" s="353"/>
      <c r="V300" s="354"/>
      <c r="W300" s="355"/>
      <c r="X300" s="352"/>
      <c r="Y300" s="342"/>
      <c r="Z300" s="344"/>
      <c r="AA300" s="344"/>
      <c r="AB300" s="344"/>
      <c r="AC300" s="344"/>
      <c r="AD300" s="345"/>
      <c r="AE300" s="345"/>
      <c r="AF300" s="49"/>
    </row>
    <row r="301" spans="1:32" customFormat="1" ht="48.75" thickBot="1">
      <c r="A301" s="346"/>
      <c r="B301" s="347"/>
      <c r="C301" s="347" t="s">
        <v>79</v>
      </c>
      <c r="D301" s="356">
        <f t="shared" ref="D301:P301" si="96">IF(((D299="")*AND(D300="")),"",(D299-D300)*2)</f>
        <v>2054.5600000000004</v>
      </c>
      <c r="E301" s="356">
        <f t="shared" si="96"/>
        <v>2079.4599999999996</v>
      </c>
      <c r="F301" s="356">
        <f t="shared" si="96"/>
        <v>2086.2999999999997</v>
      </c>
      <c r="G301" s="356">
        <f t="shared" si="96"/>
        <v>2084.3000000000006</v>
      </c>
      <c r="H301" s="356">
        <f t="shared" si="96"/>
        <v>2086.6199999999994</v>
      </c>
      <c r="I301" s="356">
        <f t="shared" si="96"/>
        <v>2106.56</v>
      </c>
      <c r="J301" s="356">
        <f t="shared" si="96"/>
        <v>2097.6400000000003</v>
      </c>
      <c r="K301" s="356">
        <f t="shared" si="96"/>
        <v>2090.84</v>
      </c>
      <c r="L301" s="356">
        <f t="shared" si="96"/>
        <v>2059.2399999999998</v>
      </c>
      <c r="M301" s="356">
        <f t="shared" si="96"/>
        <v>2076.5000000000005</v>
      </c>
      <c r="N301" s="356">
        <f t="shared" si="96"/>
        <v>2102.7199999999998</v>
      </c>
      <c r="O301" s="356">
        <f t="shared" si="96"/>
        <v>2104.12</v>
      </c>
      <c r="P301" s="356">
        <f t="shared" si="96"/>
        <v>2075</v>
      </c>
      <c r="Q301" s="357"/>
      <c r="R301" s="358"/>
      <c r="S301" s="358"/>
      <c r="T301" s="358"/>
      <c r="U301" s="358"/>
      <c r="V301" s="359"/>
      <c r="W301" s="360"/>
      <c r="X301" s="352"/>
      <c r="Y301" s="342"/>
      <c r="Z301" s="344"/>
      <c r="AA301" s="344"/>
      <c r="AB301" s="344"/>
      <c r="AC301" s="344"/>
      <c r="AD301" s="345"/>
      <c r="AE301" s="345"/>
      <c r="AF301" s="49"/>
    </row>
    <row r="302" spans="1:32" customFormat="1" ht="15.75">
      <c r="A302" s="340">
        <v>43603</v>
      </c>
      <c r="B302" s="341" t="s">
        <v>76</v>
      </c>
      <c r="C302" s="187" t="s">
        <v>77</v>
      </c>
      <c r="D302" s="348">
        <v>2841.61</v>
      </c>
      <c r="E302" s="348">
        <v>2749.43</v>
      </c>
      <c r="F302" s="348">
        <v>2735.49</v>
      </c>
      <c r="G302" s="348">
        <v>2741.86</v>
      </c>
      <c r="H302" s="348">
        <v>2816.82</v>
      </c>
      <c r="I302" s="348">
        <v>2805.02</v>
      </c>
      <c r="J302" s="348">
        <v>2746.15</v>
      </c>
      <c r="K302" s="348">
        <v>2746.9</v>
      </c>
      <c r="L302" s="348">
        <v>2812.16</v>
      </c>
      <c r="M302" s="348">
        <v>2761.01</v>
      </c>
      <c r="N302" s="348">
        <v>2748.76</v>
      </c>
      <c r="O302" s="348">
        <v>2746.2</v>
      </c>
      <c r="P302" s="348">
        <v>2761.75</v>
      </c>
      <c r="Q302" s="349">
        <f>IF((P303=""),"",MAX(D304:P304))</f>
        <v>2114.5000000000005</v>
      </c>
      <c r="R302" s="349">
        <f>IF(P303="","",MIN(D304:P304))</f>
        <v>2052.44</v>
      </c>
      <c r="S302" s="349">
        <f>IF((P304=""),"",AVERAGE(D304:P304))</f>
        <v>2090.7938461538465</v>
      </c>
      <c r="T302" s="349">
        <f>IF((P303=""),"",STDEV(D304:P304))</f>
        <v>15.774169570502398</v>
      </c>
      <c r="U302" s="349">
        <f>IF((P303=""),"",((Q302-R302)/(Q302+R302))*100)</f>
        <v>1.4893422991451855</v>
      </c>
      <c r="V302" s="350" t="str">
        <f>IF(P303="","",IF(U302&lt;5,IF(S302&gt;1900,IF(S302&lt;2250,"Pass","Fail"),"Fail"),"Fail"))</f>
        <v>Pass</v>
      </c>
      <c r="W302" s="361">
        <v>1335</v>
      </c>
      <c r="X302" s="352"/>
      <c r="Y302" s="342"/>
      <c r="Z302" s="376">
        <v>1600</v>
      </c>
      <c r="AA302" s="376">
        <v>2600</v>
      </c>
      <c r="AB302" s="377">
        <v>1900</v>
      </c>
      <c r="AC302" s="377">
        <v>2250</v>
      </c>
      <c r="AD302" s="378">
        <v>10</v>
      </c>
      <c r="AE302" s="378">
        <v>3.6</v>
      </c>
      <c r="AF302" s="49"/>
    </row>
    <row r="303" spans="1:32" customFormat="1" ht="15.75">
      <c r="A303" s="343"/>
      <c r="B303" s="188"/>
      <c r="C303" s="188" t="s">
        <v>78</v>
      </c>
      <c r="D303" s="348">
        <v>1815.39</v>
      </c>
      <c r="E303" s="348">
        <v>1706.49</v>
      </c>
      <c r="F303" s="348">
        <v>1695.06</v>
      </c>
      <c r="G303" s="348">
        <v>1692.27</v>
      </c>
      <c r="H303" s="348">
        <v>1773.57</v>
      </c>
      <c r="I303" s="348">
        <v>1760.3</v>
      </c>
      <c r="J303" s="348">
        <v>1697.45</v>
      </c>
      <c r="K303" s="348">
        <v>1695.14</v>
      </c>
      <c r="L303" s="348">
        <v>1775.25</v>
      </c>
      <c r="M303" s="348">
        <v>1710.89</v>
      </c>
      <c r="N303" s="348">
        <v>1691.51</v>
      </c>
      <c r="O303" s="348">
        <v>1694.7</v>
      </c>
      <c r="P303" s="348">
        <v>1714.98</v>
      </c>
      <c r="Q303" s="353"/>
      <c r="R303" s="353"/>
      <c r="S303" s="353"/>
      <c r="T303" s="353"/>
      <c r="U303" s="353"/>
      <c r="V303" s="354"/>
      <c r="W303" s="355"/>
      <c r="X303" s="352"/>
      <c r="Y303" s="342"/>
      <c r="Z303" s="344"/>
      <c r="AA303" s="344"/>
      <c r="AB303" s="344"/>
      <c r="AC303" s="344"/>
      <c r="AD303" s="345"/>
      <c r="AE303" s="345"/>
      <c r="AF303" s="49"/>
    </row>
    <row r="304" spans="1:32" customFormat="1" ht="48.75" thickBot="1">
      <c r="A304" s="346"/>
      <c r="B304" s="347"/>
      <c r="C304" s="347" t="s">
        <v>79</v>
      </c>
      <c r="D304" s="356">
        <f t="shared" ref="D304:P304" si="97">IF(((D302="")*AND(D303="")),"",(D302-D303)*2)</f>
        <v>2052.44</v>
      </c>
      <c r="E304" s="356">
        <f t="shared" si="97"/>
        <v>2085.8799999999997</v>
      </c>
      <c r="F304" s="356">
        <f t="shared" si="97"/>
        <v>2080.8599999999997</v>
      </c>
      <c r="G304" s="356">
        <f t="shared" si="97"/>
        <v>2099.1800000000003</v>
      </c>
      <c r="H304" s="356">
        <f t="shared" si="97"/>
        <v>2086.5000000000005</v>
      </c>
      <c r="I304" s="356">
        <f t="shared" si="97"/>
        <v>2089.44</v>
      </c>
      <c r="J304" s="356">
        <f t="shared" si="97"/>
        <v>2097.4</v>
      </c>
      <c r="K304" s="356">
        <f t="shared" si="97"/>
        <v>2103.52</v>
      </c>
      <c r="L304" s="356">
        <f t="shared" si="97"/>
        <v>2073.8199999999997</v>
      </c>
      <c r="M304" s="356">
        <f t="shared" si="97"/>
        <v>2100.2400000000002</v>
      </c>
      <c r="N304" s="356">
        <f t="shared" si="97"/>
        <v>2114.5000000000005</v>
      </c>
      <c r="O304" s="356">
        <f t="shared" si="97"/>
        <v>2102.9999999999995</v>
      </c>
      <c r="P304" s="356">
        <f t="shared" si="97"/>
        <v>2093.54</v>
      </c>
      <c r="Q304" s="357"/>
      <c r="R304" s="358"/>
      <c r="S304" s="358"/>
      <c r="T304" s="358"/>
      <c r="U304" s="358"/>
      <c r="V304" s="359"/>
      <c r="W304" s="360"/>
      <c r="X304" s="352"/>
      <c r="Y304" s="342"/>
      <c r="Z304" s="344"/>
      <c r="AA304" s="344"/>
      <c r="AB304" s="344"/>
      <c r="AC304" s="344"/>
      <c r="AD304" s="345"/>
      <c r="AE304" s="345"/>
      <c r="AF304" s="49"/>
    </row>
    <row r="305" spans="1:32" customFormat="1" ht="15.75">
      <c r="A305" s="340">
        <v>43605</v>
      </c>
      <c r="B305" s="341" t="s">
        <v>76</v>
      </c>
      <c r="C305" s="187" t="s">
        <v>77</v>
      </c>
      <c r="D305" s="348">
        <v>2794.31</v>
      </c>
      <c r="E305" s="348">
        <v>2729.19</v>
      </c>
      <c r="F305" s="348">
        <v>2733.41</v>
      </c>
      <c r="G305" s="348">
        <v>2743.58</v>
      </c>
      <c r="H305" s="348">
        <v>2837.07</v>
      </c>
      <c r="I305" s="348">
        <v>2792.92</v>
      </c>
      <c r="J305" s="348">
        <v>2737.03</v>
      </c>
      <c r="K305" s="348">
        <v>2735.12</v>
      </c>
      <c r="L305" s="348">
        <v>2807.25</v>
      </c>
      <c r="M305" s="348">
        <v>2738.51</v>
      </c>
      <c r="N305" s="348">
        <v>2751.15</v>
      </c>
      <c r="O305" s="348">
        <v>2751.58</v>
      </c>
      <c r="P305" s="348">
        <v>2737.22</v>
      </c>
      <c r="Q305" s="349">
        <f>IF((P306=""),"",MAX(D307:P307))</f>
        <v>2128.2799999999997</v>
      </c>
      <c r="R305" s="349">
        <f>IF(P306="","",MIN(D307:P307))</f>
        <v>2081.4</v>
      </c>
      <c r="S305" s="349">
        <f>IF((P307=""),"",AVERAGE(D307:P307))</f>
        <v>2114.1569230769228</v>
      </c>
      <c r="T305" s="349">
        <f>IF((P306=""),"",STDEV(D307:P307))</f>
        <v>14.750714889330155</v>
      </c>
      <c r="U305" s="349">
        <f>IF((P306=""),"",((Q305-R305)/(Q305+R305))*100)</f>
        <v>1.1136238383915082</v>
      </c>
      <c r="V305" s="350" t="str">
        <f>IF(P306="","",IF(U305&lt;5,IF(S305&gt;1900,IF(S305&lt;2250,"Pass","Fail"),"Fail"),"Fail"))</f>
        <v>Pass</v>
      </c>
      <c r="W305" s="361">
        <v>102</v>
      </c>
      <c r="X305" s="352" t="s">
        <v>174</v>
      </c>
      <c r="Y305" s="342"/>
      <c r="Z305" s="376">
        <v>1600</v>
      </c>
      <c r="AA305" s="376">
        <v>2600</v>
      </c>
      <c r="AB305" s="377">
        <v>1900</v>
      </c>
      <c r="AC305" s="377">
        <v>2250</v>
      </c>
      <c r="AD305" s="378">
        <v>10</v>
      </c>
      <c r="AE305" s="378">
        <v>3.6</v>
      </c>
      <c r="AF305" s="49"/>
    </row>
    <row r="306" spans="1:32" customFormat="1" ht="15.75">
      <c r="A306" s="343"/>
      <c r="B306" s="188"/>
      <c r="C306" s="188" t="s">
        <v>78</v>
      </c>
      <c r="D306" s="348">
        <v>1753.61</v>
      </c>
      <c r="E306" s="348">
        <v>1676.98</v>
      </c>
      <c r="F306" s="348">
        <v>1671.38</v>
      </c>
      <c r="G306" s="348">
        <v>1682.49</v>
      </c>
      <c r="H306" s="348">
        <v>1775.49</v>
      </c>
      <c r="I306" s="348">
        <v>1741.25</v>
      </c>
      <c r="J306" s="348">
        <v>1674.82</v>
      </c>
      <c r="K306" s="348">
        <v>1670.98</v>
      </c>
      <c r="L306" s="348">
        <v>1758.87</v>
      </c>
      <c r="M306" s="348">
        <v>1686.61</v>
      </c>
      <c r="N306" s="348">
        <v>1687.42</v>
      </c>
      <c r="O306" s="348">
        <v>1687.75</v>
      </c>
      <c r="P306" s="348">
        <v>1678.67</v>
      </c>
      <c r="Q306" s="353"/>
      <c r="R306" s="353"/>
      <c r="S306" s="353"/>
      <c r="T306" s="353"/>
      <c r="U306" s="353"/>
      <c r="V306" s="354"/>
      <c r="W306" s="355"/>
      <c r="X306" s="352"/>
      <c r="Y306" s="342"/>
      <c r="Z306" s="342"/>
      <c r="AA306" s="344"/>
      <c r="AB306" s="344"/>
      <c r="AC306" s="344"/>
      <c r="AD306" s="344"/>
      <c r="AE306" s="345"/>
      <c r="AF306" s="345"/>
    </row>
    <row r="307" spans="1:32" customFormat="1" ht="48.75" thickBot="1">
      <c r="A307" s="346"/>
      <c r="B307" s="347"/>
      <c r="C307" s="347" t="s">
        <v>79</v>
      </c>
      <c r="D307" s="356">
        <f t="shared" ref="D307:P307" si="98">IF(((D305="")*AND(D306="")),"",(D305-D306)*2)</f>
        <v>2081.4</v>
      </c>
      <c r="E307" s="356">
        <f t="shared" si="98"/>
        <v>2104.42</v>
      </c>
      <c r="F307" s="356">
        <f t="shared" si="98"/>
        <v>2124.0599999999995</v>
      </c>
      <c r="G307" s="356">
        <f t="shared" si="98"/>
        <v>2122.1799999999998</v>
      </c>
      <c r="H307" s="356">
        <f t="shared" si="98"/>
        <v>2123.1600000000003</v>
      </c>
      <c r="I307" s="356">
        <f t="shared" si="98"/>
        <v>2103.34</v>
      </c>
      <c r="J307" s="356">
        <f t="shared" si="98"/>
        <v>2124.4200000000005</v>
      </c>
      <c r="K307" s="356">
        <f t="shared" si="98"/>
        <v>2128.2799999999997</v>
      </c>
      <c r="L307" s="356">
        <f t="shared" si="98"/>
        <v>2096.7600000000002</v>
      </c>
      <c r="M307" s="356">
        <f t="shared" si="98"/>
        <v>2103.8000000000006</v>
      </c>
      <c r="N307" s="356">
        <f t="shared" si="98"/>
        <v>2127.46</v>
      </c>
      <c r="O307" s="356">
        <f t="shared" si="98"/>
        <v>2127.66</v>
      </c>
      <c r="P307" s="356">
        <f t="shared" si="98"/>
        <v>2117.0999999999995</v>
      </c>
      <c r="Q307" s="357"/>
      <c r="R307" s="358"/>
      <c r="S307" s="358"/>
      <c r="T307" s="358"/>
      <c r="U307" s="358"/>
      <c r="V307" s="359"/>
      <c r="W307" s="360"/>
      <c r="X307" s="352"/>
      <c r="Y307" s="342"/>
      <c r="Z307" s="342"/>
      <c r="AA307" s="344"/>
      <c r="AB307" s="344"/>
      <c r="AC307" s="344"/>
      <c r="AD307" s="344"/>
      <c r="AE307" s="345"/>
      <c r="AF307" s="345"/>
    </row>
  </sheetData>
  <autoFilter ref="A10:AE307"/>
  <mergeCells count="1">
    <mergeCell ref="D9:P9"/>
  </mergeCells>
  <conditionalFormatting sqref="U113 U110 U107:V107 U104:V104 U98:V98 U100:V101 U95:V95 U92:V92 U89:V89 U77 U80 U83:V83 U86 U68 U59 U62 U65 U71 U74 U56 U53 U50 U47 U44 U41 U38:V38 U35 U29 U32 U26 U23 U20 U17 U14 U11 U116 U119 U122 U125 U128 U131 U134 U140 U143 U137 U146 U149 U152 U155 U158 U161:V161 V11:V37 V39:V82 V84:V88 V90:V91 V93:V94 V96:V97 V99 V102:V103 V105:V106 V108:V160 U164 U167 U170 U173 U179 U182 U185 U176 U188 U191 U194 U197 U200 U203 U206 U209 U212 U215 U224 U218 U221 U227 U230 U233 U236 U239 U242 U245 U248 U251 U254 U257 U260 U263 U266 U269 U272 U275 U278 U281 U284 U287 U290 U293 U296 U299 U302 U305 V162:V307">
    <cfRule type="cellIs" dxfId="1143" priority="787" stopIfTrue="1" operator="equal">
      <formula>"Fail"</formula>
    </cfRule>
    <cfRule type="cellIs" dxfId="1142" priority="788"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Sheet6"/>
  <dimension ref="A1:AJ319"/>
  <sheetViews>
    <sheetView zoomScale="70" zoomScaleNormal="70" workbookViewId="0">
      <pane ySplit="10" topLeftCell="A281" activePane="bottomLeft" state="frozen"/>
      <selection pane="bottomLeft" activeCell="AB327" sqref="AB327"/>
    </sheetView>
  </sheetViews>
  <sheetFormatPr defaultColWidth="9" defaultRowHeight="15"/>
  <cols>
    <col min="1" max="1" width="13.75" style="159" customWidth="1"/>
    <col min="2" max="22" width="9" style="49"/>
    <col min="23" max="23" width="9" style="184"/>
    <col min="24" max="24" width="12" style="96" customWidth="1"/>
    <col min="25" max="25" width="9" style="49"/>
    <col min="26" max="26" width="9" style="90"/>
    <col min="27" max="27" width="18.5" style="90" customWidth="1"/>
    <col min="28" max="28" width="24.375" style="395" customWidth="1"/>
    <col min="29" max="32" width="9" style="132"/>
    <col min="33" max="33" width="9" style="84" customWidth="1"/>
    <col min="34" max="34" width="9" style="84"/>
    <col min="35" max="16384" width="9" style="49"/>
  </cols>
  <sheetData>
    <row r="1" spans="1:34" s="39" customFormat="1">
      <c r="A1" s="127" t="s">
        <v>11</v>
      </c>
      <c r="B1" s="128"/>
      <c r="C1" s="128"/>
      <c r="D1" s="128"/>
      <c r="E1" s="128"/>
      <c r="F1" s="128"/>
      <c r="G1" s="128"/>
      <c r="H1" s="128"/>
      <c r="I1" s="128"/>
      <c r="J1" s="128"/>
      <c r="K1" s="128"/>
      <c r="L1" s="128"/>
      <c r="M1" s="128"/>
      <c r="N1" s="128"/>
      <c r="O1" s="128"/>
      <c r="P1" s="128"/>
      <c r="Q1" s="128"/>
      <c r="R1" s="128"/>
      <c r="S1" s="129"/>
      <c r="T1" s="128"/>
      <c r="U1" s="128"/>
      <c r="V1" s="128"/>
      <c r="W1" s="130"/>
      <c r="X1" s="284"/>
      <c r="Y1" s="128"/>
      <c r="Z1" s="131"/>
      <c r="AA1" s="131"/>
      <c r="AB1" s="129"/>
      <c r="AC1" s="132"/>
      <c r="AD1" s="132"/>
      <c r="AE1" s="133"/>
      <c r="AF1" s="133"/>
      <c r="AG1" s="134"/>
      <c r="AH1" s="134"/>
    </row>
    <row r="2" spans="1:34">
      <c r="A2" s="135" t="s">
        <v>100</v>
      </c>
      <c r="B2" s="136"/>
      <c r="C2" s="137"/>
      <c r="D2" s="137"/>
      <c r="E2" s="138"/>
      <c r="F2" s="138"/>
      <c r="G2" s="138"/>
      <c r="H2" s="138"/>
      <c r="I2" s="138" t="s">
        <v>101</v>
      </c>
      <c r="J2" s="138"/>
      <c r="K2" s="138"/>
      <c r="L2" s="138"/>
      <c r="M2" s="138"/>
      <c r="N2" s="138"/>
      <c r="O2" s="138"/>
      <c r="P2" s="138"/>
      <c r="Q2" s="138"/>
      <c r="R2" s="138"/>
      <c r="S2" s="139"/>
      <c r="T2" s="137"/>
      <c r="U2" s="136"/>
      <c r="V2" s="138"/>
      <c r="W2" s="130"/>
      <c r="X2" s="285"/>
      <c r="Y2" s="140"/>
      <c r="Z2" s="141"/>
      <c r="AA2" s="141"/>
      <c r="AB2" s="139"/>
    </row>
    <row r="3" spans="1:34">
      <c r="A3" s="142" t="s">
        <v>119</v>
      </c>
      <c r="B3" s="143"/>
      <c r="C3" s="143"/>
      <c r="D3" s="143"/>
      <c r="E3" s="140"/>
      <c r="F3" s="140" t="s">
        <v>120</v>
      </c>
      <c r="G3" s="140"/>
      <c r="H3" s="140"/>
      <c r="I3" s="140"/>
      <c r="J3" s="140"/>
      <c r="K3" s="140"/>
      <c r="L3" s="140"/>
      <c r="M3" s="140"/>
      <c r="N3" s="140"/>
      <c r="O3" s="140"/>
      <c r="P3" s="140"/>
      <c r="Q3" s="140"/>
      <c r="R3" s="140"/>
      <c r="S3" s="144"/>
      <c r="T3" s="143"/>
      <c r="U3" s="143"/>
      <c r="V3" s="140"/>
      <c r="W3" s="130"/>
      <c r="X3" s="286"/>
      <c r="Y3" s="140"/>
      <c r="Z3" s="145"/>
      <c r="AA3" s="145"/>
      <c r="AB3" s="144"/>
    </row>
    <row r="4" spans="1:34">
      <c r="A4" s="135" t="s">
        <v>121</v>
      </c>
      <c r="B4" s="137"/>
      <c r="C4" s="137"/>
      <c r="D4" s="137"/>
      <c r="E4" s="140"/>
      <c r="F4" s="140" t="s">
        <v>122</v>
      </c>
      <c r="G4" s="140"/>
      <c r="H4" s="140"/>
      <c r="I4" s="140"/>
      <c r="J4" s="140"/>
      <c r="K4" s="140"/>
      <c r="L4" s="140"/>
      <c r="M4" s="140"/>
      <c r="N4" s="140"/>
      <c r="O4" s="140"/>
      <c r="P4" s="140"/>
      <c r="Q4" s="140"/>
      <c r="R4" s="140"/>
      <c r="S4" s="144"/>
      <c r="T4" s="137"/>
      <c r="U4" s="137"/>
      <c r="V4" s="140"/>
      <c r="W4" s="130"/>
      <c r="X4" s="286"/>
      <c r="Y4" s="140"/>
      <c r="Z4" s="145"/>
      <c r="AA4" s="145"/>
      <c r="AB4" s="144"/>
    </row>
    <row r="5" spans="1:34">
      <c r="A5" s="135" t="s">
        <v>123</v>
      </c>
      <c r="B5" s="137"/>
      <c r="C5" s="137"/>
      <c r="D5" s="137"/>
      <c r="E5" s="140"/>
      <c r="F5" s="140"/>
      <c r="G5" s="140"/>
      <c r="H5" s="140"/>
      <c r="I5" s="140"/>
      <c r="J5" s="140"/>
      <c r="K5" s="140"/>
      <c r="L5" s="140"/>
      <c r="M5" s="140"/>
      <c r="N5" s="140"/>
      <c r="O5" s="140"/>
      <c r="P5" s="140"/>
      <c r="Q5" s="140"/>
      <c r="R5" s="140"/>
      <c r="S5" s="144"/>
      <c r="T5" s="146"/>
      <c r="U5" s="137"/>
      <c r="V5" s="140"/>
      <c r="W5" s="130"/>
      <c r="X5" s="286"/>
      <c r="Y5" s="140"/>
      <c r="Z5" s="145"/>
      <c r="AA5" s="145"/>
      <c r="AB5" s="144"/>
    </row>
    <row r="6" spans="1:34">
      <c r="A6" s="135" t="s">
        <v>107</v>
      </c>
      <c r="B6" s="137"/>
      <c r="C6" s="137"/>
      <c r="D6" s="137"/>
      <c r="E6" s="140"/>
      <c r="F6" s="140"/>
      <c r="G6" s="140"/>
      <c r="H6" s="140"/>
      <c r="I6" s="140"/>
      <c r="J6" s="140"/>
      <c r="K6" s="140"/>
      <c r="L6" s="140"/>
      <c r="M6" s="140"/>
      <c r="N6" s="140"/>
      <c r="O6" s="140"/>
      <c r="P6" s="140"/>
      <c r="Q6" s="140"/>
      <c r="R6" s="140"/>
      <c r="S6" s="144"/>
      <c r="T6" s="137"/>
      <c r="U6" s="137"/>
      <c r="V6" s="140"/>
      <c r="W6" s="130"/>
      <c r="X6" s="94"/>
      <c r="Y6" s="53"/>
      <c r="Z6" s="147"/>
      <c r="AA6" s="147"/>
      <c r="AB6" s="393"/>
    </row>
    <row r="7" spans="1:34">
      <c r="A7" s="148" t="s">
        <v>108</v>
      </c>
      <c r="B7" s="137"/>
      <c r="C7" s="137"/>
      <c r="D7" s="137"/>
      <c r="E7" s="140"/>
      <c r="F7" s="140"/>
      <c r="G7" s="140"/>
      <c r="H7" s="140"/>
      <c r="I7" s="140"/>
      <c r="J7" s="140"/>
      <c r="K7" s="140"/>
      <c r="L7" s="140"/>
      <c r="M7" s="140"/>
      <c r="N7" s="140"/>
      <c r="O7" s="140"/>
      <c r="P7" s="140"/>
      <c r="Q7" s="140"/>
      <c r="R7" s="140"/>
      <c r="S7" s="144"/>
      <c r="T7" s="137"/>
      <c r="U7" s="137"/>
      <c r="V7" s="140"/>
      <c r="W7" s="130"/>
      <c r="X7" s="286"/>
      <c r="Y7" s="140"/>
      <c r="Z7" s="145"/>
      <c r="AA7" s="145"/>
      <c r="AB7" s="144"/>
    </row>
    <row r="8" spans="1:34">
      <c r="A8" s="149"/>
      <c r="B8" s="150"/>
      <c r="C8" s="151"/>
      <c r="D8" s="151"/>
      <c r="E8" s="151"/>
      <c r="F8" s="151"/>
      <c r="G8" s="151"/>
      <c r="H8" s="151"/>
      <c r="I8" s="151"/>
      <c r="J8" s="151"/>
      <c r="K8" s="151"/>
      <c r="L8" s="151"/>
      <c r="M8" s="151"/>
      <c r="N8" s="151"/>
      <c r="O8" s="151"/>
      <c r="P8" s="151"/>
      <c r="Q8" s="151"/>
      <c r="R8" s="151"/>
      <c r="S8" s="152"/>
      <c r="T8" s="151"/>
      <c r="U8" s="151"/>
      <c r="V8" s="150"/>
      <c r="W8" s="130"/>
      <c r="X8" s="287"/>
      <c r="Y8" s="150"/>
      <c r="Z8" s="153"/>
      <c r="AA8" s="153"/>
      <c r="AB8" s="394"/>
    </row>
    <row r="9" spans="1:34" ht="15.75" thickBot="1">
      <c r="A9" s="270"/>
      <c r="B9" s="103"/>
      <c r="C9" s="322" t="s">
        <v>158</v>
      </c>
      <c r="D9" s="323"/>
      <c r="E9" s="323"/>
      <c r="F9" s="323"/>
      <c r="G9" s="323"/>
      <c r="H9" s="323"/>
      <c r="I9" s="323"/>
      <c r="J9" s="323"/>
      <c r="K9" s="323"/>
      <c r="L9" s="323"/>
      <c r="M9" s="323"/>
      <c r="N9" s="323"/>
      <c r="O9" s="323"/>
      <c r="P9" s="323"/>
      <c r="Q9" s="323"/>
      <c r="R9" s="323"/>
      <c r="S9" s="324"/>
      <c r="W9" s="185"/>
      <c r="Z9" s="49"/>
      <c r="AA9" s="49"/>
      <c r="AC9" s="49"/>
      <c r="AD9" s="49"/>
      <c r="AE9" s="49"/>
      <c r="AF9" s="49"/>
      <c r="AG9" s="49"/>
      <c r="AH9" s="49"/>
    </row>
    <row r="10" spans="1:34" s="100" customFormat="1" ht="42" customHeight="1" thickBot="1">
      <c r="A10" s="274" t="s">
        <v>148</v>
      </c>
      <c r="B10" s="115" t="s">
        <v>75</v>
      </c>
      <c r="C10" s="115">
        <v>1</v>
      </c>
      <c r="D10" s="115">
        <v>2</v>
      </c>
      <c r="E10" s="115">
        <v>3</v>
      </c>
      <c r="F10" s="115">
        <v>4</v>
      </c>
      <c r="G10" s="115">
        <v>5</v>
      </c>
      <c r="H10" s="115">
        <v>6</v>
      </c>
      <c r="I10" s="115">
        <v>7</v>
      </c>
      <c r="J10" s="115">
        <v>8</v>
      </c>
      <c r="K10" s="115">
        <v>9</v>
      </c>
      <c r="L10" s="115">
        <v>10</v>
      </c>
      <c r="M10" s="115">
        <v>11</v>
      </c>
      <c r="N10" s="115">
        <v>12</v>
      </c>
      <c r="O10" s="115">
        <v>13</v>
      </c>
      <c r="P10" s="115">
        <v>14</v>
      </c>
      <c r="Q10" s="115">
        <v>15</v>
      </c>
      <c r="R10" s="115">
        <v>16</v>
      </c>
      <c r="S10" s="115">
        <v>17</v>
      </c>
      <c r="T10" s="116" t="s">
        <v>66</v>
      </c>
      <c r="U10" s="116" t="s">
        <v>67</v>
      </c>
      <c r="V10" s="115" t="s">
        <v>147</v>
      </c>
      <c r="W10" s="118" t="s">
        <v>109</v>
      </c>
      <c r="X10" s="117" t="s">
        <v>154</v>
      </c>
      <c r="Y10" s="118" t="s">
        <v>29</v>
      </c>
      <c r="Z10" s="115" t="s">
        <v>41</v>
      </c>
      <c r="AA10" s="115" t="s">
        <v>155</v>
      </c>
      <c r="AB10" s="396" t="s">
        <v>31</v>
      </c>
      <c r="AC10" s="275" t="s">
        <v>73</v>
      </c>
      <c r="AD10" s="275" t="s">
        <v>43</v>
      </c>
      <c r="AE10" s="276" t="s">
        <v>71</v>
      </c>
      <c r="AF10" s="276" t="s">
        <v>72</v>
      </c>
      <c r="AG10" s="276" t="s">
        <v>110</v>
      </c>
      <c r="AH10" s="277" t="s">
        <v>111</v>
      </c>
    </row>
    <row r="11" spans="1:34">
      <c r="A11" s="271">
        <v>43101</v>
      </c>
      <c r="B11" s="109" t="s">
        <v>77</v>
      </c>
      <c r="C11" s="49">
        <v>5502.96</v>
      </c>
      <c r="D11" s="49">
        <v>5483.21</v>
      </c>
      <c r="E11" s="49">
        <v>5481.82</v>
      </c>
      <c r="F11" s="49">
        <v>5468.08</v>
      </c>
      <c r="G11" s="49">
        <v>5482.14</v>
      </c>
      <c r="H11" s="49">
        <v>5482.31</v>
      </c>
      <c r="I11" s="49">
        <v>5495.95</v>
      </c>
      <c r="J11" s="49">
        <v>5507.55</v>
      </c>
      <c r="K11" s="49">
        <v>5553.88</v>
      </c>
      <c r="L11" s="49">
        <v>5540.62</v>
      </c>
      <c r="M11" s="49">
        <v>5513.3</v>
      </c>
      <c r="N11" s="49">
        <v>5497.06</v>
      </c>
      <c r="O11" s="49">
        <v>5528.97</v>
      </c>
      <c r="P11" s="49">
        <v>5477.99</v>
      </c>
      <c r="Q11" s="49">
        <v>5530.83</v>
      </c>
      <c r="R11" s="49">
        <v>5499.43</v>
      </c>
      <c r="S11" s="49">
        <v>5519.56</v>
      </c>
      <c r="T11" s="272">
        <f>IF((S12=""),"",MAX(C13:S13))</f>
        <v>2031.4400000000005</v>
      </c>
      <c r="U11" s="109">
        <f>IF(S12="","",MIN(C13:S13))</f>
        <v>1852.3199999999997</v>
      </c>
      <c r="V11" s="109">
        <f>IF((S13=""),"",AVERAGE(C13:S13))</f>
        <v>1931.9741176470591</v>
      </c>
      <c r="W11" s="156">
        <f>STDEV(C13:S13)</f>
        <v>53.45661313846324</v>
      </c>
      <c r="X11" s="110">
        <f>IF((S12=""),"",((T11-U11)/(T11+U11))*100)</f>
        <v>4.6120254598636574</v>
      </c>
      <c r="Y11" s="111" t="str">
        <f>IF(S12="","",IF(X11&lt;15,IF(V11&gt;1690,IF(V11&lt;2125,"Pass","Fail"),"Fail"),"Fail"))</f>
        <v>Pass</v>
      </c>
      <c r="Z11" s="273">
        <v>1428</v>
      </c>
      <c r="AA11" s="301"/>
      <c r="AC11" s="132">
        <v>1600</v>
      </c>
      <c r="AD11" s="132">
        <v>2600</v>
      </c>
      <c r="AE11" s="158">
        <v>1690</v>
      </c>
      <c r="AF11" s="158">
        <v>2125</v>
      </c>
      <c r="AG11" s="154">
        <v>15</v>
      </c>
      <c r="AH11" s="154">
        <v>15</v>
      </c>
    </row>
    <row r="12" spans="1:34" ht="15.75">
      <c r="A12"/>
      <c r="B12" s="64" t="s">
        <v>78</v>
      </c>
      <c r="C12" s="49">
        <v>4576.8</v>
      </c>
      <c r="D12" s="49">
        <v>4555.71</v>
      </c>
      <c r="E12" s="49">
        <v>4539.55</v>
      </c>
      <c r="F12" s="49">
        <v>4539.03</v>
      </c>
      <c r="G12" s="49">
        <v>4539.1000000000004</v>
      </c>
      <c r="H12" s="49">
        <v>4512.3599999999997</v>
      </c>
      <c r="I12" s="49">
        <v>4498.3500000000004</v>
      </c>
      <c r="J12" s="49">
        <v>4503.32</v>
      </c>
      <c r="K12" s="49">
        <v>4538.16</v>
      </c>
      <c r="L12" s="49">
        <v>4566.1899999999996</v>
      </c>
      <c r="M12" s="49">
        <v>4538.57</v>
      </c>
      <c r="N12" s="49">
        <v>4523.82</v>
      </c>
      <c r="O12" s="49">
        <v>4573.67</v>
      </c>
      <c r="P12" s="49">
        <v>4524.3100000000004</v>
      </c>
      <c r="Q12" s="49">
        <v>4557.32</v>
      </c>
      <c r="R12" s="49">
        <v>4520.1499999999996</v>
      </c>
      <c r="S12" s="49">
        <v>4537.47</v>
      </c>
      <c r="T12" s="160"/>
      <c r="U12" s="161"/>
      <c r="V12" s="161"/>
      <c r="W12" s="156"/>
      <c r="X12" s="288"/>
      <c r="Y12" s="161"/>
      <c r="Z12" s="157"/>
      <c r="AA12" s="301"/>
      <c r="AB12" s="186"/>
    </row>
    <row r="13" spans="1:34" ht="60.75" thickBot="1">
      <c r="A13"/>
      <c r="B13" s="77" t="s">
        <v>79</v>
      </c>
      <c r="C13" s="162">
        <f t="shared" ref="C13:S13" si="0">IF(((C11="")*AND(C12="")),"",(C11-C12)*2)</f>
        <v>1852.3199999999997</v>
      </c>
      <c r="D13" s="162">
        <f t="shared" si="0"/>
        <v>1855</v>
      </c>
      <c r="E13" s="162">
        <f t="shared" si="0"/>
        <v>1884.5399999999991</v>
      </c>
      <c r="F13" s="162">
        <f t="shared" si="0"/>
        <v>1858.1000000000004</v>
      </c>
      <c r="G13" s="162">
        <f t="shared" si="0"/>
        <v>1886.08</v>
      </c>
      <c r="H13" s="162">
        <f t="shared" si="0"/>
        <v>1939.9000000000015</v>
      </c>
      <c r="I13" s="162">
        <f t="shared" si="0"/>
        <v>1995.1999999999989</v>
      </c>
      <c r="J13" s="162">
        <f t="shared" si="0"/>
        <v>2008.4600000000009</v>
      </c>
      <c r="K13" s="162">
        <f t="shared" si="0"/>
        <v>2031.4400000000005</v>
      </c>
      <c r="L13" s="162">
        <f t="shared" si="0"/>
        <v>1948.8600000000006</v>
      </c>
      <c r="M13" s="162">
        <f t="shared" si="0"/>
        <v>1949.4600000000009</v>
      </c>
      <c r="N13" s="162">
        <f t="shared" si="0"/>
        <v>1946.4800000000014</v>
      </c>
      <c r="O13" s="162">
        <f t="shared" si="0"/>
        <v>1910.6000000000004</v>
      </c>
      <c r="P13" s="162">
        <f t="shared" si="0"/>
        <v>1907.3599999999988</v>
      </c>
      <c r="Q13" s="162">
        <f t="shared" si="0"/>
        <v>1947.0200000000004</v>
      </c>
      <c r="R13" s="162">
        <f t="shared" si="0"/>
        <v>1958.5600000000013</v>
      </c>
      <c r="S13" s="163">
        <f t="shared" si="0"/>
        <v>1964.1800000000003</v>
      </c>
      <c r="T13" s="164"/>
      <c r="U13" s="162"/>
      <c r="V13" s="162"/>
      <c r="W13" s="165"/>
      <c r="X13" s="289"/>
      <c r="Y13" s="162"/>
      <c r="Z13" s="166"/>
      <c r="AA13" s="301"/>
      <c r="AB13" s="186"/>
    </row>
    <row r="14" spans="1:34" ht="18.75" customHeight="1">
      <c r="A14" s="278">
        <v>43104</v>
      </c>
      <c r="B14" s="64" t="s">
        <v>77</v>
      </c>
      <c r="C14" s="49">
        <v>5470.02</v>
      </c>
      <c r="D14" s="49">
        <v>5466.57</v>
      </c>
      <c r="E14" s="49">
        <v>5468.33</v>
      </c>
      <c r="F14" s="49">
        <v>5458.06</v>
      </c>
      <c r="G14" s="49">
        <v>5450.83</v>
      </c>
      <c r="H14" s="49">
        <v>5463.72</v>
      </c>
      <c r="I14" s="49">
        <v>5469</v>
      </c>
      <c r="J14" s="49">
        <v>5485.88</v>
      </c>
      <c r="K14" s="49">
        <v>5531.85</v>
      </c>
      <c r="L14" s="49">
        <v>5521.87</v>
      </c>
      <c r="M14" s="49">
        <v>5481.55</v>
      </c>
      <c r="N14" s="49">
        <v>5470.45</v>
      </c>
      <c r="O14" s="49">
        <v>5513.49</v>
      </c>
      <c r="P14" s="49">
        <v>5462</v>
      </c>
      <c r="Q14" s="49">
        <v>5513.83</v>
      </c>
      <c r="R14" s="49">
        <v>5472.78</v>
      </c>
      <c r="S14" s="49">
        <v>5494.79</v>
      </c>
      <c r="T14" s="155">
        <f>IF((S15=""),"",MAX(C16:S16))</f>
        <v>2045.9400000000005</v>
      </c>
      <c r="U14" s="64">
        <f>IF(S15="","",MIN(C16:S16))</f>
        <v>1808.7600000000002</v>
      </c>
      <c r="V14" s="70">
        <f>IF((S16=""),"",AVERAGE(C16:S16))</f>
        <v>1927.5929411764707</v>
      </c>
      <c r="W14" s="156">
        <f>STDEV(C16:S16)</f>
        <v>66.871194075321498</v>
      </c>
      <c r="X14" s="98">
        <f>IF((S15=""),"",((T14-U14)/(T14+U14))*100)</f>
        <v>6.1530080161880365</v>
      </c>
      <c r="Y14" s="75" t="str">
        <f>IF(S15="","",IF(X14&lt;15,IF(V14&gt;1690,IF(V14&lt;2125,"Pass","Fail"),"Fail"),"Fail"))</f>
        <v>Pass</v>
      </c>
      <c r="Z14" s="157">
        <v>1335</v>
      </c>
      <c r="AA14" s="293" t="s">
        <v>80</v>
      </c>
      <c r="AC14" s="132">
        <v>1600</v>
      </c>
      <c r="AD14" s="132">
        <v>2600</v>
      </c>
      <c r="AE14" s="158">
        <v>1690</v>
      </c>
      <c r="AF14" s="158">
        <v>2125</v>
      </c>
      <c r="AG14" s="154">
        <v>15</v>
      </c>
      <c r="AH14" s="154">
        <v>15</v>
      </c>
    </row>
    <row r="15" spans="1:34" ht="15.75">
      <c r="A15"/>
      <c r="B15" s="64" t="s">
        <v>78</v>
      </c>
      <c r="C15" s="49">
        <v>4565.6400000000003</v>
      </c>
      <c r="D15" s="49">
        <v>4551.41</v>
      </c>
      <c r="E15" s="49">
        <v>4532.7299999999996</v>
      </c>
      <c r="F15" s="49">
        <v>4529.68</v>
      </c>
      <c r="G15" s="49">
        <v>4515.59</v>
      </c>
      <c r="H15" s="49">
        <v>4489.3500000000004</v>
      </c>
      <c r="I15" s="49">
        <v>4472.37</v>
      </c>
      <c r="J15" s="49">
        <v>4472.08</v>
      </c>
      <c r="K15" s="49">
        <v>4508.88</v>
      </c>
      <c r="L15" s="49">
        <v>4563.93</v>
      </c>
      <c r="M15" s="49">
        <v>4520.71</v>
      </c>
      <c r="N15" s="49">
        <v>4503.78</v>
      </c>
      <c r="O15" s="49">
        <v>4559.66</v>
      </c>
      <c r="P15" s="49">
        <v>4503.78</v>
      </c>
      <c r="Q15" s="49">
        <v>4535.03</v>
      </c>
      <c r="R15" s="49">
        <v>4487.5600000000004</v>
      </c>
      <c r="S15" s="49">
        <v>4498.3</v>
      </c>
      <c r="T15" s="160"/>
      <c r="U15" s="161"/>
      <c r="V15" s="161"/>
      <c r="W15" s="156"/>
      <c r="X15" s="288"/>
      <c r="Y15" s="161"/>
      <c r="Z15" s="157"/>
      <c r="AA15" s="186"/>
      <c r="AB15" s="186"/>
    </row>
    <row r="16" spans="1:34" ht="60.75" thickBot="1">
      <c r="A16"/>
      <c r="B16" s="77" t="s">
        <v>79</v>
      </c>
      <c r="C16" s="162">
        <f t="shared" ref="C16:S16" si="1">IF(((C14="")*AND(C15="")),"",(C14-C15)*2)</f>
        <v>1808.7600000000002</v>
      </c>
      <c r="D16" s="162">
        <f t="shared" si="1"/>
        <v>1830.3199999999997</v>
      </c>
      <c r="E16" s="162">
        <f t="shared" si="1"/>
        <v>1871.2000000000007</v>
      </c>
      <c r="F16" s="162">
        <f t="shared" si="1"/>
        <v>1856.7600000000002</v>
      </c>
      <c r="G16" s="162">
        <f t="shared" si="1"/>
        <v>1870.4799999999996</v>
      </c>
      <c r="H16" s="162">
        <f t="shared" si="1"/>
        <v>1948.7399999999998</v>
      </c>
      <c r="I16" s="162">
        <f t="shared" si="1"/>
        <v>1993.2600000000002</v>
      </c>
      <c r="J16" s="162">
        <f t="shared" si="1"/>
        <v>2027.6000000000004</v>
      </c>
      <c r="K16" s="162">
        <f t="shared" si="1"/>
        <v>2045.9400000000005</v>
      </c>
      <c r="L16" s="162">
        <f t="shared" si="1"/>
        <v>1915.8799999999992</v>
      </c>
      <c r="M16" s="162">
        <f t="shared" si="1"/>
        <v>1921.6800000000003</v>
      </c>
      <c r="N16" s="162">
        <f t="shared" si="1"/>
        <v>1933.3400000000001</v>
      </c>
      <c r="O16" s="162">
        <f t="shared" si="1"/>
        <v>1907.6599999999999</v>
      </c>
      <c r="P16" s="162">
        <f t="shared" si="1"/>
        <v>1916.4400000000005</v>
      </c>
      <c r="Q16" s="162">
        <f t="shared" si="1"/>
        <v>1957.6000000000004</v>
      </c>
      <c r="R16" s="162">
        <f t="shared" si="1"/>
        <v>1970.4399999999987</v>
      </c>
      <c r="S16" s="163">
        <f t="shared" si="1"/>
        <v>1992.9799999999996</v>
      </c>
      <c r="T16" s="164"/>
      <c r="U16" s="162"/>
      <c r="V16" s="162"/>
      <c r="W16" s="165"/>
      <c r="X16" s="289"/>
      <c r="Y16" s="162"/>
      <c r="Z16" s="166"/>
      <c r="AA16" s="186"/>
      <c r="AB16" s="186"/>
    </row>
    <row r="17" spans="1:34">
      <c r="A17" s="278">
        <v>43112</v>
      </c>
      <c r="B17" s="64" t="s">
        <v>77</v>
      </c>
      <c r="C17" s="49">
        <v>5527.91</v>
      </c>
      <c r="D17" s="49">
        <v>5505.7</v>
      </c>
      <c r="E17" s="49">
        <v>5497.59</v>
      </c>
      <c r="F17" s="49">
        <v>5492.64</v>
      </c>
      <c r="G17" s="49">
        <v>5491.44</v>
      </c>
      <c r="H17" s="49">
        <v>5500.41</v>
      </c>
      <c r="I17" s="49">
        <v>5516.84</v>
      </c>
      <c r="J17" s="49">
        <v>5542.78</v>
      </c>
      <c r="K17" s="49">
        <v>5587</v>
      </c>
      <c r="L17" s="49">
        <v>5568.78</v>
      </c>
      <c r="M17" s="49">
        <v>5532.29</v>
      </c>
      <c r="N17" s="49">
        <v>5508.37</v>
      </c>
      <c r="O17" s="49">
        <v>5549.49</v>
      </c>
      <c r="P17" s="49">
        <v>5496.93</v>
      </c>
      <c r="Q17" s="49">
        <v>5546.78</v>
      </c>
      <c r="R17" s="49">
        <v>5509.86</v>
      </c>
      <c r="S17" s="49">
        <v>5530.94</v>
      </c>
      <c r="T17" s="155">
        <f>IF((S18=""),"",MAX(C19:S19))</f>
        <v>2042.08</v>
      </c>
      <c r="U17" s="64">
        <f>IF(S18="","",MIN(C19:S19))</f>
        <v>1820.3600000000006</v>
      </c>
      <c r="V17" s="70">
        <f>IF((S19=""),"",AVERAGE(C19:S19))</f>
        <v>1925.7529411764704</v>
      </c>
      <c r="W17" s="156">
        <f>STDEV(C19:S19)</f>
        <v>60.337698804816199</v>
      </c>
      <c r="X17" s="98">
        <f>IF((S18=""),"",((T17-U17)/(T17+U17))*100)</f>
        <v>5.7404127960563613</v>
      </c>
      <c r="Y17" s="75" t="str">
        <f>IF(S18="","",IF(X17&lt;15,IF(V17&gt;1690,IF(V17&lt;2125,"Pass","Fail"),"Fail"),"Fail"))</f>
        <v>Pass</v>
      </c>
      <c r="Z17" s="157" t="s">
        <v>48</v>
      </c>
      <c r="AA17" s="186" t="s">
        <v>81</v>
      </c>
      <c r="AC17" s="132">
        <v>1600</v>
      </c>
      <c r="AD17" s="132">
        <v>2600</v>
      </c>
      <c r="AE17" s="158">
        <v>1690</v>
      </c>
      <c r="AF17" s="158">
        <v>2125</v>
      </c>
      <c r="AG17" s="154">
        <v>15</v>
      </c>
      <c r="AH17" s="154">
        <v>15</v>
      </c>
    </row>
    <row r="18" spans="1:34" ht="15.75">
      <c r="A18"/>
      <c r="B18" s="64" t="s">
        <v>78</v>
      </c>
      <c r="C18" s="49">
        <v>4617.7299999999996</v>
      </c>
      <c r="D18" s="49">
        <v>4580.05</v>
      </c>
      <c r="E18" s="49">
        <v>4571.45</v>
      </c>
      <c r="F18" s="49">
        <v>4558.16</v>
      </c>
      <c r="G18" s="49">
        <v>4551.84</v>
      </c>
      <c r="H18" s="49">
        <v>4531.91</v>
      </c>
      <c r="I18" s="49">
        <v>4518.8999999999996</v>
      </c>
      <c r="J18" s="49">
        <v>4531.9399999999996</v>
      </c>
      <c r="K18" s="49">
        <v>4565.96</v>
      </c>
      <c r="L18" s="49">
        <v>4612.34</v>
      </c>
      <c r="M18" s="49">
        <v>4560.3599999999997</v>
      </c>
      <c r="N18" s="49">
        <v>4551.32</v>
      </c>
      <c r="O18" s="49">
        <v>4588</v>
      </c>
      <c r="P18" s="49">
        <v>4539.03</v>
      </c>
      <c r="Q18" s="49">
        <v>4570.41</v>
      </c>
      <c r="R18" s="49">
        <v>4530.88</v>
      </c>
      <c r="S18" s="49">
        <v>4556.57</v>
      </c>
      <c r="T18" s="160"/>
      <c r="U18" s="161"/>
      <c r="V18" s="161"/>
      <c r="W18" s="156"/>
      <c r="X18" s="288"/>
      <c r="Y18" s="161"/>
      <c r="Z18" s="157"/>
      <c r="AA18" s="186"/>
      <c r="AB18" s="186"/>
    </row>
    <row r="19" spans="1:34" ht="60.75" thickBot="1">
      <c r="A19"/>
      <c r="B19" s="77" t="s">
        <v>79</v>
      </c>
      <c r="C19" s="162">
        <f t="shared" ref="C19:S19" si="2">IF(((C17="")*AND(C18="")),"",(C17-C18)*2)</f>
        <v>1820.3600000000006</v>
      </c>
      <c r="D19" s="162">
        <f t="shared" si="2"/>
        <v>1851.2999999999993</v>
      </c>
      <c r="E19" s="162">
        <f t="shared" si="2"/>
        <v>1852.2800000000007</v>
      </c>
      <c r="F19" s="162">
        <f t="shared" si="2"/>
        <v>1868.9600000000009</v>
      </c>
      <c r="G19" s="162">
        <f t="shared" si="2"/>
        <v>1879.1999999999989</v>
      </c>
      <c r="H19" s="162">
        <f t="shared" si="2"/>
        <v>1937</v>
      </c>
      <c r="I19" s="162">
        <f t="shared" si="2"/>
        <v>1995.880000000001</v>
      </c>
      <c r="J19" s="162">
        <f t="shared" si="2"/>
        <v>2021.6800000000003</v>
      </c>
      <c r="K19" s="162">
        <f t="shared" si="2"/>
        <v>2042.08</v>
      </c>
      <c r="L19" s="162">
        <f t="shared" si="2"/>
        <v>1912.8799999999992</v>
      </c>
      <c r="M19" s="162">
        <f t="shared" si="2"/>
        <v>1943.8600000000006</v>
      </c>
      <c r="N19" s="162">
        <f t="shared" si="2"/>
        <v>1914.1000000000004</v>
      </c>
      <c r="O19" s="162">
        <f t="shared" si="2"/>
        <v>1922.9799999999996</v>
      </c>
      <c r="P19" s="162">
        <f t="shared" si="2"/>
        <v>1915.8000000000011</v>
      </c>
      <c r="Q19" s="162">
        <f t="shared" si="2"/>
        <v>1952.7399999999998</v>
      </c>
      <c r="R19" s="162">
        <f t="shared" si="2"/>
        <v>1957.9599999999991</v>
      </c>
      <c r="S19" s="163">
        <f t="shared" si="2"/>
        <v>1948.7399999999998</v>
      </c>
      <c r="T19" s="164"/>
      <c r="U19" s="162"/>
      <c r="V19" s="162"/>
      <c r="W19" s="165"/>
      <c r="X19" s="289"/>
      <c r="Y19" s="162"/>
      <c r="Z19" s="166"/>
      <c r="AA19" s="186"/>
      <c r="AB19" s="186"/>
    </row>
    <row r="20" spans="1:34">
      <c r="A20" s="278">
        <v>43116</v>
      </c>
      <c r="B20" s="64" t="s">
        <v>77</v>
      </c>
      <c r="C20" s="49">
        <v>5399.1</v>
      </c>
      <c r="D20" s="49">
        <v>5340.85</v>
      </c>
      <c r="E20" s="49">
        <v>5319.03</v>
      </c>
      <c r="F20" s="49">
        <v>5304.53</v>
      </c>
      <c r="G20" s="49">
        <v>5301.97</v>
      </c>
      <c r="H20" s="49">
        <v>5318.63</v>
      </c>
      <c r="I20" s="49">
        <v>5345.45</v>
      </c>
      <c r="J20" s="49">
        <v>5396.37</v>
      </c>
      <c r="K20" s="49">
        <v>5477.98</v>
      </c>
      <c r="L20" s="49">
        <v>5444.83</v>
      </c>
      <c r="M20" s="49">
        <v>5374.71</v>
      </c>
      <c r="N20" s="49">
        <v>5339.85</v>
      </c>
      <c r="O20" s="49">
        <v>5369.18</v>
      </c>
      <c r="P20" s="49">
        <v>5304.54</v>
      </c>
      <c r="Q20" s="49">
        <v>5322.54</v>
      </c>
      <c r="R20" s="49">
        <v>5343.81</v>
      </c>
      <c r="S20" s="49">
        <v>5460.9</v>
      </c>
      <c r="T20" s="155">
        <f>IF((S21=""),"",MAX(C22:S22))</f>
        <v>2142.34</v>
      </c>
      <c r="U20" s="64">
        <f>IF(S21="","",MIN(C22:S22))</f>
        <v>1793.2800000000007</v>
      </c>
      <c r="V20" s="70">
        <f>IF((S22=""),"",AVERAGE(C22:S22))</f>
        <v>1914.148235294118</v>
      </c>
      <c r="W20" s="156">
        <f>STDEV(C22:S22)</f>
        <v>80.054822483972231</v>
      </c>
      <c r="X20" s="98">
        <f>IF((S21=""),"",((T20-U20)/(T20+U20))*100)</f>
        <v>8.8692505882173442</v>
      </c>
      <c r="Y20" s="75" t="str">
        <f>IF(S21="","",IF(X20&lt;15,IF(V20&gt;1690,IF(V20&lt;2125,"Pass","Fail"),"Fail"),"Fail"))</f>
        <v>Pass</v>
      </c>
      <c r="Z20" s="157">
        <v>102</v>
      </c>
      <c r="AA20" s="186"/>
      <c r="AC20" s="132">
        <v>1600</v>
      </c>
      <c r="AD20" s="132">
        <v>2600</v>
      </c>
      <c r="AE20" s="158">
        <v>1690</v>
      </c>
      <c r="AF20" s="158">
        <v>2125</v>
      </c>
      <c r="AG20" s="154">
        <v>15</v>
      </c>
      <c r="AH20" s="154">
        <v>15</v>
      </c>
    </row>
    <row r="21" spans="1:34" ht="15.75">
      <c r="A21"/>
      <c r="B21" s="64" t="s">
        <v>78</v>
      </c>
      <c r="C21" s="49">
        <v>4502.46</v>
      </c>
      <c r="D21" s="49">
        <v>4433.38</v>
      </c>
      <c r="E21" s="49">
        <v>4394.79</v>
      </c>
      <c r="F21" s="49">
        <v>4373.9799999999996</v>
      </c>
      <c r="G21" s="49">
        <v>4362.5</v>
      </c>
      <c r="H21" s="49">
        <v>4360.68</v>
      </c>
      <c r="I21" s="49">
        <v>4371.99</v>
      </c>
      <c r="J21" s="49">
        <v>4402.55</v>
      </c>
      <c r="K21" s="49">
        <v>4474.9799999999996</v>
      </c>
      <c r="L21" s="49">
        <v>4505.58</v>
      </c>
      <c r="M21" s="49">
        <v>4423.1000000000004</v>
      </c>
      <c r="N21" s="49">
        <v>4385.42</v>
      </c>
      <c r="O21" s="49">
        <v>4298.01</v>
      </c>
      <c r="P21" s="49">
        <v>4361.0600000000004</v>
      </c>
      <c r="Q21" s="49">
        <v>4354.3500000000004</v>
      </c>
      <c r="R21" s="49">
        <v>4389.2299999999996</v>
      </c>
      <c r="S21" s="49">
        <v>4499.95</v>
      </c>
      <c r="T21" s="160"/>
      <c r="U21" s="161"/>
      <c r="V21" s="161"/>
      <c r="W21" s="156"/>
      <c r="X21" s="288"/>
      <c r="Y21" s="161"/>
      <c r="Z21" s="157"/>
      <c r="AA21" s="186"/>
      <c r="AB21" s="186"/>
    </row>
    <row r="22" spans="1:34" ht="60.75" thickBot="1">
      <c r="A22"/>
      <c r="B22" s="77" t="s">
        <v>79</v>
      </c>
      <c r="C22" s="162">
        <f t="shared" ref="C22:S22" si="3">IF(((C20="")*AND(C21="")),"",(C20-C21)*2)</f>
        <v>1793.2800000000007</v>
      </c>
      <c r="D22" s="162">
        <f t="shared" si="3"/>
        <v>1814.9400000000005</v>
      </c>
      <c r="E22" s="162">
        <f t="shared" si="3"/>
        <v>1848.4799999999996</v>
      </c>
      <c r="F22" s="162">
        <f t="shared" si="3"/>
        <v>1861.1000000000004</v>
      </c>
      <c r="G22" s="162">
        <f t="shared" si="3"/>
        <v>1878.9400000000005</v>
      </c>
      <c r="H22" s="162">
        <f t="shared" si="3"/>
        <v>1915.8999999999996</v>
      </c>
      <c r="I22" s="162">
        <f t="shared" si="3"/>
        <v>1946.92</v>
      </c>
      <c r="J22" s="162">
        <f t="shared" si="3"/>
        <v>1987.6399999999994</v>
      </c>
      <c r="K22" s="162">
        <f t="shared" si="3"/>
        <v>2006</v>
      </c>
      <c r="L22" s="162">
        <f t="shared" si="3"/>
        <v>1878.5</v>
      </c>
      <c r="M22" s="162">
        <f t="shared" si="3"/>
        <v>1903.2199999999993</v>
      </c>
      <c r="N22" s="162">
        <f t="shared" si="3"/>
        <v>1908.8600000000006</v>
      </c>
      <c r="O22" s="162">
        <f t="shared" si="3"/>
        <v>2142.34</v>
      </c>
      <c r="P22" s="162">
        <f t="shared" si="3"/>
        <v>1886.9599999999991</v>
      </c>
      <c r="Q22" s="162">
        <f t="shared" si="3"/>
        <v>1936.3799999999992</v>
      </c>
      <c r="R22" s="162">
        <f t="shared" si="3"/>
        <v>1909.1600000000017</v>
      </c>
      <c r="S22" s="163">
        <f t="shared" si="3"/>
        <v>1921.8999999999996</v>
      </c>
      <c r="T22" s="164"/>
      <c r="U22" s="162"/>
      <c r="V22" s="162"/>
      <c r="W22" s="165"/>
      <c r="X22" s="289"/>
      <c r="Y22" s="162"/>
      <c r="Z22" s="166"/>
      <c r="AA22" s="186"/>
      <c r="AB22" s="186"/>
    </row>
    <row r="23" spans="1:34">
      <c r="A23" s="278">
        <v>43118</v>
      </c>
      <c r="B23" s="64" t="s">
        <v>77</v>
      </c>
      <c r="C23" s="49">
        <v>5519.99</v>
      </c>
      <c r="D23" s="49">
        <v>5483.44</v>
      </c>
      <c r="E23" s="49">
        <v>5468.45</v>
      </c>
      <c r="F23" s="49">
        <v>5455.37</v>
      </c>
      <c r="G23" s="49">
        <v>5459.5</v>
      </c>
      <c r="H23" s="49">
        <v>5471.22</v>
      </c>
      <c r="I23" s="49">
        <v>5487.06</v>
      </c>
      <c r="J23" s="49">
        <v>5524.44</v>
      </c>
      <c r="K23" s="49">
        <v>5574.94</v>
      </c>
      <c r="L23" s="49">
        <v>5540.07</v>
      </c>
      <c r="M23" s="49">
        <v>5499.49</v>
      </c>
      <c r="N23" s="49">
        <v>5477.98</v>
      </c>
      <c r="O23" s="49">
        <v>5388.01</v>
      </c>
      <c r="P23" s="49">
        <v>5466.53</v>
      </c>
      <c r="Q23" s="49">
        <v>5521.66</v>
      </c>
      <c r="R23" s="49">
        <v>5490.03</v>
      </c>
      <c r="S23" s="49">
        <v>5530.84</v>
      </c>
      <c r="T23" s="155">
        <f>IF((S24=""),"",MAX(C25:S25))</f>
        <v>1998.9799999999996</v>
      </c>
      <c r="U23" s="64">
        <f>IF(S24="","",MIN(C25:S25))</f>
        <v>1638.92</v>
      </c>
      <c r="V23" s="70">
        <f>IF((S25=""),"",AVERAGE(C25:S25))</f>
        <v>1887.1247058823526</v>
      </c>
      <c r="W23" s="156">
        <f>STDEV(C25:S25)</f>
        <v>81.563467474538541</v>
      </c>
      <c r="X23" s="98">
        <f>IF((S24=""),"",((T23-U23)/(T23+U23))*100)</f>
        <v>9.8974683196349424</v>
      </c>
      <c r="Y23" s="75" t="str">
        <f>IF(S24="","",IF(X23&lt;15,IF(V23&gt;1690,IF(V23&lt;2125,"Pass","Fail"),"Fail"),"Fail"))</f>
        <v>Pass</v>
      </c>
      <c r="Z23" s="157">
        <v>1428</v>
      </c>
      <c r="AA23" s="186" t="s">
        <v>112</v>
      </c>
      <c r="AC23" s="132">
        <v>1600</v>
      </c>
      <c r="AD23" s="132">
        <v>2600</v>
      </c>
      <c r="AE23" s="158">
        <v>1690</v>
      </c>
      <c r="AF23" s="158">
        <v>2125</v>
      </c>
      <c r="AG23" s="154">
        <v>15</v>
      </c>
      <c r="AH23" s="154">
        <v>15</v>
      </c>
    </row>
    <row r="24" spans="1:34" ht="15.75">
      <c r="A24"/>
      <c r="B24" s="64" t="s">
        <v>78</v>
      </c>
      <c r="C24" s="49">
        <v>4615.45</v>
      </c>
      <c r="D24" s="49">
        <v>4560.46</v>
      </c>
      <c r="E24" s="49">
        <v>4550.2700000000004</v>
      </c>
      <c r="F24" s="49">
        <v>4532.43</v>
      </c>
      <c r="G24" s="49">
        <v>4525.6400000000003</v>
      </c>
      <c r="H24" s="49">
        <v>4520.3100000000004</v>
      </c>
      <c r="I24" s="49">
        <v>4512.26</v>
      </c>
      <c r="J24" s="49">
        <v>4534.34</v>
      </c>
      <c r="K24" s="49">
        <v>4575.45</v>
      </c>
      <c r="L24" s="49">
        <v>4583</v>
      </c>
      <c r="M24" s="49">
        <v>4542.43</v>
      </c>
      <c r="N24" s="49">
        <v>4528.4799999999996</v>
      </c>
      <c r="O24" s="49">
        <v>4568.55</v>
      </c>
      <c r="P24" s="49">
        <v>4520.96</v>
      </c>
      <c r="Q24" s="49">
        <v>4558.37</v>
      </c>
      <c r="R24" s="49">
        <v>4520.87</v>
      </c>
      <c r="S24" s="49">
        <v>4569.1899999999996</v>
      </c>
      <c r="T24" s="160"/>
      <c r="U24" s="161"/>
      <c r="V24" s="161"/>
      <c r="W24" s="156"/>
      <c r="X24" s="288"/>
      <c r="Y24" s="161"/>
      <c r="Z24" s="157"/>
      <c r="AA24" s="301"/>
      <c r="AB24" s="186"/>
    </row>
    <row r="25" spans="1:34" ht="60.75" thickBot="1">
      <c r="A25"/>
      <c r="B25" s="77" t="s">
        <v>79</v>
      </c>
      <c r="C25" s="162">
        <f t="shared" ref="C25:S25" si="4">IF(((C23="")*AND(C24="")),"",(C23-C24)*2)</f>
        <v>1809.08</v>
      </c>
      <c r="D25" s="162">
        <f t="shared" si="4"/>
        <v>1845.9599999999991</v>
      </c>
      <c r="E25" s="162">
        <f t="shared" si="4"/>
        <v>1836.3599999999988</v>
      </c>
      <c r="F25" s="162">
        <f t="shared" si="4"/>
        <v>1845.8799999999992</v>
      </c>
      <c r="G25" s="162">
        <f t="shared" si="4"/>
        <v>1867.7199999999993</v>
      </c>
      <c r="H25" s="162">
        <f t="shared" si="4"/>
        <v>1901.8199999999997</v>
      </c>
      <c r="I25" s="162">
        <f t="shared" si="4"/>
        <v>1949.6000000000004</v>
      </c>
      <c r="J25" s="162">
        <f t="shared" si="4"/>
        <v>1980.1999999999989</v>
      </c>
      <c r="K25" s="162">
        <f t="shared" si="4"/>
        <v>1998.9799999999996</v>
      </c>
      <c r="L25" s="162">
        <f t="shared" si="4"/>
        <v>1914.1399999999994</v>
      </c>
      <c r="M25" s="162">
        <f t="shared" si="4"/>
        <v>1914.119999999999</v>
      </c>
      <c r="N25" s="162">
        <f t="shared" si="4"/>
        <v>1899</v>
      </c>
      <c r="O25" s="162">
        <f t="shared" si="4"/>
        <v>1638.92</v>
      </c>
      <c r="P25" s="162">
        <f t="shared" si="4"/>
        <v>1891.1399999999994</v>
      </c>
      <c r="Q25" s="162">
        <f t="shared" si="4"/>
        <v>1926.58</v>
      </c>
      <c r="R25" s="162">
        <f t="shared" si="4"/>
        <v>1938.3199999999997</v>
      </c>
      <c r="S25" s="163">
        <f t="shared" si="4"/>
        <v>1923.3000000000011</v>
      </c>
      <c r="T25" s="164"/>
      <c r="U25" s="162"/>
      <c r="V25" s="162"/>
      <c r="W25" s="165"/>
      <c r="X25" s="289"/>
      <c r="Y25" s="162"/>
      <c r="Z25" s="166"/>
      <c r="AA25" s="301"/>
      <c r="AB25" s="186"/>
    </row>
    <row r="26" spans="1:34">
      <c r="A26" s="278">
        <v>43122</v>
      </c>
      <c r="B26" s="64" t="s">
        <v>77</v>
      </c>
      <c r="C26" s="49">
        <v>5482.14</v>
      </c>
      <c r="D26" s="49">
        <v>5439.37</v>
      </c>
      <c r="E26" s="49">
        <v>5423.06</v>
      </c>
      <c r="F26" s="49">
        <v>5402.54</v>
      </c>
      <c r="G26" s="49">
        <v>5397.38</v>
      </c>
      <c r="H26" s="49">
        <v>5409.78</v>
      </c>
      <c r="I26" s="49">
        <v>5434.03</v>
      </c>
      <c r="J26" s="49">
        <v>5478.77</v>
      </c>
      <c r="K26" s="49">
        <v>5534.68</v>
      </c>
      <c r="L26" s="49">
        <v>5595.78</v>
      </c>
      <c r="M26" s="49">
        <v>5456.39</v>
      </c>
      <c r="N26" s="49">
        <v>5419.89</v>
      </c>
      <c r="O26" s="49">
        <v>5475.31</v>
      </c>
      <c r="P26" s="49">
        <v>5415.47</v>
      </c>
      <c r="Q26" s="49">
        <v>5473.42</v>
      </c>
      <c r="R26" s="49">
        <v>5429.67</v>
      </c>
      <c r="S26" s="49">
        <v>5499.33</v>
      </c>
      <c r="T26" s="155">
        <f>IF((S27=""),"",MAX(C28:S28))</f>
        <v>2088.2199999999993</v>
      </c>
      <c r="U26" s="64">
        <f>IF(S27="","",MIN(C28:S28))</f>
        <v>1786.9400000000005</v>
      </c>
      <c r="V26" s="70">
        <f>IF((S28=""),"",AVERAGE(C28:S28))</f>
        <v>1923.2411764705885</v>
      </c>
      <c r="W26" s="156">
        <f>STDEV(C28:S28)</f>
        <v>84.216141110414171</v>
      </c>
      <c r="X26" s="98">
        <f>IF((S27=""),"",((T26-U26)/(T26+U26))*100)</f>
        <v>7.774646724264259</v>
      </c>
      <c r="Y26" s="75" t="str">
        <f>IF(S27="","",IF(X26&lt;15,IF(V26&gt;1690,IF(V26&lt;2125,"Pass","Fail"),"Fail"),"Fail"))</f>
        <v>Pass</v>
      </c>
      <c r="Z26" s="157">
        <v>1428</v>
      </c>
      <c r="AA26" s="186" t="s">
        <v>82</v>
      </c>
      <c r="AC26" s="132">
        <v>1600</v>
      </c>
      <c r="AD26" s="132">
        <v>2600</v>
      </c>
      <c r="AE26" s="158">
        <v>1690</v>
      </c>
      <c r="AF26" s="158">
        <v>2125</v>
      </c>
      <c r="AG26" s="154">
        <v>15</v>
      </c>
      <c r="AH26" s="154">
        <v>15</v>
      </c>
    </row>
    <row r="27" spans="1:34" ht="15.75">
      <c r="A27"/>
      <c r="B27" s="64" t="s">
        <v>78</v>
      </c>
      <c r="C27" s="49">
        <v>4588.67</v>
      </c>
      <c r="D27" s="49">
        <v>4529.9799999999996</v>
      </c>
      <c r="E27" s="49">
        <v>4491.97</v>
      </c>
      <c r="F27" s="49">
        <v>4468.1000000000004</v>
      </c>
      <c r="G27" s="49">
        <v>4465.83</v>
      </c>
      <c r="H27" s="49">
        <v>4449.5200000000004</v>
      </c>
      <c r="I27" s="49">
        <v>4441.5</v>
      </c>
      <c r="J27" s="49">
        <v>4470.38</v>
      </c>
      <c r="K27" s="49">
        <v>4517.58</v>
      </c>
      <c r="L27" s="49">
        <v>4551.67</v>
      </c>
      <c r="M27" s="49">
        <v>4500.3100000000004</v>
      </c>
      <c r="N27" s="49">
        <v>4480.01</v>
      </c>
      <c r="O27" s="49">
        <v>4526.29</v>
      </c>
      <c r="P27" s="49">
        <v>4450.6099999999997</v>
      </c>
      <c r="Q27" s="49">
        <v>4451.03</v>
      </c>
      <c r="R27" s="49">
        <v>4466.2700000000004</v>
      </c>
      <c r="S27" s="49">
        <v>4569.74</v>
      </c>
      <c r="T27" s="160"/>
      <c r="U27" s="161"/>
      <c r="V27" s="161"/>
      <c r="W27" s="156"/>
      <c r="X27" s="288"/>
      <c r="Y27" s="161"/>
      <c r="Z27" s="157"/>
      <c r="AA27" s="301"/>
      <c r="AB27" s="186"/>
    </row>
    <row r="28" spans="1:34" ht="60.75" thickBot="1">
      <c r="A28"/>
      <c r="B28" s="77" t="s">
        <v>79</v>
      </c>
      <c r="C28" s="162">
        <f t="shared" ref="C28:S28" si="5">IF(((C26="")*AND(C27="")),"",(C26-C27)*2)</f>
        <v>1786.9400000000005</v>
      </c>
      <c r="D28" s="162">
        <f t="shared" si="5"/>
        <v>1818.7800000000007</v>
      </c>
      <c r="E28" s="162">
        <f t="shared" si="5"/>
        <v>1862.1800000000003</v>
      </c>
      <c r="F28" s="162">
        <f t="shared" si="5"/>
        <v>1868.8799999999992</v>
      </c>
      <c r="G28" s="162">
        <f t="shared" si="5"/>
        <v>1863.1000000000004</v>
      </c>
      <c r="H28" s="162">
        <f t="shared" si="5"/>
        <v>1920.5199999999986</v>
      </c>
      <c r="I28" s="162">
        <f t="shared" si="5"/>
        <v>1985.0599999999995</v>
      </c>
      <c r="J28" s="162">
        <f t="shared" si="5"/>
        <v>2016.7800000000007</v>
      </c>
      <c r="K28" s="162">
        <f t="shared" si="5"/>
        <v>2034.2000000000007</v>
      </c>
      <c r="L28" s="162">
        <f t="shared" si="5"/>
        <v>2088.2199999999993</v>
      </c>
      <c r="M28" s="162">
        <f t="shared" si="5"/>
        <v>1912.1599999999999</v>
      </c>
      <c r="N28" s="162">
        <f t="shared" si="5"/>
        <v>1879.7600000000002</v>
      </c>
      <c r="O28" s="162">
        <f t="shared" si="5"/>
        <v>1898.0400000000009</v>
      </c>
      <c r="P28" s="162">
        <f t="shared" si="5"/>
        <v>1929.7200000000012</v>
      </c>
      <c r="Q28" s="162">
        <f t="shared" si="5"/>
        <v>2044.7800000000007</v>
      </c>
      <c r="R28" s="162">
        <f t="shared" si="5"/>
        <v>1926.7999999999993</v>
      </c>
      <c r="S28" s="163">
        <f t="shared" si="5"/>
        <v>1859.1800000000003</v>
      </c>
      <c r="T28" s="164"/>
      <c r="U28" s="162"/>
      <c r="V28" s="162"/>
      <c r="W28" s="165"/>
      <c r="X28" s="289"/>
      <c r="Y28" s="162"/>
      <c r="Z28" s="166"/>
      <c r="AA28" s="301"/>
      <c r="AB28" s="186"/>
    </row>
    <row r="29" spans="1:34">
      <c r="A29" s="278">
        <v>43125</v>
      </c>
      <c r="B29" s="64" t="s">
        <v>77</v>
      </c>
      <c r="C29" s="49">
        <v>5425.32</v>
      </c>
      <c r="D29" s="49">
        <v>5400.64</v>
      </c>
      <c r="E29" s="49">
        <v>5361.39</v>
      </c>
      <c r="F29" s="49">
        <v>5345.82</v>
      </c>
      <c r="G29" s="49">
        <v>5351.45</v>
      </c>
      <c r="H29" s="49">
        <v>5368.23</v>
      </c>
      <c r="I29" s="49">
        <v>5401.34</v>
      </c>
      <c r="J29" s="49">
        <v>5441.46</v>
      </c>
      <c r="K29" s="49">
        <v>5507.89</v>
      </c>
      <c r="L29" s="49">
        <v>5481.06</v>
      </c>
      <c r="M29" s="49">
        <v>5424.1</v>
      </c>
      <c r="N29" s="49">
        <v>5387.4</v>
      </c>
      <c r="O29" s="49">
        <v>5420.81</v>
      </c>
      <c r="P29" s="49">
        <v>5357.27</v>
      </c>
      <c r="Q29" s="49">
        <v>5368.07</v>
      </c>
      <c r="R29" s="49">
        <v>5387.27</v>
      </c>
      <c r="S29" s="49">
        <v>5486.24</v>
      </c>
      <c r="T29" s="155">
        <f>IF((S30=""),"",MAX(C31:S31))</f>
        <v>1969.7600000000002</v>
      </c>
      <c r="U29" s="64">
        <f>IF(S30="","",MIN(C31:S31))</f>
        <v>1801.58</v>
      </c>
      <c r="V29" s="70">
        <f>IF((S31=""),"",AVERAGE(C31:S31))</f>
        <v>1876.5505882352941</v>
      </c>
      <c r="W29" s="156">
        <f>STDEV(C31:S31)</f>
        <v>46.034245468812593</v>
      </c>
      <c r="X29" s="98">
        <f>IF((S30=""),"",((T29-U29)/(T29+U29))*100)</f>
        <v>4.4594229106895771</v>
      </c>
      <c r="Y29" s="75" t="str">
        <f>IF(S30="","",IF(X29&lt;15,IF(V29&gt;1690,IF(V29&lt;2125,"Pass","Fail"),"Fail"),"Fail"))</f>
        <v>Pass</v>
      </c>
      <c r="Z29" s="157">
        <v>1428</v>
      </c>
      <c r="AA29" s="301"/>
      <c r="AC29" s="132">
        <v>1600</v>
      </c>
      <c r="AD29" s="132">
        <v>2600</v>
      </c>
      <c r="AE29" s="158">
        <v>1690</v>
      </c>
      <c r="AF29" s="158">
        <v>2125</v>
      </c>
      <c r="AG29" s="154">
        <v>15</v>
      </c>
      <c r="AH29" s="154">
        <v>15</v>
      </c>
    </row>
    <row r="30" spans="1:34" ht="15.75">
      <c r="A30"/>
      <c r="B30" s="64" t="s">
        <v>78</v>
      </c>
      <c r="C30" s="49">
        <v>4524.53</v>
      </c>
      <c r="D30" s="49">
        <v>4471.88</v>
      </c>
      <c r="E30" s="49">
        <v>4459.47</v>
      </c>
      <c r="F30" s="49">
        <v>4435.63</v>
      </c>
      <c r="G30" s="49">
        <v>4432.62</v>
      </c>
      <c r="H30" s="49">
        <v>4423.9399999999996</v>
      </c>
      <c r="I30" s="49">
        <v>4434.8900000000003</v>
      </c>
      <c r="J30" s="49">
        <v>4468.67</v>
      </c>
      <c r="K30" s="49">
        <v>4523.01</v>
      </c>
      <c r="L30" s="49">
        <v>4541.3100000000004</v>
      </c>
      <c r="M30" s="49">
        <v>4474.92</v>
      </c>
      <c r="N30" s="49">
        <v>4445.91</v>
      </c>
      <c r="O30" s="49">
        <v>4489.8599999999997</v>
      </c>
      <c r="P30" s="49">
        <v>4419.08</v>
      </c>
      <c r="Q30" s="49">
        <v>4422.25</v>
      </c>
      <c r="R30" s="49">
        <v>4454.41</v>
      </c>
      <c r="S30" s="49">
        <v>4542.7</v>
      </c>
      <c r="T30" s="160"/>
      <c r="U30" s="161"/>
      <c r="V30" s="161"/>
      <c r="W30" s="156"/>
      <c r="X30" s="288"/>
      <c r="Y30" s="161"/>
      <c r="Z30" s="157"/>
      <c r="AA30" s="301"/>
      <c r="AB30" s="186"/>
    </row>
    <row r="31" spans="1:34" ht="60.75" thickBot="1">
      <c r="A31"/>
      <c r="B31" s="77" t="s">
        <v>79</v>
      </c>
      <c r="C31" s="162">
        <f t="shared" ref="C31:S31" si="6">IF(((C29="")*AND(C30="")),"",(C29-C30)*2)</f>
        <v>1801.58</v>
      </c>
      <c r="D31" s="162">
        <f t="shared" si="6"/>
        <v>1857.5200000000004</v>
      </c>
      <c r="E31" s="162">
        <f t="shared" si="6"/>
        <v>1803.8400000000001</v>
      </c>
      <c r="F31" s="162">
        <f t="shared" si="6"/>
        <v>1820.3799999999992</v>
      </c>
      <c r="G31" s="162">
        <f t="shared" si="6"/>
        <v>1837.6599999999999</v>
      </c>
      <c r="H31" s="162">
        <f t="shared" si="6"/>
        <v>1888.58</v>
      </c>
      <c r="I31" s="162">
        <f t="shared" si="6"/>
        <v>1932.8999999999996</v>
      </c>
      <c r="J31" s="162">
        <f t="shared" si="6"/>
        <v>1945.58</v>
      </c>
      <c r="K31" s="162">
        <f t="shared" si="6"/>
        <v>1969.7600000000002</v>
      </c>
      <c r="L31" s="162">
        <f t="shared" si="6"/>
        <v>1879.5</v>
      </c>
      <c r="M31" s="162">
        <f t="shared" si="6"/>
        <v>1898.3600000000006</v>
      </c>
      <c r="N31" s="162">
        <f t="shared" si="6"/>
        <v>1882.9799999999996</v>
      </c>
      <c r="O31" s="162">
        <f t="shared" si="6"/>
        <v>1861.9000000000015</v>
      </c>
      <c r="P31" s="162">
        <f t="shared" si="6"/>
        <v>1876.380000000001</v>
      </c>
      <c r="Q31" s="162">
        <f t="shared" si="6"/>
        <v>1891.6399999999994</v>
      </c>
      <c r="R31" s="162">
        <f t="shared" si="6"/>
        <v>1865.7200000000012</v>
      </c>
      <c r="S31" s="163">
        <f t="shared" si="6"/>
        <v>1887.08</v>
      </c>
      <c r="T31" s="164"/>
      <c r="U31" s="162"/>
      <c r="V31" s="162"/>
      <c r="W31" s="165"/>
      <c r="X31" s="289"/>
      <c r="Y31" s="162"/>
      <c r="Z31" s="166"/>
      <c r="AA31" s="301"/>
      <c r="AB31" s="186"/>
    </row>
    <row r="32" spans="1:34">
      <c r="A32" s="279">
        <v>43129</v>
      </c>
      <c r="B32" s="64" t="s">
        <v>77</v>
      </c>
      <c r="C32" s="49">
        <v>2025.61</v>
      </c>
      <c r="D32" s="49">
        <v>2015</v>
      </c>
      <c r="E32" s="49">
        <v>2012.28</v>
      </c>
      <c r="F32" s="49">
        <v>2010.87</v>
      </c>
      <c r="G32" s="49">
        <v>2006.78</v>
      </c>
      <c r="H32" s="49">
        <v>2008.55</v>
      </c>
      <c r="I32" s="49">
        <v>2009.18</v>
      </c>
      <c r="J32" s="49">
        <v>2011.73</v>
      </c>
      <c r="K32" s="49">
        <v>2024.79</v>
      </c>
      <c r="L32" s="49">
        <v>2081.7600000000002</v>
      </c>
      <c r="M32" s="49">
        <v>2008.79</v>
      </c>
      <c r="N32" s="49">
        <v>2008.63</v>
      </c>
      <c r="O32" s="49">
        <v>2066.35</v>
      </c>
      <c r="P32" s="49">
        <v>2026.22</v>
      </c>
      <c r="Q32" s="49">
        <v>2067.56</v>
      </c>
      <c r="R32" s="49">
        <v>2010.48</v>
      </c>
      <c r="S32" s="49">
        <v>2021.67</v>
      </c>
      <c r="T32" s="155">
        <f>IF((S33=""),"",MAX(C34:S34))</f>
        <v>2317.8999999999996</v>
      </c>
      <c r="U32" s="64">
        <f>IF(S33="","",MIN(C34:S34))</f>
        <v>1804.48</v>
      </c>
      <c r="V32" s="70">
        <f>IF((S34=""),"",AVERAGE(C34:S34))</f>
        <v>1941.0094117647056</v>
      </c>
      <c r="W32" s="156">
        <f>STDEV(C34:S34)</f>
        <v>119.02087739503203</v>
      </c>
      <c r="X32" s="98">
        <f>IF((S33=""),"",((T32-U32)/(T32+U32))*100)</f>
        <v>12.454455921094118</v>
      </c>
      <c r="Y32" s="75" t="str">
        <f>IF(S33="","",IF(X32&lt;15,IF(V32&gt;1690,IF(V32&lt;2125,"Pass","Fail"),"Fail"),"Fail"))</f>
        <v>Pass</v>
      </c>
      <c r="Z32" s="157" t="s">
        <v>83</v>
      </c>
      <c r="AA32" s="301"/>
      <c r="AB32" s="395" t="s">
        <v>113</v>
      </c>
      <c r="AC32" s="132">
        <v>1600</v>
      </c>
      <c r="AD32" s="132">
        <v>2600</v>
      </c>
      <c r="AE32" s="158">
        <v>1690</v>
      </c>
      <c r="AF32" s="158">
        <v>2125</v>
      </c>
      <c r="AG32" s="154">
        <v>15</v>
      </c>
      <c r="AH32" s="154">
        <v>15</v>
      </c>
    </row>
    <row r="33" spans="1:34" ht="15.75">
      <c r="A33"/>
      <c r="B33" s="64" t="s">
        <v>78</v>
      </c>
      <c r="C33" s="49">
        <v>1123.3699999999999</v>
      </c>
      <c r="D33" s="49">
        <v>1105.2</v>
      </c>
      <c r="E33" s="49">
        <v>1093.1300000000001</v>
      </c>
      <c r="F33" s="49">
        <v>1083.07</v>
      </c>
      <c r="G33" s="49">
        <v>1067.54</v>
      </c>
      <c r="H33" s="49">
        <v>1047.1300000000001</v>
      </c>
      <c r="I33" s="49">
        <v>1027.81</v>
      </c>
      <c r="J33" s="49">
        <v>1012.29</v>
      </c>
      <c r="K33" s="49">
        <v>1004.39</v>
      </c>
      <c r="L33" s="49">
        <v>1111.6099999999999</v>
      </c>
      <c r="M33" s="49">
        <v>1059.45</v>
      </c>
      <c r="N33" s="49">
        <v>1062.01</v>
      </c>
      <c r="O33" s="49">
        <v>907.4</v>
      </c>
      <c r="P33" s="49">
        <v>1078.3399999999999</v>
      </c>
      <c r="Q33" s="49">
        <v>1050.69</v>
      </c>
      <c r="R33" s="49">
        <v>1044.81</v>
      </c>
      <c r="S33" s="49">
        <v>1039.43</v>
      </c>
      <c r="T33" s="160"/>
      <c r="U33" s="161"/>
      <c r="V33" s="161"/>
      <c r="W33" s="156"/>
      <c r="X33" s="288"/>
      <c r="Y33" s="161"/>
      <c r="Z33" s="167"/>
      <c r="AA33" s="302"/>
      <c r="AB33" s="186"/>
    </row>
    <row r="34" spans="1:34" ht="60.75" thickBot="1">
      <c r="A34"/>
      <c r="B34" s="77" t="s">
        <v>79</v>
      </c>
      <c r="C34" s="162">
        <f t="shared" ref="C34:S34" si="7">IF(((C32="")*AND(C33="")),"",(C32-C33)*2)</f>
        <v>1804.48</v>
      </c>
      <c r="D34" s="162">
        <f t="shared" si="7"/>
        <v>1819.6</v>
      </c>
      <c r="E34" s="162">
        <f t="shared" si="7"/>
        <v>1838.2999999999997</v>
      </c>
      <c r="F34" s="162">
        <f t="shared" si="7"/>
        <v>1855.6</v>
      </c>
      <c r="G34" s="162">
        <f t="shared" si="7"/>
        <v>1878.48</v>
      </c>
      <c r="H34" s="162">
        <f t="shared" si="7"/>
        <v>1922.8399999999997</v>
      </c>
      <c r="I34" s="162">
        <f t="shared" si="7"/>
        <v>1962.7400000000002</v>
      </c>
      <c r="J34" s="162">
        <f t="shared" si="7"/>
        <v>1998.88</v>
      </c>
      <c r="K34" s="162">
        <f t="shared" si="7"/>
        <v>2040.8</v>
      </c>
      <c r="L34" s="162">
        <f t="shared" si="7"/>
        <v>1940.3000000000006</v>
      </c>
      <c r="M34" s="162">
        <f t="shared" si="7"/>
        <v>1898.6799999999998</v>
      </c>
      <c r="N34" s="162">
        <f t="shared" si="7"/>
        <v>1893.2400000000002</v>
      </c>
      <c r="O34" s="162">
        <f t="shared" si="7"/>
        <v>2317.8999999999996</v>
      </c>
      <c r="P34" s="162">
        <f t="shared" si="7"/>
        <v>1895.7600000000002</v>
      </c>
      <c r="Q34" s="162">
        <f t="shared" si="7"/>
        <v>2033.7399999999998</v>
      </c>
      <c r="R34" s="162">
        <f t="shared" si="7"/>
        <v>1931.3400000000001</v>
      </c>
      <c r="S34" s="163">
        <f t="shared" si="7"/>
        <v>1964.48</v>
      </c>
      <c r="T34" s="164"/>
      <c r="U34" s="162"/>
      <c r="V34" s="162"/>
      <c r="W34" s="165"/>
      <c r="X34" s="289"/>
      <c r="Y34" s="162"/>
      <c r="Z34" s="168"/>
      <c r="AA34" s="302"/>
      <c r="AB34" s="186"/>
    </row>
    <row r="35" spans="1:34">
      <c r="A35" s="279">
        <v>43132</v>
      </c>
      <c r="B35" s="64" t="s">
        <v>77</v>
      </c>
      <c r="C35" s="49">
        <v>3644.67</v>
      </c>
      <c r="D35" s="49">
        <v>3615.17</v>
      </c>
      <c r="E35" s="49">
        <v>3604.44</v>
      </c>
      <c r="F35" s="49">
        <v>3613.46</v>
      </c>
      <c r="G35" s="49">
        <v>3614.2</v>
      </c>
      <c r="H35" s="49">
        <v>3589.96</v>
      </c>
      <c r="I35" s="49">
        <v>3581.58</v>
      </c>
      <c r="J35" s="49">
        <v>3583.81</v>
      </c>
      <c r="K35" s="49">
        <v>3621.81</v>
      </c>
      <c r="L35" s="49">
        <v>3648.96</v>
      </c>
      <c r="M35" s="49">
        <v>3614.91</v>
      </c>
      <c r="N35" s="49">
        <v>3607.25</v>
      </c>
      <c r="O35" s="49">
        <v>3679.74</v>
      </c>
      <c r="P35" s="49">
        <v>3601.11</v>
      </c>
      <c r="Q35" s="49">
        <v>3635.1</v>
      </c>
      <c r="R35" s="49">
        <v>3571.05</v>
      </c>
      <c r="S35" s="49">
        <v>3591.94</v>
      </c>
      <c r="T35" s="155">
        <f>IF((S36=""),"",MAX(C37:S37))</f>
        <v>1735.3999999999996</v>
      </c>
      <c r="U35" s="64">
        <f>IF(S36="","",MIN(C37:S37))</f>
        <v>1345.5600000000004</v>
      </c>
      <c r="V35" s="70">
        <f>IF((S37=""),"",AVERAGE(C37:S37))</f>
        <v>1560.9117647058824</v>
      </c>
      <c r="W35" s="156">
        <f>STDEV(C37:S37)</f>
        <v>107.58806394271302</v>
      </c>
      <c r="X35" s="98">
        <f>IF((S36=""),"",((T35-U35)/(T35+U35))*100)</f>
        <v>12.653199002908158</v>
      </c>
      <c r="Y35" s="75" t="str">
        <f>IF(S36="","",IF(X35&lt;15,IF(V35&gt;1690,IF(V35&lt;2125,"Pass","Fail"),"Fail"),"Fail"))</f>
        <v>Fail</v>
      </c>
      <c r="Z35" s="157">
        <v>1335</v>
      </c>
      <c r="AA35" s="301"/>
      <c r="AB35" s="395" t="s">
        <v>114</v>
      </c>
      <c r="AC35" s="132">
        <v>1600</v>
      </c>
      <c r="AD35" s="132">
        <v>2600</v>
      </c>
      <c r="AE35" s="158">
        <v>1690</v>
      </c>
      <c r="AF35" s="158">
        <v>2125</v>
      </c>
      <c r="AG35" s="154">
        <v>15</v>
      </c>
      <c r="AH35" s="154">
        <v>15</v>
      </c>
    </row>
    <row r="36" spans="1:34" ht="15.75">
      <c r="A36"/>
      <c r="B36" s="64" t="s">
        <v>78</v>
      </c>
      <c r="C36" s="49">
        <v>2923.92</v>
      </c>
      <c r="D36" s="49">
        <v>2885.82</v>
      </c>
      <c r="E36" s="49">
        <v>2862.55</v>
      </c>
      <c r="F36" s="49">
        <v>2872.58</v>
      </c>
      <c r="G36" s="49">
        <v>2867.6</v>
      </c>
      <c r="H36" s="49">
        <v>2794.53</v>
      </c>
      <c r="I36" s="49">
        <v>2752.06</v>
      </c>
      <c r="J36" s="49">
        <v>2737.64</v>
      </c>
      <c r="K36" s="49">
        <v>2754.11</v>
      </c>
      <c r="L36" s="49">
        <v>2976.18</v>
      </c>
      <c r="M36" s="49">
        <v>2835.09</v>
      </c>
      <c r="N36" s="49">
        <v>2829.41</v>
      </c>
      <c r="O36" s="49">
        <v>2931.22</v>
      </c>
      <c r="P36" s="49">
        <v>2814.37</v>
      </c>
      <c r="Q36" s="49">
        <v>2772.25</v>
      </c>
      <c r="R36" s="49">
        <v>2768.13</v>
      </c>
      <c r="S36" s="49">
        <v>2773.95</v>
      </c>
      <c r="T36" s="160"/>
      <c r="U36" s="161"/>
      <c r="V36" s="161"/>
      <c r="W36" s="156"/>
      <c r="X36" s="288"/>
      <c r="Y36" s="161"/>
      <c r="Z36" s="157"/>
      <c r="AA36" s="301"/>
      <c r="AB36" s="186"/>
    </row>
    <row r="37" spans="1:34" ht="60.75" thickBot="1">
      <c r="A37"/>
      <c r="B37" s="77" t="s">
        <v>79</v>
      </c>
      <c r="C37" s="162">
        <f t="shared" ref="C37:S37" si="8">IF(((C35="")*AND(C36="")),"",(C35-C36)*2)</f>
        <v>1441.5</v>
      </c>
      <c r="D37" s="162">
        <f t="shared" si="8"/>
        <v>1458.6999999999998</v>
      </c>
      <c r="E37" s="162">
        <f t="shared" si="8"/>
        <v>1483.7799999999997</v>
      </c>
      <c r="F37" s="162">
        <f t="shared" si="8"/>
        <v>1481.7600000000002</v>
      </c>
      <c r="G37" s="162">
        <f t="shared" si="8"/>
        <v>1493.1999999999998</v>
      </c>
      <c r="H37" s="162">
        <f t="shared" si="8"/>
        <v>1590.8599999999997</v>
      </c>
      <c r="I37" s="162">
        <f t="shared" si="8"/>
        <v>1659.04</v>
      </c>
      <c r="J37" s="162">
        <f t="shared" si="8"/>
        <v>1692.3400000000001</v>
      </c>
      <c r="K37" s="162">
        <f t="shared" si="8"/>
        <v>1735.3999999999996</v>
      </c>
      <c r="L37" s="162">
        <f t="shared" si="8"/>
        <v>1345.5600000000004</v>
      </c>
      <c r="M37" s="162">
        <f t="shared" si="8"/>
        <v>1559.6399999999994</v>
      </c>
      <c r="N37" s="162">
        <f t="shared" si="8"/>
        <v>1555.6800000000003</v>
      </c>
      <c r="O37" s="162">
        <f t="shared" si="8"/>
        <v>1497.04</v>
      </c>
      <c r="P37" s="162">
        <f t="shared" si="8"/>
        <v>1573.4800000000005</v>
      </c>
      <c r="Q37" s="162">
        <f t="shared" si="8"/>
        <v>1725.6999999999998</v>
      </c>
      <c r="R37" s="162">
        <f t="shared" si="8"/>
        <v>1605.8400000000001</v>
      </c>
      <c r="S37" s="163">
        <f t="shared" si="8"/>
        <v>1635.9800000000005</v>
      </c>
      <c r="T37" s="164"/>
      <c r="U37" s="162"/>
      <c r="V37" s="162"/>
      <c r="W37" s="165"/>
      <c r="X37" s="289"/>
      <c r="Y37" s="162"/>
      <c r="Z37" s="166"/>
      <c r="AA37" s="301"/>
      <c r="AB37" s="186"/>
    </row>
    <row r="38" spans="1:34">
      <c r="A38" s="279">
        <v>43132</v>
      </c>
      <c r="B38" s="64" t="s">
        <v>77</v>
      </c>
      <c r="C38" s="49">
        <v>2018.48</v>
      </c>
      <c r="D38" s="49">
        <v>2006.64</v>
      </c>
      <c r="E38" s="49">
        <v>2002.66</v>
      </c>
      <c r="F38" s="49">
        <v>1998.4</v>
      </c>
      <c r="G38" s="49">
        <v>1997.23</v>
      </c>
      <c r="H38" s="49">
        <v>1997.87</v>
      </c>
      <c r="I38" s="49">
        <v>1999.98</v>
      </c>
      <c r="J38" s="49">
        <v>2003</v>
      </c>
      <c r="K38" s="49">
        <v>2015.85</v>
      </c>
      <c r="L38" s="49">
        <v>2006.79</v>
      </c>
      <c r="M38" s="49">
        <v>2001.54</v>
      </c>
      <c r="N38" s="49">
        <v>1998.51</v>
      </c>
      <c r="O38" s="49">
        <v>2056.48</v>
      </c>
      <c r="P38" s="49">
        <v>2013.9</v>
      </c>
      <c r="Q38" s="49">
        <v>2001.87</v>
      </c>
      <c r="R38" s="49">
        <v>2003.67</v>
      </c>
      <c r="S38" s="49">
        <v>2082.04</v>
      </c>
      <c r="T38" s="155">
        <f>IF((S39=""),"",MAX(C40:S40))</f>
        <v>2357.8199999999997</v>
      </c>
      <c r="U38" s="64">
        <f>IF(S39="","",MIN(C40:S40))</f>
        <v>1758.6</v>
      </c>
      <c r="V38" s="70">
        <f>IF((S40=""),"",AVERAGE(C40:S40))</f>
        <v>1925.6235294117648</v>
      </c>
      <c r="W38" s="156">
        <f>STDEV(C40:S40)</f>
        <v>160.97592603170139</v>
      </c>
      <c r="X38" s="98">
        <f>IF((S39=""),"",((T38-U38)/(T38+U38))*100)</f>
        <v>14.556823647732733</v>
      </c>
      <c r="Y38" s="75" t="str">
        <f>IF(S39="","",IF(X38&lt;15,IF(V38&gt;1690,IF(V38&lt;2125,"Pass","Fail"),"Fail"),"Fail"))</f>
        <v>Pass</v>
      </c>
      <c r="Z38" s="157">
        <v>102</v>
      </c>
      <c r="AA38" s="301"/>
      <c r="AC38" s="132">
        <v>1600</v>
      </c>
      <c r="AD38" s="132">
        <v>2600</v>
      </c>
      <c r="AE38" s="158">
        <v>1690</v>
      </c>
      <c r="AF38" s="158">
        <v>2125</v>
      </c>
      <c r="AG38" s="154">
        <v>15</v>
      </c>
      <c r="AH38" s="154">
        <v>15</v>
      </c>
    </row>
    <row r="39" spans="1:34" ht="15.75">
      <c r="A39"/>
      <c r="B39" s="64" t="s">
        <v>78</v>
      </c>
      <c r="C39" s="49">
        <v>1114.24</v>
      </c>
      <c r="D39" s="49">
        <v>1096.44</v>
      </c>
      <c r="E39" s="49">
        <v>1088.8</v>
      </c>
      <c r="F39" s="49">
        <v>1079.58</v>
      </c>
      <c r="G39" s="49">
        <v>1067.8800000000001</v>
      </c>
      <c r="H39" s="49">
        <v>1050.58</v>
      </c>
      <c r="I39" s="49">
        <v>1036.77</v>
      </c>
      <c r="J39" s="49">
        <v>1028.42</v>
      </c>
      <c r="K39" s="49">
        <v>1029.33</v>
      </c>
      <c r="L39" s="49">
        <v>1127.49</v>
      </c>
      <c r="M39" s="49">
        <v>1056.25</v>
      </c>
      <c r="N39" s="49">
        <v>1057.81</v>
      </c>
      <c r="O39" s="49">
        <v>906.28</v>
      </c>
      <c r="P39" s="49">
        <v>1081.92</v>
      </c>
      <c r="Q39" s="49">
        <v>1057.08</v>
      </c>
      <c r="R39" s="49">
        <v>1055.1099999999999</v>
      </c>
      <c r="S39" s="49">
        <v>903.13</v>
      </c>
      <c r="T39" s="160"/>
      <c r="U39" s="161"/>
      <c r="V39" s="161"/>
      <c r="W39" s="156"/>
      <c r="X39" s="288"/>
      <c r="Y39" s="161"/>
      <c r="Z39" s="157"/>
      <c r="AA39" s="301"/>
      <c r="AB39" s="186"/>
    </row>
    <row r="40" spans="1:34" ht="60.75" thickBot="1">
      <c r="A40"/>
      <c r="B40" s="77" t="s">
        <v>79</v>
      </c>
      <c r="C40" s="162">
        <f t="shared" ref="C40:S40" si="9">IF(((C38="")*AND(C39="")),"",(C38-C39)*2)</f>
        <v>1808.48</v>
      </c>
      <c r="D40" s="162">
        <f t="shared" si="9"/>
        <v>1820.4</v>
      </c>
      <c r="E40" s="162">
        <f t="shared" si="9"/>
        <v>1827.7200000000003</v>
      </c>
      <c r="F40" s="162">
        <f t="shared" si="9"/>
        <v>1837.6400000000003</v>
      </c>
      <c r="G40" s="162">
        <f t="shared" si="9"/>
        <v>1858.6999999999998</v>
      </c>
      <c r="H40" s="162">
        <f t="shared" si="9"/>
        <v>1894.58</v>
      </c>
      <c r="I40" s="162">
        <f t="shared" si="9"/>
        <v>1926.42</v>
      </c>
      <c r="J40" s="162">
        <f t="shared" si="9"/>
        <v>1949.1599999999999</v>
      </c>
      <c r="K40" s="162">
        <f t="shared" si="9"/>
        <v>1973.04</v>
      </c>
      <c r="L40" s="162">
        <f t="shared" si="9"/>
        <v>1758.6</v>
      </c>
      <c r="M40" s="162">
        <f t="shared" si="9"/>
        <v>1890.58</v>
      </c>
      <c r="N40" s="162">
        <f t="shared" si="9"/>
        <v>1881.4</v>
      </c>
      <c r="O40" s="162">
        <f t="shared" si="9"/>
        <v>2300.4</v>
      </c>
      <c r="P40" s="162">
        <f t="shared" si="9"/>
        <v>1863.96</v>
      </c>
      <c r="Q40" s="162">
        <f t="shared" si="9"/>
        <v>1889.58</v>
      </c>
      <c r="R40" s="162">
        <f t="shared" si="9"/>
        <v>1897.1200000000003</v>
      </c>
      <c r="S40" s="163">
        <f t="shared" si="9"/>
        <v>2357.8199999999997</v>
      </c>
      <c r="T40" s="164"/>
      <c r="U40" s="162"/>
      <c r="V40" s="162"/>
      <c r="W40" s="165"/>
      <c r="X40" s="289"/>
      <c r="Y40" s="162"/>
      <c r="Z40" s="166"/>
      <c r="AA40" s="301"/>
      <c r="AB40" s="186"/>
    </row>
    <row r="41" spans="1:34">
      <c r="A41" s="279">
        <v>43137</v>
      </c>
      <c r="B41" s="64" t="s">
        <v>77</v>
      </c>
      <c r="C41" s="49">
        <v>2018.59</v>
      </c>
      <c r="D41" s="49">
        <v>2006.52</v>
      </c>
      <c r="E41" s="49">
        <v>2004.51</v>
      </c>
      <c r="F41" s="49">
        <v>2000.34</v>
      </c>
      <c r="G41" s="49">
        <v>1998.21</v>
      </c>
      <c r="H41" s="49">
        <v>1999.07</v>
      </c>
      <c r="I41" s="49">
        <v>2001.03</v>
      </c>
      <c r="J41" s="49">
        <v>2002.91</v>
      </c>
      <c r="K41" s="49">
        <v>2017.32</v>
      </c>
      <c r="L41" s="49">
        <v>2082.25</v>
      </c>
      <c r="M41" s="49">
        <v>2002.04</v>
      </c>
      <c r="N41" s="49">
        <v>1999.68</v>
      </c>
      <c r="O41" s="49">
        <v>2055.0100000000002</v>
      </c>
      <c r="P41" s="49">
        <v>2014.55</v>
      </c>
      <c r="Q41" s="49">
        <v>2058.33</v>
      </c>
      <c r="R41" s="49">
        <v>2004.37</v>
      </c>
      <c r="S41" s="49">
        <v>2021.85</v>
      </c>
      <c r="T41" s="155">
        <f>IF((S42=""),"",MAX(C43:S43))</f>
        <v>2290.0800000000004</v>
      </c>
      <c r="U41" s="64">
        <f>IF(S42="","",MIN(C43:S43))</f>
        <v>1807.8799999999997</v>
      </c>
      <c r="V41" s="70">
        <f>IF((S43=""),"",AVERAGE(C43:S43))</f>
        <v>1917.8011764705882</v>
      </c>
      <c r="W41" s="156">
        <f>STDEV(C43:S43)</f>
        <v>109.79494147514089</v>
      </c>
      <c r="X41" s="98">
        <f>IF((S42=""),"",((T41-U41)/(T41+U41))*100)</f>
        <v>11.766830325332622</v>
      </c>
      <c r="Y41" s="75" t="str">
        <f>IF(S42="","",IF(X41&lt;15,IF(V41&gt;1690,IF(V41&lt;2125,"Pass","Fail"),"Fail"),"Fail"))</f>
        <v>Pass</v>
      </c>
      <c r="Z41" s="157">
        <v>1519</v>
      </c>
      <c r="AA41" s="301"/>
      <c r="AC41" s="132">
        <v>1600</v>
      </c>
      <c r="AD41" s="132">
        <v>2600</v>
      </c>
      <c r="AE41" s="158">
        <v>1690</v>
      </c>
      <c r="AF41" s="158">
        <v>2125</v>
      </c>
      <c r="AG41" s="154">
        <v>15</v>
      </c>
      <c r="AH41" s="154">
        <v>15</v>
      </c>
    </row>
    <row r="42" spans="1:34" ht="15.75">
      <c r="A42"/>
      <c r="B42" s="64" t="s">
        <v>78</v>
      </c>
      <c r="C42" s="49">
        <v>1114.6500000000001</v>
      </c>
      <c r="D42" s="49">
        <v>1097.46</v>
      </c>
      <c r="E42" s="49">
        <v>1086.83</v>
      </c>
      <c r="F42" s="49">
        <v>1078.47</v>
      </c>
      <c r="G42" s="49">
        <v>1068.32</v>
      </c>
      <c r="H42" s="49">
        <v>1049.8399999999999</v>
      </c>
      <c r="I42" s="49">
        <v>1034.68</v>
      </c>
      <c r="J42" s="49">
        <v>1025.44</v>
      </c>
      <c r="K42" s="49">
        <v>1029.67</v>
      </c>
      <c r="L42" s="49">
        <v>1129.8699999999999</v>
      </c>
      <c r="M42" s="49">
        <v>1056.29</v>
      </c>
      <c r="N42" s="49">
        <v>1057.8699999999999</v>
      </c>
      <c r="O42" s="49">
        <v>909.97</v>
      </c>
      <c r="P42" s="49">
        <v>1075.32</v>
      </c>
      <c r="Q42" s="49">
        <v>1055.98</v>
      </c>
      <c r="R42" s="49">
        <v>1052.6400000000001</v>
      </c>
      <c r="S42" s="49">
        <v>1061.97</v>
      </c>
      <c r="T42" s="160"/>
      <c r="U42" s="161"/>
      <c r="V42" s="161"/>
      <c r="W42" s="156"/>
      <c r="X42" s="288"/>
      <c r="Y42" s="161"/>
      <c r="Z42" s="157"/>
      <c r="AA42" s="301"/>
      <c r="AB42" s="186"/>
    </row>
    <row r="43" spans="1:34" ht="60.75" thickBot="1">
      <c r="A43"/>
      <c r="B43" s="77" t="s">
        <v>79</v>
      </c>
      <c r="C43" s="162">
        <f t="shared" ref="C43:S43" si="10">IF(((C41="")*AND(C42="")),"",(C41-C42)*2)</f>
        <v>1807.8799999999997</v>
      </c>
      <c r="D43" s="162">
        <f t="shared" si="10"/>
        <v>1818.12</v>
      </c>
      <c r="E43" s="162">
        <f t="shared" si="10"/>
        <v>1835.3600000000001</v>
      </c>
      <c r="F43" s="162">
        <f t="shared" si="10"/>
        <v>1843.7399999999998</v>
      </c>
      <c r="G43" s="162">
        <f t="shared" si="10"/>
        <v>1859.7800000000002</v>
      </c>
      <c r="H43" s="162">
        <f t="shared" si="10"/>
        <v>1898.46</v>
      </c>
      <c r="I43" s="162">
        <f t="shared" si="10"/>
        <v>1932.6999999999998</v>
      </c>
      <c r="J43" s="162">
        <f t="shared" si="10"/>
        <v>1954.94</v>
      </c>
      <c r="K43" s="162">
        <f t="shared" si="10"/>
        <v>1975.2999999999997</v>
      </c>
      <c r="L43" s="162">
        <f t="shared" si="10"/>
        <v>1904.7600000000002</v>
      </c>
      <c r="M43" s="162">
        <f t="shared" si="10"/>
        <v>1891.5</v>
      </c>
      <c r="N43" s="162">
        <f t="shared" si="10"/>
        <v>1883.6200000000003</v>
      </c>
      <c r="O43" s="162">
        <f t="shared" si="10"/>
        <v>2290.0800000000004</v>
      </c>
      <c r="P43" s="162">
        <f t="shared" si="10"/>
        <v>1878.46</v>
      </c>
      <c r="Q43" s="162">
        <f t="shared" si="10"/>
        <v>2004.6999999999998</v>
      </c>
      <c r="R43" s="162">
        <f t="shared" si="10"/>
        <v>1903.4599999999996</v>
      </c>
      <c r="S43" s="163">
        <f t="shared" si="10"/>
        <v>1919.7599999999998</v>
      </c>
      <c r="T43" s="164"/>
      <c r="U43" s="162"/>
      <c r="V43" s="162"/>
      <c r="W43" s="165"/>
      <c r="X43" s="289"/>
      <c r="Y43" s="162"/>
      <c r="Z43" s="166"/>
      <c r="AA43" s="301"/>
      <c r="AB43" s="186"/>
    </row>
    <row r="44" spans="1:34">
      <c r="A44" s="279">
        <v>43141</v>
      </c>
      <c r="B44" s="64" t="s">
        <v>77</v>
      </c>
      <c r="C44" s="49">
        <v>2008.52</v>
      </c>
      <c r="D44" s="49">
        <v>1997.71</v>
      </c>
      <c r="E44" s="49">
        <v>1994.47</v>
      </c>
      <c r="F44" s="49">
        <v>1990.74</v>
      </c>
      <c r="G44" s="49">
        <v>1989.64</v>
      </c>
      <c r="H44" s="49">
        <v>1989.97</v>
      </c>
      <c r="I44" s="49">
        <v>1990.67</v>
      </c>
      <c r="J44" s="49">
        <v>1994.38</v>
      </c>
      <c r="K44" s="49">
        <v>2008.63</v>
      </c>
      <c r="L44" s="49">
        <v>2068.66</v>
      </c>
      <c r="M44" s="49">
        <v>1991.92</v>
      </c>
      <c r="N44" s="49">
        <v>1990.52</v>
      </c>
      <c r="O44" s="49">
        <v>2044.92</v>
      </c>
      <c r="P44" s="49">
        <v>2007.25</v>
      </c>
      <c r="Q44" s="49">
        <v>1992.37</v>
      </c>
      <c r="R44" s="49">
        <v>1994.42</v>
      </c>
      <c r="S44" s="49">
        <v>2066.9</v>
      </c>
      <c r="T44" s="155">
        <f>IF((S45=""),"",MAX(C46:S46))</f>
        <v>2269.9</v>
      </c>
      <c r="U44" s="64">
        <f>IF(S45="","",MIN(C46:S46))</f>
        <v>1776.3400000000001</v>
      </c>
      <c r="V44" s="70">
        <f>IF((S46=""),"",AVERAGE(C46:S46))</f>
        <v>1901.2741176470595</v>
      </c>
      <c r="W44" s="156">
        <f>STDEV(C46:S46)</f>
        <v>112.14614232434835</v>
      </c>
      <c r="X44" s="98">
        <f>IF((S45=""),"",((T44-U44)/(T44+U44))*100)</f>
        <v>12.197991221479693</v>
      </c>
      <c r="Y44" s="75" t="str">
        <f>IF(S45="","",IF(X44&lt;15,IF(V44&gt;1690,IF(V44&lt;2125,"Pass","Fail"),"Fail"),"Fail"))</f>
        <v>Pass</v>
      </c>
      <c r="Z44" s="157">
        <v>102</v>
      </c>
      <c r="AA44" s="301"/>
      <c r="AC44" s="132">
        <v>1600</v>
      </c>
      <c r="AD44" s="132">
        <v>2600</v>
      </c>
      <c r="AE44" s="158">
        <v>1690</v>
      </c>
      <c r="AF44" s="158">
        <v>2125</v>
      </c>
      <c r="AG44" s="154">
        <v>15</v>
      </c>
      <c r="AH44" s="154">
        <v>15</v>
      </c>
    </row>
    <row r="45" spans="1:34" ht="15.75">
      <c r="A45"/>
      <c r="B45" s="64" t="s">
        <v>78</v>
      </c>
      <c r="C45" s="49">
        <v>1120.3499999999999</v>
      </c>
      <c r="D45" s="49">
        <v>1101.02</v>
      </c>
      <c r="E45" s="49">
        <v>1087.5999999999999</v>
      </c>
      <c r="F45" s="49">
        <v>1075.8599999999999</v>
      </c>
      <c r="G45" s="49">
        <v>1061.29</v>
      </c>
      <c r="H45" s="49">
        <v>1040.33</v>
      </c>
      <c r="I45" s="49">
        <v>1019.39</v>
      </c>
      <c r="J45" s="49">
        <v>1025.44</v>
      </c>
      <c r="K45" s="49">
        <v>1029.67</v>
      </c>
      <c r="L45" s="49">
        <v>1129.8699999999999</v>
      </c>
      <c r="M45" s="49">
        <v>1056.29</v>
      </c>
      <c r="N45" s="49">
        <v>1057.8699999999999</v>
      </c>
      <c r="O45" s="49">
        <v>909.97</v>
      </c>
      <c r="P45" s="49">
        <v>1075.32</v>
      </c>
      <c r="Q45" s="49">
        <v>1055.98</v>
      </c>
      <c r="R45" s="49">
        <v>1052.6400000000001</v>
      </c>
      <c r="S45" s="49">
        <v>1061.97</v>
      </c>
      <c r="T45" s="160"/>
      <c r="U45" s="161"/>
      <c r="V45" s="161"/>
      <c r="W45" s="156"/>
      <c r="X45" s="288"/>
      <c r="Y45" s="161"/>
      <c r="Z45" s="157"/>
      <c r="AA45" s="301"/>
      <c r="AB45" s="186"/>
    </row>
    <row r="46" spans="1:34" ht="60.75" thickBot="1">
      <c r="A46"/>
      <c r="B46" s="77" t="s">
        <v>79</v>
      </c>
      <c r="C46" s="162">
        <f t="shared" ref="C46:S46" si="11">IF(((C44="")*AND(C45="")),"",(C44-C45)*2)</f>
        <v>1776.3400000000001</v>
      </c>
      <c r="D46" s="162">
        <f t="shared" si="11"/>
        <v>1793.38</v>
      </c>
      <c r="E46" s="162">
        <f t="shared" si="11"/>
        <v>1813.7400000000002</v>
      </c>
      <c r="F46" s="162">
        <f t="shared" si="11"/>
        <v>1829.7600000000002</v>
      </c>
      <c r="G46" s="162">
        <f t="shared" si="11"/>
        <v>1856.7000000000003</v>
      </c>
      <c r="H46" s="162">
        <f t="shared" si="11"/>
        <v>1899.2800000000002</v>
      </c>
      <c r="I46" s="162">
        <f t="shared" si="11"/>
        <v>1942.5600000000002</v>
      </c>
      <c r="J46" s="162">
        <f t="shared" si="11"/>
        <v>1937.88</v>
      </c>
      <c r="K46" s="162">
        <f t="shared" si="11"/>
        <v>1957.92</v>
      </c>
      <c r="L46" s="162">
        <f t="shared" si="11"/>
        <v>1877.58</v>
      </c>
      <c r="M46" s="162">
        <f t="shared" si="11"/>
        <v>1871.2600000000002</v>
      </c>
      <c r="N46" s="162">
        <f t="shared" si="11"/>
        <v>1865.3000000000002</v>
      </c>
      <c r="O46" s="162">
        <f t="shared" si="11"/>
        <v>2269.9</v>
      </c>
      <c r="P46" s="162">
        <f t="shared" si="11"/>
        <v>1863.8600000000001</v>
      </c>
      <c r="Q46" s="162">
        <f t="shared" si="11"/>
        <v>1872.7799999999997</v>
      </c>
      <c r="R46" s="162">
        <f t="shared" si="11"/>
        <v>1883.56</v>
      </c>
      <c r="S46" s="163">
        <f t="shared" si="11"/>
        <v>2009.8600000000001</v>
      </c>
      <c r="T46" s="164"/>
      <c r="U46" s="162"/>
      <c r="V46" s="162"/>
      <c r="W46" s="165"/>
      <c r="X46" s="289"/>
      <c r="Y46" s="162"/>
      <c r="Z46" s="166"/>
      <c r="AA46" s="301"/>
      <c r="AB46" s="186"/>
    </row>
    <row r="47" spans="1:34">
      <c r="A47" s="278">
        <v>43146</v>
      </c>
      <c r="B47" s="64" t="s">
        <v>77</v>
      </c>
      <c r="C47" s="49">
        <v>2013.1</v>
      </c>
      <c r="D47" s="49">
        <v>2008.87</v>
      </c>
      <c r="E47" s="49">
        <v>2005.41</v>
      </c>
      <c r="F47" s="49">
        <v>2005.44</v>
      </c>
      <c r="G47" s="49">
        <v>2006.19</v>
      </c>
      <c r="H47" s="49">
        <v>2006.17</v>
      </c>
      <c r="I47" s="49">
        <v>2007.16</v>
      </c>
      <c r="J47" s="49">
        <v>2010.29</v>
      </c>
      <c r="K47" s="49">
        <v>2025.05</v>
      </c>
      <c r="L47" s="49">
        <v>2092.4499999999998</v>
      </c>
      <c r="M47" s="49">
        <v>2007.31</v>
      </c>
      <c r="N47" s="49">
        <v>2005.59</v>
      </c>
      <c r="O47" s="49">
        <v>2062.36</v>
      </c>
      <c r="P47" s="49">
        <v>2021.03</v>
      </c>
      <c r="Q47" s="49">
        <v>2066.12</v>
      </c>
      <c r="R47" s="49">
        <v>2013.43</v>
      </c>
      <c r="S47" s="49">
        <v>2031.57</v>
      </c>
      <c r="T47" s="155">
        <f>IF((S48=""),"",MAX(C49:S49))</f>
        <v>2193.84</v>
      </c>
      <c r="U47" s="64">
        <f>IF(S48="","",MIN(C49:S49))</f>
        <v>1812.46</v>
      </c>
      <c r="V47" s="70">
        <f>IF((S49=""),"",AVERAGE(C49:S49))</f>
        <v>1927.5305882352939</v>
      </c>
      <c r="W47" s="156">
        <f>STDEV(C49:S49)</f>
        <v>87.85157372456365</v>
      </c>
      <c r="X47" s="98">
        <f>IF((S48=""),"",((T47-U47)/(T47+U47))*100)</f>
        <v>9.5195067768264998</v>
      </c>
      <c r="Y47" s="75" t="str">
        <f>IF(S48="","",IF(X47&lt;15,IF(V47&gt;1690,IF(V47&lt;2125,"Pass","Fail"),"Fail"),"Fail"))</f>
        <v>Pass</v>
      </c>
      <c r="Z47" s="157">
        <v>1335</v>
      </c>
      <c r="AA47" s="301"/>
      <c r="AC47" s="132">
        <v>1600</v>
      </c>
      <c r="AD47" s="132">
        <v>2600</v>
      </c>
      <c r="AE47" s="158">
        <v>1690</v>
      </c>
      <c r="AF47" s="158">
        <v>2125</v>
      </c>
      <c r="AG47" s="154">
        <v>15</v>
      </c>
      <c r="AH47" s="154">
        <v>15</v>
      </c>
    </row>
    <row r="48" spans="1:34" ht="15.75">
      <c r="A48"/>
      <c r="B48" s="64" t="s">
        <v>78</v>
      </c>
      <c r="C48" s="49">
        <v>1096.5999999999999</v>
      </c>
      <c r="D48" s="49">
        <v>1077.8699999999999</v>
      </c>
      <c r="E48" s="49">
        <v>1072.23</v>
      </c>
      <c r="F48" s="49">
        <v>1071.29</v>
      </c>
      <c r="G48" s="49">
        <v>1062.83</v>
      </c>
      <c r="H48" s="49">
        <v>1049.71</v>
      </c>
      <c r="I48" s="49">
        <v>1040.94</v>
      </c>
      <c r="J48" s="49">
        <v>1034.1400000000001</v>
      </c>
      <c r="K48" s="49">
        <v>1061.45</v>
      </c>
      <c r="L48" s="49">
        <v>1123.6600000000001</v>
      </c>
      <c r="M48" s="49">
        <v>1044.18</v>
      </c>
      <c r="N48" s="49">
        <v>1046.5899999999999</v>
      </c>
      <c r="O48" s="49">
        <v>1054.28</v>
      </c>
      <c r="P48" s="49">
        <v>1114.8</v>
      </c>
      <c r="Q48" s="49">
        <v>1058.0999999999999</v>
      </c>
      <c r="R48" s="49">
        <v>1060.21</v>
      </c>
      <c r="S48" s="49">
        <v>934.65</v>
      </c>
      <c r="T48" s="160"/>
      <c r="U48" s="161"/>
      <c r="V48" s="161"/>
      <c r="W48" s="156"/>
      <c r="X48" s="288"/>
      <c r="Y48" s="161"/>
      <c r="Z48" s="157"/>
      <c r="AA48" s="301"/>
      <c r="AB48" s="186"/>
    </row>
    <row r="49" spans="1:34" ht="60.75" thickBot="1">
      <c r="A49"/>
      <c r="B49" s="77" t="s">
        <v>79</v>
      </c>
      <c r="C49" s="162">
        <f t="shared" ref="C49:S49" si="12">IF(((C47="")*AND(C48="")),"",(C47-C48)*2)</f>
        <v>1833</v>
      </c>
      <c r="D49" s="162">
        <f t="shared" si="12"/>
        <v>1862</v>
      </c>
      <c r="E49" s="162">
        <f t="shared" si="12"/>
        <v>1866.3600000000001</v>
      </c>
      <c r="F49" s="162">
        <f t="shared" si="12"/>
        <v>1868.3000000000002</v>
      </c>
      <c r="G49" s="162">
        <f t="shared" si="12"/>
        <v>1886.7200000000003</v>
      </c>
      <c r="H49" s="162">
        <f t="shared" si="12"/>
        <v>1912.92</v>
      </c>
      <c r="I49" s="162">
        <f t="shared" si="12"/>
        <v>1932.44</v>
      </c>
      <c r="J49" s="162">
        <f t="shared" si="12"/>
        <v>1952.2999999999997</v>
      </c>
      <c r="K49" s="162">
        <f t="shared" si="12"/>
        <v>1927.1999999999998</v>
      </c>
      <c r="L49" s="162">
        <f t="shared" si="12"/>
        <v>1937.5799999999995</v>
      </c>
      <c r="M49" s="162">
        <f t="shared" si="12"/>
        <v>1926.2599999999998</v>
      </c>
      <c r="N49" s="162">
        <f t="shared" si="12"/>
        <v>1918</v>
      </c>
      <c r="O49" s="162">
        <f t="shared" si="12"/>
        <v>2016.1600000000003</v>
      </c>
      <c r="P49" s="162">
        <f t="shared" si="12"/>
        <v>1812.46</v>
      </c>
      <c r="Q49" s="162">
        <f t="shared" si="12"/>
        <v>2016.04</v>
      </c>
      <c r="R49" s="162">
        <f t="shared" si="12"/>
        <v>1906.44</v>
      </c>
      <c r="S49" s="163">
        <f t="shared" si="12"/>
        <v>2193.84</v>
      </c>
      <c r="T49" s="164"/>
      <c r="U49" s="162"/>
      <c r="V49" s="162"/>
      <c r="W49" s="165"/>
      <c r="X49" s="289"/>
      <c r="Y49" s="162"/>
      <c r="Z49" s="166"/>
      <c r="AA49" s="301"/>
      <c r="AB49" s="186"/>
    </row>
    <row r="50" spans="1:34">
      <c r="A50" s="278">
        <v>43151</v>
      </c>
      <c r="B50" s="64" t="s">
        <v>77</v>
      </c>
      <c r="C50" s="49">
        <v>2001.95</v>
      </c>
      <c r="D50" s="49">
        <v>1989.8</v>
      </c>
      <c r="E50" s="49">
        <v>1983.86</v>
      </c>
      <c r="F50" s="49">
        <v>1980.24</v>
      </c>
      <c r="G50" s="49">
        <v>1979.69</v>
      </c>
      <c r="H50" s="49">
        <v>1980.64</v>
      </c>
      <c r="I50" s="49">
        <v>1982.42</v>
      </c>
      <c r="J50" s="49">
        <v>1986.71</v>
      </c>
      <c r="K50" s="49">
        <v>2003.35</v>
      </c>
      <c r="L50" s="49">
        <v>1991.96</v>
      </c>
      <c r="M50" s="49">
        <v>1984.59</v>
      </c>
      <c r="N50" s="49">
        <v>1982.3</v>
      </c>
      <c r="O50" s="49">
        <v>2033.33</v>
      </c>
      <c r="P50" s="49">
        <v>1994.6</v>
      </c>
      <c r="Q50" s="49">
        <v>1983.5</v>
      </c>
      <c r="R50" s="49">
        <v>1987.68</v>
      </c>
      <c r="S50" s="49">
        <v>2008.59</v>
      </c>
      <c r="T50" s="155">
        <f>IF((S51=""),"",MAX(C52:S52))</f>
        <v>1979.3599999999997</v>
      </c>
      <c r="U50" s="64">
        <f>IF(S51="","",MIN(C52:S52))</f>
        <v>1787.38</v>
      </c>
      <c r="V50" s="70">
        <f>IF((S52=""),"",AVERAGE(C52:S52))</f>
        <v>1869.7082352941177</v>
      </c>
      <c r="W50" s="156">
        <f>STDEV(C52:S52)</f>
        <v>51.699258727186837</v>
      </c>
      <c r="X50" s="98">
        <f>IF((S51=""),"",((T50-U50)/(T50+U50))*100)</f>
        <v>5.0967149312137172</v>
      </c>
      <c r="Y50" s="75" t="str">
        <f>IF(S51="","",IF(X50&lt;15,IF(V50&gt;1690,IF(V50&lt;2125,"Pass","Fail"),"Fail"),"Fail"))</f>
        <v>Pass</v>
      </c>
      <c r="Z50" s="157">
        <v>102</v>
      </c>
      <c r="AA50" s="301"/>
      <c r="AC50" s="132">
        <v>1600</v>
      </c>
      <c r="AD50" s="132">
        <v>2600</v>
      </c>
      <c r="AE50" s="158">
        <v>1690</v>
      </c>
      <c r="AF50" s="158">
        <v>2125</v>
      </c>
      <c r="AG50" s="154">
        <v>15</v>
      </c>
      <c r="AH50" s="154">
        <v>15</v>
      </c>
    </row>
    <row r="51" spans="1:34" ht="15.75">
      <c r="A51"/>
      <c r="B51" s="64" t="s">
        <v>78</v>
      </c>
      <c r="C51" s="49">
        <v>1101.52</v>
      </c>
      <c r="D51" s="49">
        <v>1076.29</v>
      </c>
      <c r="E51" s="49">
        <v>1065.1300000000001</v>
      </c>
      <c r="F51" s="49">
        <v>1060.19</v>
      </c>
      <c r="G51" s="49">
        <v>1048.4100000000001</v>
      </c>
      <c r="H51" s="49">
        <v>1032.2</v>
      </c>
      <c r="I51" s="49">
        <v>1016.7</v>
      </c>
      <c r="J51" s="49">
        <v>1046.7</v>
      </c>
      <c r="K51" s="49">
        <v>1040.21</v>
      </c>
      <c r="L51" s="49">
        <v>1098.27</v>
      </c>
      <c r="M51" s="49">
        <v>1035.1199999999999</v>
      </c>
      <c r="N51" s="49">
        <v>1037.96</v>
      </c>
      <c r="O51" s="49">
        <v>1043.6500000000001</v>
      </c>
      <c r="P51" s="49">
        <v>1095.3800000000001</v>
      </c>
      <c r="Q51" s="49">
        <v>1039.95</v>
      </c>
      <c r="R51" s="49">
        <v>1041</v>
      </c>
      <c r="S51" s="49">
        <v>1084.01</v>
      </c>
      <c r="T51" s="160"/>
      <c r="U51" s="161"/>
      <c r="V51" s="161"/>
      <c r="W51" s="156"/>
      <c r="X51" s="288"/>
      <c r="Y51" s="161"/>
      <c r="Z51" s="157"/>
      <c r="AA51" s="301"/>
      <c r="AB51" s="186"/>
    </row>
    <row r="52" spans="1:34" ht="60.75" thickBot="1">
      <c r="A52"/>
      <c r="B52" s="77" t="s">
        <v>79</v>
      </c>
      <c r="C52" s="162">
        <f t="shared" ref="C52:S52" si="13">IF(((C50="")*AND(C51="")),"",(C50-C51)*2)</f>
        <v>1800.8600000000001</v>
      </c>
      <c r="D52" s="162">
        <f t="shared" si="13"/>
        <v>1827.02</v>
      </c>
      <c r="E52" s="162">
        <f t="shared" si="13"/>
        <v>1837.4599999999996</v>
      </c>
      <c r="F52" s="162">
        <f t="shared" si="13"/>
        <v>1840.1</v>
      </c>
      <c r="G52" s="162">
        <f t="shared" si="13"/>
        <v>1862.56</v>
      </c>
      <c r="H52" s="162">
        <f t="shared" si="13"/>
        <v>1896.88</v>
      </c>
      <c r="I52" s="162">
        <f t="shared" si="13"/>
        <v>1931.44</v>
      </c>
      <c r="J52" s="162">
        <f t="shared" si="13"/>
        <v>1880.02</v>
      </c>
      <c r="K52" s="162">
        <f t="shared" si="13"/>
        <v>1926.2799999999997</v>
      </c>
      <c r="L52" s="162">
        <f t="shared" si="13"/>
        <v>1787.38</v>
      </c>
      <c r="M52" s="162">
        <f t="shared" si="13"/>
        <v>1898.94</v>
      </c>
      <c r="N52" s="162">
        <f t="shared" si="13"/>
        <v>1888.6799999999998</v>
      </c>
      <c r="O52" s="162">
        <f t="shared" si="13"/>
        <v>1979.3599999999997</v>
      </c>
      <c r="P52" s="162">
        <f t="shared" si="13"/>
        <v>1798.4399999999996</v>
      </c>
      <c r="Q52" s="162">
        <f t="shared" si="13"/>
        <v>1887.1</v>
      </c>
      <c r="R52" s="162">
        <f t="shared" si="13"/>
        <v>1893.3600000000001</v>
      </c>
      <c r="S52" s="163">
        <f t="shared" si="13"/>
        <v>1849.1599999999999</v>
      </c>
      <c r="T52" s="164"/>
      <c r="U52" s="162"/>
      <c r="V52" s="162"/>
      <c r="W52" s="165"/>
      <c r="X52" s="289"/>
      <c r="Y52" s="162"/>
      <c r="Z52" s="166"/>
      <c r="AA52" s="301"/>
      <c r="AB52" s="186"/>
    </row>
    <row r="53" spans="1:34">
      <c r="A53" s="278">
        <v>43156</v>
      </c>
      <c r="B53" s="64" t="s">
        <v>77</v>
      </c>
      <c r="C53" s="49">
        <v>2019.12</v>
      </c>
      <c r="D53" s="49">
        <v>2014.12</v>
      </c>
      <c r="E53" s="49">
        <v>2006.45</v>
      </c>
      <c r="F53" s="49">
        <v>2004.44</v>
      </c>
      <c r="G53" s="49">
        <v>2001.72</v>
      </c>
      <c r="H53" s="49">
        <v>2000.37</v>
      </c>
      <c r="I53" s="49">
        <v>2004.53</v>
      </c>
      <c r="J53" s="49">
        <v>2006.42</v>
      </c>
      <c r="K53" s="49">
        <v>2023.6</v>
      </c>
      <c r="L53" s="49">
        <v>2090.6799999999998</v>
      </c>
      <c r="M53" s="49">
        <v>2008.12</v>
      </c>
      <c r="N53" s="49">
        <v>2004.58</v>
      </c>
      <c r="O53" s="49">
        <v>2028.12</v>
      </c>
      <c r="P53" s="49">
        <v>2011.26</v>
      </c>
      <c r="Q53" s="49">
        <v>2005.61</v>
      </c>
      <c r="R53" s="49">
        <v>2008.85</v>
      </c>
      <c r="S53" s="49">
        <v>2055.94</v>
      </c>
      <c r="T53" s="155">
        <f>IF((S54=""),"",MAX(C55:S55))</f>
        <v>1967.3799999999997</v>
      </c>
      <c r="U53" s="64">
        <f>IF(S54="","",MIN(C55:S55))</f>
        <v>1826.1399999999999</v>
      </c>
      <c r="V53" s="70">
        <f>IF((S55=""),"",AVERAGE(C55:S55))</f>
        <v>1914.7494117647061</v>
      </c>
      <c r="W53" s="156">
        <f>STDEV(C55:S55)</f>
        <v>39.332750423538343</v>
      </c>
      <c r="X53" s="98">
        <f>IF((S54=""),"",((T53-U53)/(T53+U53))*100)</f>
        <v>3.723191125919985</v>
      </c>
      <c r="Y53" s="75" t="str">
        <f>IF(S54="","",IF(X53&lt;15,IF(V53&gt;1690,IF(V53&lt;2125,"Pass","Fail"),"Fail"),"Fail"))</f>
        <v>Pass</v>
      </c>
      <c r="Z53" s="157"/>
      <c r="AA53" s="301"/>
      <c r="AC53" s="132">
        <v>1600</v>
      </c>
      <c r="AD53" s="132">
        <v>2600</v>
      </c>
      <c r="AE53" s="158">
        <v>1690</v>
      </c>
      <c r="AF53" s="158">
        <v>2125</v>
      </c>
      <c r="AG53" s="154">
        <v>15</v>
      </c>
      <c r="AH53" s="154">
        <v>15</v>
      </c>
    </row>
    <row r="54" spans="1:34" ht="15.75">
      <c r="A54"/>
      <c r="B54" s="64" t="s">
        <v>78</v>
      </c>
      <c r="C54" s="49">
        <v>1106.05</v>
      </c>
      <c r="D54" s="49">
        <v>1080.72</v>
      </c>
      <c r="E54" s="49">
        <v>1068.25</v>
      </c>
      <c r="F54" s="49">
        <v>1063.18</v>
      </c>
      <c r="G54" s="49">
        <v>1053.92</v>
      </c>
      <c r="H54" s="49">
        <v>1032.06</v>
      </c>
      <c r="I54" s="49">
        <v>1048</v>
      </c>
      <c r="J54" s="49">
        <v>1051</v>
      </c>
      <c r="K54" s="49">
        <v>1046.81</v>
      </c>
      <c r="L54" s="49">
        <v>1106.99</v>
      </c>
      <c r="M54" s="49">
        <v>1036.93</v>
      </c>
      <c r="N54" s="49">
        <v>1038.1500000000001</v>
      </c>
      <c r="O54" s="49">
        <v>1045.53</v>
      </c>
      <c r="P54" s="49">
        <v>1074.53</v>
      </c>
      <c r="Q54" s="49">
        <v>1041.08</v>
      </c>
      <c r="R54" s="49">
        <v>1044</v>
      </c>
      <c r="S54" s="49">
        <v>1081.3599999999999</v>
      </c>
      <c r="T54" s="160"/>
      <c r="U54" s="161"/>
      <c r="V54" s="161"/>
      <c r="W54" s="156"/>
      <c r="X54" s="288"/>
      <c r="Y54" s="161"/>
      <c r="Z54" s="157"/>
      <c r="AA54" s="301"/>
      <c r="AB54" s="186"/>
    </row>
    <row r="55" spans="1:34" ht="60.75" thickBot="1">
      <c r="A55"/>
      <c r="B55" s="77" t="s">
        <v>79</v>
      </c>
      <c r="C55" s="162">
        <f t="shared" ref="C55:S55" si="14">IF(((C53="")*AND(C54="")),"",(C53-C54)*2)</f>
        <v>1826.1399999999999</v>
      </c>
      <c r="D55" s="162">
        <f t="shared" si="14"/>
        <v>1866.7999999999997</v>
      </c>
      <c r="E55" s="162">
        <f t="shared" si="14"/>
        <v>1876.4</v>
      </c>
      <c r="F55" s="162">
        <f t="shared" si="14"/>
        <v>1882.52</v>
      </c>
      <c r="G55" s="162">
        <f t="shared" si="14"/>
        <v>1895.6</v>
      </c>
      <c r="H55" s="162">
        <f t="shared" si="14"/>
        <v>1936.62</v>
      </c>
      <c r="I55" s="162">
        <f t="shared" si="14"/>
        <v>1913.06</v>
      </c>
      <c r="J55" s="162">
        <f t="shared" si="14"/>
        <v>1910.8400000000001</v>
      </c>
      <c r="K55" s="162">
        <f t="shared" si="14"/>
        <v>1953.58</v>
      </c>
      <c r="L55" s="162">
        <f t="shared" si="14"/>
        <v>1967.3799999999997</v>
      </c>
      <c r="M55" s="162">
        <f t="shared" si="14"/>
        <v>1942.3799999999997</v>
      </c>
      <c r="N55" s="162">
        <f t="shared" si="14"/>
        <v>1932.8599999999997</v>
      </c>
      <c r="O55" s="162">
        <f t="shared" si="14"/>
        <v>1965.1799999999998</v>
      </c>
      <c r="P55" s="162">
        <f t="shared" si="14"/>
        <v>1873.46</v>
      </c>
      <c r="Q55" s="162">
        <f t="shared" si="14"/>
        <v>1929.06</v>
      </c>
      <c r="R55" s="162">
        <f t="shared" si="14"/>
        <v>1929.6999999999998</v>
      </c>
      <c r="S55" s="163">
        <f t="shared" si="14"/>
        <v>1949.1600000000003</v>
      </c>
      <c r="T55" s="164"/>
      <c r="U55" s="162"/>
      <c r="V55" s="162"/>
      <c r="W55" s="165"/>
      <c r="X55" s="289"/>
      <c r="Y55" s="162"/>
      <c r="Z55" s="166"/>
      <c r="AA55" s="301"/>
      <c r="AB55" s="186"/>
    </row>
    <row r="56" spans="1:34">
      <c r="A56" s="279">
        <v>43178</v>
      </c>
      <c r="B56" s="64" t="s">
        <v>77</v>
      </c>
      <c r="C56" s="49">
        <v>2027.48</v>
      </c>
      <c r="D56" s="49">
        <v>2017.05</v>
      </c>
      <c r="E56" s="49">
        <v>2010.43</v>
      </c>
      <c r="F56" s="49">
        <v>2007.1</v>
      </c>
      <c r="G56" s="49">
        <v>2006.02</v>
      </c>
      <c r="H56" s="49">
        <v>2007.07</v>
      </c>
      <c r="I56" s="49">
        <v>2007.38</v>
      </c>
      <c r="J56" s="49">
        <v>2014.09</v>
      </c>
      <c r="K56" s="49">
        <v>2023.46</v>
      </c>
      <c r="L56" s="49">
        <v>2091.1799999999998</v>
      </c>
      <c r="M56" s="49">
        <v>2011.61</v>
      </c>
      <c r="N56" s="49">
        <v>2006.57</v>
      </c>
      <c r="O56" s="49">
        <v>1865.92</v>
      </c>
      <c r="P56" s="49">
        <v>2016.99</v>
      </c>
      <c r="Q56" s="49">
        <v>2008.04</v>
      </c>
      <c r="R56" s="49">
        <v>2011.31</v>
      </c>
      <c r="S56" s="49">
        <v>2067.36</v>
      </c>
      <c r="T56" s="155">
        <f>IF((S57=""),"",MAX(C58:S58))</f>
        <v>2172.3599999999997</v>
      </c>
      <c r="U56" s="64">
        <f>IF(S57="","",MIN(C58:S58))</f>
        <v>1749.8400000000001</v>
      </c>
      <c r="V56" s="70">
        <f>IF((S58=""),"",AVERAGE(C58:S58))</f>
        <v>2020.1247058823526</v>
      </c>
      <c r="W56" s="156">
        <f>STDEV(C58:S58)</f>
        <v>83.280001059505111</v>
      </c>
      <c r="X56" s="98">
        <f>IF((S57=""),"",((T56-U56)/(T56+U56))*100)</f>
        <v>10.772525623374625</v>
      </c>
      <c r="Y56" s="75" t="str">
        <f>IF(S57="","",IF(X56&lt;15,IF(V56&gt;1690,IF(V56&lt;2125,"Pass","Fail"),"Fail"),"Fail"))</f>
        <v>Pass</v>
      </c>
      <c r="Z56" s="157">
        <v>121</v>
      </c>
      <c r="AA56" s="301"/>
      <c r="AC56" s="132">
        <v>1600</v>
      </c>
      <c r="AD56" s="132">
        <v>2600</v>
      </c>
      <c r="AE56" s="158">
        <v>1690</v>
      </c>
      <c r="AF56" s="158">
        <v>2125</v>
      </c>
      <c r="AG56" s="154">
        <v>15</v>
      </c>
      <c r="AH56" s="154">
        <v>15</v>
      </c>
    </row>
    <row r="57" spans="1:34" ht="15.75">
      <c r="A57"/>
      <c r="B57" s="64" t="s">
        <v>78</v>
      </c>
      <c r="C57" s="49">
        <v>1047</v>
      </c>
      <c r="D57" s="49">
        <v>1019</v>
      </c>
      <c r="E57" s="49">
        <v>1010</v>
      </c>
      <c r="F57" s="49">
        <v>1005</v>
      </c>
      <c r="G57" s="49">
        <v>997</v>
      </c>
      <c r="H57" s="49">
        <v>986</v>
      </c>
      <c r="I57" s="49">
        <v>978</v>
      </c>
      <c r="J57" s="49">
        <v>977</v>
      </c>
      <c r="K57" s="49">
        <v>1022</v>
      </c>
      <c r="L57" s="49">
        <v>1005</v>
      </c>
      <c r="M57" s="49">
        <v>981</v>
      </c>
      <c r="N57" s="49">
        <v>983</v>
      </c>
      <c r="O57" s="49">
        <v>991</v>
      </c>
      <c r="P57" s="49">
        <v>997</v>
      </c>
      <c r="Q57" s="49">
        <v>996</v>
      </c>
      <c r="R57" s="49">
        <v>999</v>
      </c>
      <c r="S57" s="49">
        <v>1035</v>
      </c>
      <c r="T57" s="160"/>
      <c r="U57" s="161"/>
      <c r="V57" s="161"/>
      <c r="W57" s="156"/>
      <c r="X57" s="288"/>
      <c r="Y57" s="161"/>
      <c r="Z57" s="167"/>
      <c r="AA57" s="302"/>
      <c r="AB57" s="186"/>
    </row>
    <row r="58" spans="1:34" ht="60.75" thickBot="1">
      <c r="A58"/>
      <c r="B58" s="77" t="s">
        <v>79</v>
      </c>
      <c r="C58" s="162">
        <f t="shared" ref="C58:S58" si="15">IF(((C56="")*AND(C57="")),"",(C56-C57)*2)</f>
        <v>1960.96</v>
      </c>
      <c r="D58" s="162">
        <f t="shared" si="15"/>
        <v>1996.1</v>
      </c>
      <c r="E58" s="162">
        <f t="shared" si="15"/>
        <v>2000.8600000000001</v>
      </c>
      <c r="F58" s="162">
        <f t="shared" si="15"/>
        <v>2004.1999999999998</v>
      </c>
      <c r="G58" s="162">
        <f t="shared" si="15"/>
        <v>2018.04</v>
      </c>
      <c r="H58" s="162">
        <f t="shared" si="15"/>
        <v>2042.1399999999999</v>
      </c>
      <c r="I58" s="162">
        <f t="shared" si="15"/>
        <v>2058.7600000000002</v>
      </c>
      <c r="J58" s="162">
        <f t="shared" si="15"/>
        <v>2074.1799999999998</v>
      </c>
      <c r="K58" s="162">
        <f t="shared" si="15"/>
        <v>2002.92</v>
      </c>
      <c r="L58" s="162">
        <f t="shared" si="15"/>
        <v>2172.3599999999997</v>
      </c>
      <c r="M58" s="162">
        <f t="shared" si="15"/>
        <v>2061.2199999999998</v>
      </c>
      <c r="N58" s="162">
        <f t="shared" si="15"/>
        <v>2047.1399999999999</v>
      </c>
      <c r="O58" s="162">
        <f t="shared" si="15"/>
        <v>1749.8400000000001</v>
      </c>
      <c r="P58" s="162">
        <f t="shared" si="15"/>
        <v>2039.98</v>
      </c>
      <c r="Q58" s="162">
        <f t="shared" si="15"/>
        <v>2024.08</v>
      </c>
      <c r="R58" s="162">
        <f t="shared" si="15"/>
        <v>2024.62</v>
      </c>
      <c r="S58" s="163">
        <f t="shared" si="15"/>
        <v>2064.7200000000003</v>
      </c>
      <c r="T58" s="164"/>
      <c r="U58" s="162"/>
      <c r="V58" s="162"/>
      <c r="W58" s="165"/>
      <c r="X58" s="289"/>
      <c r="Y58" s="162"/>
      <c r="Z58" s="168"/>
      <c r="AA58" s="302"/>
      <c r="AB58" s="186"/>
    </row>
    <row r="59" spans="1:34">
      <c r="A59" s="279">
        <v>43182</v>
      </c>
      <c r="B59" s="64" t="s">
        <v>77</v>
      </c>
      <c r="C59" s="49">
        <v>2025.24</v>
      </c>
      <c r="D59" s="49">
        <v>2020.53</v>
      </c>
      <c r="E59" s="49">
        <v>2016.62</v>
      </c>
      <c r="F59" s="49">
        <v>2017.1</v>
      </c>
      <c r="G59" s="49">
        <v>2016.82</v>
      </c>
      <c r="H59" s="49">
        <v>2018.25</v>
      </c>
      <c r="I59" s="49">
        <v>2020.41</v>
      </c>
      <c r="J59" s="49">
        <v>2024.06</v>
      </c>
      <c r="K59" s="49">
        <v>2038.05</v>
      </c>
      <c r="L59" s="49">
        <v>2029.8</v>
      </c>
      <c r="M59" s="49">
        <v>2021.29</v>
      </c>
      <c r="N59" s="49">
        <v>2016.23</v>
      </c>
      <c r="O59" s="49">
        <v>2044.97</v>
      </c>
      <c r="P59" s="49">
        <v>2030.78</v>
      </c>
      <c r="Q59" s="49">
        <v>2055.19</v>
      </c>
      <c r="R59" s="49">
        <v>2028.33</v>
      </c>
      <c r="S59" s="49">
        <v>2044.53</v>
      </c>
      <c r="T59" s="155">
        <f>IF((S60=""),"",MAX(C61:S61))</f>
        <v>2101.98</v>
      </c>
      <c r="U59" s="64">
        <f>IF(S60="","",MIN(C61:S61))</f>
        <v>1952.3600000000001</v>
      </c>
      <c r="V59" s="70">
        <f>IF((S61=""),"",AVERAGE(C61:S61))</f>
        <v>2034.8117647058821</v>
      </c>
      <c r="W59" s="156">
        <f>STDEV(C61:S61)</f>
        <v>41.109282442559234</v>
      </c>
      <c r="X59" s="98">
        <f>IF((S60=""),"",((T59-U59)/(T59+U59))*100)</f>
        <v>3.6903663728251672</v>
      </c>
      <c r="Y59" s="75" t="str">
        <f>IF(S60="","",IF(X59&lt;15,IF(V59&gt;1690,IF(V59&lt;2125,"Pass","Fail"),"Fail"),"Fail"))</f>
        <v>Pass</v>
      </c>
      <c r="Z59" s="157">
        <v>1159</v>
      </c>
      <c r="AA59" s="294" t="s">
        <v>115</v>
      </c>
      <c r="AC59" s="132">
        <v>1600</v>
      </c>
      <c r="AD59" s="132">
        <v>2600</v>
      </c>
      <c r="AE59" s="158">
        <v>1690</v>
      </c>
      <c r="AF59" s="158">
        <v>2125</v>
      </c>
      <c r="AG59" s="154">
        <v>15</v>
      </c>
      <c r="AH59" s="154">
        <v>15</v>
      </c>
    </row>
    <row r="60" spans="1:34" ht="15.75">
      <c r="A60"/>
      <c r="B60" s="64" t="s">
        <v>78</v>
      </c>
      <c r="C60" s="49">
        <v>1049.06</v>
      </c>
      <c r="D60" s="49">
        <v>1023.53</v>
      </c>
      <c r="E60" s="49">
        <v>1015.43</v>
      </c>
      <c r="F60" s="49">
        <v>1014.97</v>
      </c>
      <c r="G60" s="49">
        <v>1010.57</v>
      </c>
      <c r="H60" s="49">
        <v>995.7</v>
      </c>
      <c r="I60" s="49">
        <v>985.77</v>
      </c>
      <c r="J60" s="49">
        <v>984.25</v>
      </c>
      <c r="K60" s="49">
        <v>1023.78</v>
      </c>
      <c r="L60" s="49">
        <v>1009.7</v>
      </c>
      <c r="M60" s="49">
        <v>986.56</v>
      </c>
      <c r="N60" s="49">
        <v>989.58</v>
      </c>
      <c r="O60" s="49">
        <v>999.89</v>
      </c>
      <c r="P60" s="49">
        <v>1010.54</v>
      </c>
      <c r="Q60" s="49">
        <v>1004.2</v>
      </c>
      <c r="R60" s="49">
        <v>1011.77</v>
      </c>
      <c r="S60" s="49">
        <v>1057</v>
      </c>
      <c r="T60" s="160"/>
      <c r="U60" s="161"/>
      <c r="V60" s="161"/>
      <c r="W60" s="156"/>
      <c r="X60" s="288"/>
      <c r="Y60" s="161"/>
      <c r="Z60" s="157"/>
      <c r="AA60" s="301"/>
      <c r="AB60" s="186"/>
    </row>
    <row r="61" spans="1:34" ht="60.75" thickBot="1">
      <c r="A61"/>
      <c r="B61" s="77" t="s">
        <v>79</v>
      </c>
      <c r="C61" s="162">
        <f t="shared" ref="C61:S61" si="16">IF(((C59="")*AND(C60="")),"",(C59-C60)*2)</f>
        <v>1952.3600000000001</v>
      </c>
      <c r="D61" s="162">
        <f t="shared" si="16"/>
        <v>1994</v>
      </c>
      <c r="E61" s="162">
        <f t="shared" si="16"/>
        <v>2002.3799999999999</v>
      </c>
      <c r="F61" s="162">
        <f t="shared" si="16"/>
        <v>2004.2599999999998</v>
      </c>
      <c r="G61" s="162">
        <f t="shared" si="16"/>
        <v>2012.4999999999998</v>
      </c>
      <c r="H61" s="162">
        <f t="shared" si="16"/>
        <v>2045.1</v>
      </c>
      <c r="I61" s="162">
        <f t="shared" si="16"/>
        <v>2069.2800000000002</v>
      </c>
      <c r="J61" s="162">
        <f t="shared" si="16"/>
        <v>2079.62</v>
      </c>
      <c r="K61" s="162">
        <f t="shared" si="16"/>
        <v>2028.54</v>
      </c>
      <c r="L61" s="162">
        <f t="shared" si="16"/>
        <v>2040.1999999999998</v>
      </c>
      <c r="M61" s="162">
        <f t="shared" si="16"/>
        <v>2069.46</v>
      </c>
      <c r="N61" s="162">
        <f t="shared" si="16"/>
        <v>2053.3000000000002</v>
      </c>
      <c r="O61" s="162">
        <f t="shared" si="16"/>
        <v>2090.16</v>
      </c>
      <c r="P61" s="162">
        <f t="shared" si="16"/>
        <v>2040.48</v>
      </c>
      <c r="Q61" s="162">
        <f t="shared" si="16"/>
        <v>2101.98</v>
      </c>
      <c r="R61" s="162">
        <f t="shared" si="16"/>
        <v>2033.12</v>
      </c>
      <c r="S61" s="163">
        <f t="shared" si="16"/>
        <v>1975.06</v>
      </c>
      <c r="T61" s="164"/>
      <c r="U61" s="162"/>
      <c r="V61" s="162"/>
      <c r="W61" s="165"/>
      <c r="X61" s="289"/>
      <c r="Y61" s="162"/>
      <c r="Z61" s="166"/>
      <c r="AA61" s="301"/>
      <c r="AB61" s="186"/>
    </row>
    <row r="62" spans="1:34">
      <c r="A62" s="279">
        <v>43199</v>
      </c>
      <c r="B62" s="64" t="s">
        <v>77</v>
      </c>
      <c r="C62" s="49">
        <v>2047.38</v>
      </c>
      <c r="D62" s="49">
        <v>2016.95</v>
      </c>
      <c r="E62" s="49">
        <v>1993.87</v>
      </c>
      <c r="F62" s="49">
        <v>1983.85</v>
      </c>
      <c r="G62" s="49">
        <v>1981.97</v>
      </c>
      <c r="H62" s="49">
        <v>1988.46</v>
      </c>
      <c r="I62" s="49">
        <v>2006.88</v>
      </c>
      <c r="J62" s="49">
        <v>2030.28</v>
      </c>
      <c r="K62" s="49">
        <v>2064.4299999999998</v>
      </c>
      <c r="L62" s="49">
        <v>2020.67</v>
      </c>
      <c r="M62" s="49">
        <v>2011.76</v>
      </c>
      <c r="N62" s="49">
        <v>1995.99</v>
      </c>
      <c r="O62" s="49">
        <v>2012.46</v>
      </c>
      <c r="P62" s="49">
        <v>1996.26</v>
      </c>
      <c r="Q62" s="49">
        <v>1997.3</v>
      </c>
      <c r="R62" s="49">
        <v>2013.4</v>
      </c>
      <c r="S62" s="49">
        <v>2078.81</v>
      </c>
      <c r="T62" s="155">
        <f>IF((S63=""),"",MAX(C64:S64))</f>
        <v>2111.38</v>
      </c>
      <c r="U62" s="64">
        <f>IF(S63="","",MIN(C64:S64))</f>
        <v>1953.1800000000003</v>
      </c>
      <c r="V62" s="70">
        <f>IF((S64=""),"",AVERAGE(C64:S64))</f>
        <v>2047.2423529411767</v>
      </c>
      <c r="W62" s="156">
        <f>STDEV(C64:S64)</f>
        <v>41.167202286732191</v>
      </c>
      <c r="X62" s="98">
        <f>IF((S63=""),"",((T62-U62)/(T62+U62))*100)</f>
        <v>3.8921802113881894</v>
      </c>
      <c r="Y62" s="75" t="str">
        <f>IF(S63="","",IF(X62&lt;15,IF(V62&gt;1690,IF(V62&lt;2125,"Pass","Fail"),"Fail"),"Fail"))</f>
        <v>Pass</v>
      </c>
      <c r="Z62" s="157">
        <v>1159</v>
      </c>
      <c r="AA62" s="301"/>
      <c r="AC62" s="132">
        <v>1600</v>
      </c>
      <c r="AD62" s="132">
        <v>2600</v>
      </c>
      <c r="AE62" s="158">
        <v>1690</v>
      </c>
      <c r="AF62" s="158">
        <v>2125</v>
      </c>
      <c r="AG62" s="154">
        <v>15</v>
      </c>
      <c r="AH62" s="154">
        <v>15</v>
      </c>
    </row>
    <row r="63" spans="1:34" ht="15.75">
      <c r="A63"/>
      <c r="B63" s="64" t="s">
        <v>78</v>
      </c>
      <c r="C63" s="49">
        <v>1070.79</v>
      </c>
      <c r="D63" s="49">
        <v>1022.8</v>
      </c>
      <c r="E63" s="49">
        <v>995.21</v>
      </c>
      <c r="F63" s="49">
        <v>980</v>
      </c>
      <c r="G63" s="49">
        <v>968.48</v>
      </c>
      <c r="H63" s="49">
        <v>960.15</v>
      </c>
      <c r="I63" s="49">
        <v>959.34</v>
      </c>
      <c r="J63" s="49">
        <v>974.59</v>
      </c>
      <c r="K63" s="49">
        <v>1026.1600000000001</v>
      </c>
      <c r="L63" s="49">
        <v>996.73</v>
      </c>
      <c r="M63" s="49">
        <v>976.06</v>
      </c>
      <c r="N63" s="49">
        <v>967.29</v>
      </c>
      <c r="O63" s="49">
        <v>982.01</v>
      </c>
      <c r="P63" s="49">
        <v>972.46</v>
      </c>
      <c r="Q63" s="49">
        <v>970.93</v>
      </c>
      <c r="R63" s="49">
        <v>982.58</v>
      </c>
      <c r="S63" s="49">
        <v>1033.58</v>
      </c>
      <c r="T63" s="160"/>
      <c r="U63" s="161"/>
      <c r="V63" s="161"/>
      <c r="W63" s="156"/>
      <c r="X63" s="288"/>
      <c r="Y63" s="161"/>
      <c r="Z63" s="157"/>
      <c r="AA63" s="301"/>
      <c r="AB63" s="186"/>
    </row>
    <row r="64" spans="1:34" ht="60.75" thickBot="1">
      <c r="A64"/>
      <c r="B64" s="77" t="s">
        <v>79</v>
      </c>
      <c r="C64" s="162">
        <f t="shared" ref="C64:S64" si="17">IF(((C62="")*AND(C63="")),"",(C62-C63)*2)</f>
        <v>1953.1800000000003</v>
      </c>
      <c r="D64" s="162">
        <f t="shared" si="17"/>
        <v>1988.3000000000002</v>
      </c>
      <c r="E64" s="162">
        <f t="shared" si="17"/>
        <v>1997.3199999999997</v>
      </c>
      <c r="F64" s="162">
        <f t="shared" si="17"/>
        <v>2007.6999999999998</v>
      </c>
      <c r="G64" s="162">
        <f t="shared" si="17"/>
        <v>2026.98</v>
      </c>
      <c r="H64" s="162">
        <f t="shared" si="17"/>
        <v>2056.62</v>
      </c>
      <c r="I64" s="162">
        <f t="shared" si="17"/>
        <v>2095.08</v>
      </c>
      <c r="J64" s="162">
        <f t="shared" si="17"/>
        <v>2111.38</v>
      </c>
      <c r="K64" s="162">
        <f t="shared" si="17"/>
        <v>2076.5399999999995</v>
      </c>
      <c r="L64" s="162">
        <f t="shared" si="17"/>
        <v>2047.88</v>
      </c>
      <c r="M64" s="162">
        <f t="shared" si="17"/>
        <v>2071.4</v>
      </c>
      <c r="N64" s="162">
        <f t="shared" si="17"/>
        <v>2057.4</v>
      </c>
      <c r="O64" s="162">
        <f t="shared" si="17"/>
        <v>2060.9</v>
      </c>
      <c r="P64" s="162">
        <f t="shared" si="17"/>
        <v>2047.6</v>
      </c>
      <c r="Q64" s="162">
        <f t="shared" si="17"/>
        <v>2052.7399999999998</v>
      </c>
      <c r="R64" s="162">
        <f t="shared" si="17"/>
        <v>2061.6400000000003</v>
      </c>
      <c r="S64" s="163">
        <f t="shared" si="17"/>
        <v>2090.46</v>
      </c>
      <c r="T64" s="164"/>
      <c r="U64" s="162"/>
      <c r="V64" s="162"/>
      <c r="W64" s="165"/>
      <c r="X64" s="289"/>
      <c r="Y64" s="162"/>
      <c r="Z64" s="166"/>
      <c r="AA64" s="301"/>
      <c r="AB64" s="186"/>
    </row>
    <row r="65" spans="1:34">
      <c r="A65" s="279">
        <v>43203</v>
      </c>
      <c r="B65" s="64" t="s">
        <v>77</v>
      </c>
      <c r="C65" s="49">
        <v>2015.24</v>
      </c>
      <c r="D65" s="49">
        <v>2002.32</v>
      </c>
      <c r="E65" s="49">
        <v>1998</v>
      </c>
      <c r="F65" s="49">
        <v>1996.16</v>
      </c>
      <c r="G65" s="49">
        <v>1993.95</v>
      </c>
      <c r="H65" s="49">
        <v>1994.68</v>
      </c>
      <c r="I65" s="49">
        <v>1996.41</v>
      </c>
      <c r="J65" s="49">
        <v>2000.42</v>
      </c>
      <c r="K65" s="49">
        <v>2013.97</v>
      </c>
      <c r="L65" s="49">
        <v>2077.9299999999998</v>
      </c>
      <c r="M65" s="49">
        <v>1999.68</v>
      </c>
      <c r="N65" s="49">
        <v>1996.04</v>
      </c>
      <c r="O65" s="49">
        <v>2025.02</v>
      </c>
      <c r="P65" s="49">
        <v>2004.79</v>
      </c>
      <c r="Q65" s="49">
        <v>1997.28</v>
      </c>
      <c r="R65" s="49">
        <v>2001.06</v>
      </c>
      <c r="S65" s="49">
        <v>1869.1</v>
      </c>
      <c r="T65" s="155">
        <f>IF((S66=""),"",MAX(C67:S67))</f>
        <v>2209.7599999999998</v>
      </c>
      <c r="U65" s="64">
        <f>IF(S66="","",MIN(C67:S67))</f>
        <v>1963.52</v>
      </c>
      <c r="V65" s="70">
        <f>IF((S67=""),"",AVERAGE(C67:S67))</f>
        <v>2064.52</v>
      </c>
      <c r="W65" s="156">
        <f>STDEV(C67:S67)</f>
        <v>59.918953178451318</v>
      </c>
      <c r="X65" s="98">
        <f>IF((S66=""),"",((T65-U65)/(T65+U65))*100)</f>
        <v>5.9003948932254673</v>
      </c>
      <c r="Y65" s="75" t="str">
        <f>IF(S66="","",IF(X65&lt;13,IF(V65&gt;1970,IF(V65&lt;2300,"Pass","Fail"),"Fail"),"Fail"))</f>
        <v>Pass</v>
      </c>
      <c r="Z65" s="157">
        <v>1159</v>
      </c>
      <c r="AA65" s="301"/>
      <c r="AC65" s="132">
        <v>1600</v>
      </c>
      <c r="AD65" s="132">
        <v>2600</v>
      </c>
      <c r="AE65" s="158">
        <v>1690</v>
      </c>
      <c r="AF65" s="158">
        <v>2125</v>
      </c>
      <c r="AG65" s="154">
        <v>15</v>
      </c>
      <c r="AH65" s="154">
        <v>15</v>
      </c>
    </row>
    <row r="66" spans="1:34" ht="15.75">
      <c r="A66"/>
      <c r="B66" s="64" t="s">
        <v>78</v>
      </c>
      <c r="C66" s="49">
        <v>1033.48</v>
      </c>
      <c r="D66" s="49">
        <v>1004.43</v>
      </c>
      <c r="E66" s="49">
        <v>995.35</v>
      </c>
      <c r="F66" s="49">
        <v>986.97</v>
      </c>
      <c r="G66" s="49">
        <v>975.67</v>
      </c>
      <c r="H66" s="49">
        <v>956.27</v>
      </c>
      <c r="I66" s="49">
        <v>939.51</v>
      </c>
      <c r="J66" s="49">
        <v>931.26</v>
      </c>
      <c r="K66" s="49">
        <v>959.47</v>
      </c>
      <c r="L66" s="49">
        <v>973.05</v>
      </c>
      <c r="M66" s="49">
        <v>957.36</v>
      </c>
      <c r="N66" s="49">
        <v>960.75</v>
      </c>
      <c r="O66" s="49">
        <v>985.34</v>
      </c>
      <c r="P66" s="49">
        <v>976.57</v>
      </c>
      <c r="Q66" s="49">
        <v>963.95</v>
      </c>
      <c r="R66" s="49">
        <v>964.92</v>
      </c>
      <c r="S66" s="49">
        <v>869.28</v>
      </c>
      <c r="T66" s="160"/>
      <c r="U66" s="161"/>
      <c r="V66" s="161"/>
      <c r="W66" s="156"/>
      <c r="X66" s="288"/>
      <c r="Y66" s="161"/>
      <c r="Z66" s="167"/>
      <c r="AA66" s="302"/>
      <c r="AB66" s="186"/>
    </row>
    <row r="67" spans="1:34" ht="60.75" thickBot="1">
      <c r="A67"/>
      <c r="B67" s="77" t="s">
        <v>79</v>
      </c>
      <c r="C67" s="162">
        <f t="shared" ref="C67:S67" si="18">IF(((C65="")*AND(C66="")),"",(C65-C66)*2)</f>
        <v>1963.52</v>
      </c>
      <c r="D67" s="162">
        <f t="shared" si="18"/>
        <v>1995.78</v>
      </c>
      <c r="E67" s="162">
        <f t="shared" si="18"/>
        <v>2005.3</v>
      </c>
      <c r="F67" s="162">
        <f t="shared" si="18"/>
        <v>2018.38</v>
      </c>
      <c r="G67" s="162">
        <f t="shared" si="18"/>
        <v>2036.5600000000002</v>
      </c>
      <c r="H67" s="162">
        <f t="shared" si="18"/>
        <v>2076.8200000000002</v>
      </c>
      <c r="I67" s="162">
        <f t="shared" si="18"/>
        <v>2113.8000000000002</v>
      </c>
      <c r="J67" s="162">
        <f t="shared" si="18"/>
        <v>2138.3200000000002</v>
      </c>
      <c r="K67" s="162">
        <f t="shared" si="18"/>
        <v>2109</v>
      </c>
      <c r="L67" s="162">
        <f t="shared" si="18"/>
        <v>2209.7599999999998</v>
      </c>
      <c r="M67" s="162">
        <f t="shared" si="18"/>
        <v>2084.6400000000003</v>
      </c>
      <c r="N67" s="162">
        <f t="shared" si="18"/>
        <v>2070.58</v>
      </c>
      <c r="O67" s="162">
        <f t="shared" si="18"/>
        <v>2079.3599999999997</v>
      </c>
      <c r="P67" s="162">
        <f t="shared" si="18"/>
        <v>2056.4399999999996</v>
      </c>
      <c r="Q67" s="162">
        <f t="shared" si="18"/>
        <v>2066.66</v>
      </c>
      <c r="R67" s="162">
        <f t="shared" si="18"/>
        <v>2072.2799999999997</v>
      </c>
      <c r="S67" s="163">
        <f t="shared" si="18"/>
        <v>1999.6399999999999</v>
      </c>
      <c r="T67" s="164"/>
      <c r="U67" s="162"/>
      <c r="V67" s="162"/>
      <c r="W67" s="165"/>
      <c r="X67" s="289"/>
      <c r="Y67" s="162"/>
      <c r="Z67" s="168"/>
      <c r="AA67" s="302"/>
      <c r="AB67" s="186"/>
    </row>
    <row r="68" spans="1:34">
      <c r="A68" s="279">
        <v>43206</v>
      </c>
      <c r="B68" s="64" t="s">
        <v>77</v>
      </c>
      <c r="C68" s="49">
        <v>2046.54</v>
      </c>
      <c r="D68" s="49">
        <v>2031.63</v>
      </c>
      <c r="E68" s="49">
        <v>2017.91</v>
      </c>
      <c r="F68" s="49">
        <v>2009.61</v>
      </c>
      <c r="G68" s="49">
        <v>2007.77</v>
      </c>
      <c r="H68" s="49">
        <v>2012.49</v>
      </c>
      <c r="I68" s="49">
        <v>2018.78</v>
      </c>
      <c r="J68" s="49">
        <v>2030.4</v>
      </c>
      <c r="K68" s="49">
        <v>2049.21</v>
      </c>
      <c r="L68" s="49">
        <v>2037.1</v>
      </c>
      <c r="M68" s="49">
        <v>2025.84</v>
      </c>
      <c r="N68" s="49">
        <v>2015.11</v>
      </c>
      <c r="O68" s="49">
        <v>2041.82</v>
      </c>
      <c r="P68" s="49">
        <v>2022.12</v>
      </c>
      <c r="Q68" s="49">
        <v>2050.0700000000002</v>
      </c>
      <c r="R68" s="49">
        <v>2027.72</v>
      </c>
      <c r="S68" s="49">
        <v>2045.62</v>
      </c>
      <c r="T68" s="155">
        <f>IF((S69=""),"",MAX(C70:S70))</f>
        <v>2102.3200000000006</v>
      </c>
      <c r="U68" s="64">
        <f>IF(S69="","",MIN(C70:S70))</f>
        <v>1953.92</v>
      </c>
      <c r="V68" s="70">
        <f>IF((S70=""),"",AVERAGE(C70:S70))</f>
        <v>2037.1058823529413</v>
      </c>
      <c r="W68" s="156">
        <f>STDEV(C70:S70)</f>
        <v>46.334415268071282</v>
      </c>
      <c r="X68" s="98">
        <f>IF((S69=""),"",((T68-U68)/(T68+U68))*100)</f>
        <v>3.6585606374376396</v>
      </c>
      <c r="Y68" s="75" t="str">
        <f>IF(S69="","",IF(X68&lt;15,IF(V68&gt;1690,IF(V68&lt;2125,"Pass","Fail"),"Fail"),"Fail"))</f>
        <v>Pass</v>
      </c>
      <c r="Z68" s="157">
        <v>1335</v>
      </c>
      <c r="AA68" s="301"/>
      <c r="AC68" s="132">
        <v>1600</v>
      </c>
      <c r="AD68" s="132">
        <v>2600</v>
      </c>
      <c r="AE68" s="158">
        <v>1690</v>
      </c>
      <c r="AF68" s="158">
        <v>2125</v>
      </c>
      <c r="AG68" s="154">
        <v>15</v>
      </c>
      <c r="AH68" s="154">
        <v>15</v>
      </c>
    </row>
    <row r="69" spans="1:34" ht="15.75">
      <c r="A69"/>
      <c r="B69" s="64" t="s">
        <v>78</v>
      </c>
      <c r="C69" s="49">
        <v>1069.58</v>
      </c>
      <c r="D69" s="49">
        <v>1036.98</v>
      </c>
      <c r="E69" s="49">
        <v>1020.67</v>
      </c>
      <c r="F69" s="49">
        <v>1011.33</v>
      </c>
      <c r="G69" s="49">
        <v>1002.41</v>
      </c>
      <c r="H69" s="49">
        <v>988.61</v>
      </c>
      <c r="I69" s="49">
        <v>979.42</v>
      </c>
      <c r="J69" s="49">
        <v>981.72</v>
      </c>
      <c r="K69" s="49">
        <v>1002.41</v>
      </c>
      <c r="L69" s="49">
        <v>1016.08</v>
      </c>
      <c r="M69" s="49">
        <v>994.46</v>
      </c>
      <c r="N69" s="49">
        <v>994.49</v>
      </c>
      <c r="O69" s="49">
        <v>995.14</v>
      </c>
      <c r="P69" s="49">
        <v>1020.6</v>
      </c>
      <c r="Q69" s="49">
        <v>998.91</v>
      </c>
      <c r="R69" s="49">
        <v>1006.97</v>
      </c>
      <c r="S69" s="49">
        <v>1054.56</v>
      </c>
      <c r="T69" s="160"/>
      <c r="U69" s="161"/>
      <c r="V69" s="161"/>
      <c r="W69" s="156"/>
      <c r="X69" s="288"/>
      <c r="Y69" s="161"/>
      <c r="Z69" s="157"/>
      <c r="AA69" s="301"/>
      <c r="AB69" s="186"/>
    </row>
    <row r="70" spans="1:34" ht="60.75" thickBot="1">
      <c r="A70"/>
      <c r="B70" s="77" t="s">
        <v>79</v>
      </c>
      <c r="C70" s="162">
        <f t="shared" ref="C70:S70" si="19">IF(((C68="")*AND(C69="")),"",(C68-C69)*2)</f>
        <v>1953.92</v>
      </c>
      <c r="D70" s="162">
        <f t="shared" si="19"/>
        <v>1989.3000000000002</v>
      </c>
      <c r="E70" s="162">
        <f t="shared" si="19"/>
        <v>1994.4800000000002</v>
      </c>
      <c r="F70" s="162">
        <f t="shared" si="19"/>
        <v>1996.5599999999997</v>
      </c>
      <c r="G70" s="162">
        <f t="shared" si="19"/>
        <v>2010.72</v>
      </c>
      <c r="H70" s="162">
        <f t="shared" si="19"/>
        <v>2047.76</v>
      </c>
      <c r="I70" s="162">
        <f t="shared" si="19"/>
        <v>2078.7200000000003</v>
      </c>
      <c r="J70" s="162">
        <f t="shared" si="19"/>
        <v>2097.36</v>
      </c>
      <c r="K70" s="162">
        <f t="shared" si="19"/>
        <v>2093.6000000000004</v>
      </c>
      <c r="L70" s="162">
        <f t="shared" si="19"/>
        <v>2042.0399999999997</v>
      </c>
      <c r="M70" s="162">
        <f t="shared" si="19"/>
        <v>2062.7599999999998</v>
      </c>
      <c r="N70" s="162">
        <f t="shared" si="19"/>
        <v>2041.2399999999998</v>
      </c>
      <c r="O70" s="162">
        <f t="shared" si="19"/>
        <v>2093.3599999999997</v>
      </c>
      <c r="P70" s="162">
        <f t="shared" si="19"/>
        <v>2003.0399999999997</v>
      </c>
      <c r="Q70" s="162">
        <f t="shared" si="19"/>
        <v>2102.3200000000006</v>
      </c>
      <c r="R70" s="162">
        <f t="shared" si="19"/>
        <v>2041.5</v>
      </c>
      <c r="S70" s="163">
        <f t="shared" si="19"/>
        <v>1982.12</v>
      </c>
      <c r="T70" s="164"/>
      <c r="U70" s="162"/>
      <c r="V70" s="162"/>
      <c r="W70" s="165"/>
      <c r="X70" s="289"/>
      <c r="Y70" s="162"/>
      <c r="Z70" s="166"/>
      <c r="AA70" s="301"/>
      <c r="AB70" s="186"/>
    </row>
    <row r="71" spans="1:34">
      <c r="A71" s="278">
        <v>43214</v>
      </c>
      <c r="B71" s="64" t="s">
        <v>77</v>
      </c>
      <c r="C71" s="49">
        <v>2052.9499999999998</v>
      </c>
      <c r="D71" s="49">
        <v>2036.97</v>
      </c>
      <c r="E71" s="49">
        <v>2025.25</v>
      </c>
      <c r="F71" s="49">
        <v>2017.73</v>
      </c>
      <c r="G71" s="49">
        <v>2016.37</v>
      </c>
      <c r="H71" s="49">
        <v>2019.65</v>
      </c>
      <c r="I71" s="49">
        <v>2025.15</v>
      </c>
      <c r="J71" s="49">
        <v>2038.16</v>
      </c>
      <c r="K71" s="49">
        <v>2057.4299999999998</v>
      </c>
      <c r="L71" s="49">
        <v>2043.22</v>
      </c>
      <c r="M71" s="49">
        <v>2032.82</v>
      </c>
      <c r="N71" s="49">
        <v>2024.59</v>
      </c>
      <c r="O71" s="49">
        <v>2053.6</v>
      </c>
      <c r="P71" s="49">
        <v>2032.06</v>
      </c>
      <c r="Q71" s="49">
        <v>2062.2399999999998</v>
      </c>
      <c r="R71" s="49">
        <v>2035.31</v>
      </c>
      <c r="S71" s="49">
        <v>2051.63</v>
      </c>
      <c r="T71" s="155">
        <f>IF((S72=""),"",MAX(C73:S73))</f>
        <v>2052.7799999999997</v>
      </c>
      <c r="U71" s="64">
        <f>IF(S72="","",MIN(C73:S73))</f>
        <v>1917.6599999999999</v>
      </c>
      <c r="V71" s="70">
        <f>IF((S73=""),"",AVERAGE(C73:S73))</f>
        <v>1981.6411764705879</v>
      </c>
      <c r="W71" s="156">
        <f>STDEV(C73:S73)</f>
        <v>42.767435900824104</v>
      </c>
      <c r="X71" s="98">
        <f>IF((S72=""),"",((T71-U71)/(T71+U71))*100)</f>
        <v>3.4031492731284168</v>
      </c>
      <c r="Y71" s="75" t="str">
        <f>IF(S72="","",IF(X71&lt;13,IF(V71&gt;1970,IF(V71&lt;2300,"Pass","Fail"),"Fail"),"Fail"))</f>
        <v>Pass</v>
      </c>
      <c r="Z71" s="157">
        <v>74</v>
      </c>
      <c r="AA71" s="301"/>
      <c r="AC71" s="132">
        <v>1600</v>
      </c>
      <c r="AD71" s="132">
        <v>2600</v>
      </c>
      <c r="AE71" s="158">
        <v>1690</v>
      </c>
      <c r="AF71" s="158">
        <v>2125</v>
      </c>
      <c r="AG71" s="154">
        <v>15</v>
      </c>
      <c r="AH71" s="154">
        <v>15</v>
      </c>
    </row>
    <row r="72" spans="1:34" ht="15.75">
      <c r="A72"/>
      <c r="B72" s="64" t="s">
        <v>78</v>
      </c>
      <c r="C72" s="49">
        <v>1092.1300000000001</v>
      </c>
      <c r="D72" s="49">
        <v>1067.68</v>
      </c>
      <c r="E72" s="49">
        <v>1051.8</v>
      </c>
      <c r="F72" s="49">
        <v>1044.42</v>
      </c>
      <c r="G72" s="49">
        <v>1034.45</v>
      </c>
      <c r="H72" s="49">
        <v>1024.1099999999999</v>
      </c>
      <c r="I72" s="49">
        <v>1015.56</v>
      </c>
      <c r="J72" s="49">
        <v>1020.06</v>
      </c>
      <c r="K72" s="49">
        <v>1058.94</v>
      </c>
      <c r="L72" s="49">
        <v>1048.54</v>
      </c>
      <c r="M72" s="49">
        <v>1027.52</v>
      </c>
      <c r="N72" s="49">
        <v>1025.47</v>
      </c>
      <c r="O72" s="49">
        <v>1033.1199999999999</v>
      </c>
      <c r="P72" s="49">
        <v>1073.23</v>
      </c>
      <c r="Q72" s="49">
        <v>1035.8499999999999</v>
      </c>
      <c r="R72" s="49">
        <v>1042.55</v>
      </c>
      <c r="S72" s="49">
        <v>1085.75</v>
      </c>
      <c r="T72" s="160"/>
      <c r="U72" s="161"/>
      <c r="V72" s="161"/>
      <c r="W72" s="156"/>
      <c r="X72" s="288"/>
      <c r="Y72" s="161"/>
      <c r="Z72" s="167"/>
      <c r="AA72" s="302"/>
      <c r="AB72" s="186"/>
    </row>
    <row r="73" spans="1:34" ht="60.75" thickBot="1">
      <c r="A73"/>
      <c r="B73" s="77" t="s">
        <v>79</v>
      </c>
      <c r="C73" s="162">
        <f t="shared" ref="C73:S73" si="20">IF(((C71="")*AND(C72="")),"",(C71-C72)*2)</f>
        <v>1921.6399999999994</v>
      </c>
      <c r="D73" s="162">
        <f t="shared" si="20"/>
        <v>1938.58</v>
      </c>
      <c r="E73" s="162">
        <f t="shared" si="20"/>
        <v>1946.9</v>
      </c>
      <c r="F73" s="162">
        <f t="shared" si="20"/>
        <v>1946.62</v>
      </c>
      <c r="G73" s="162">
        <f t="shared" si="20"/>
        <v>1963.8399999999997</v>
      </c>
      <c r="H73" s="162">
        <f t="shared" si="20"/>
        <v>1991.0800000000004</v>
      </c>
      <c r="I73" s="162">
        <f t="shared" si="20"/>
        <v>2019.1800000000003</v>
      </c>
      <c r="J73" s="162">
        <f t="shared" si="20"/>
        <v>2036.2000000000003</v>
      </c>
      <c r="K73" s="162">
        <f t="shared" si="20"/>
        <v>1996.9799999999996</v>
      </c>
      <c r="L73" s="162">
        <f t="shared" si="20"/>
        <v>1989.3600000000001</v>
      </c>
      <c r="M73" s="162">
        <f t="shared" si="20"/>
        <v>2010.6</v>
      </c>
      <c r="N73" s="162">
        <f t="shared" si="20"/>
        <v>1998.2399999999998</v>
      </c>
      <c r="O73" s="162">
        <f t="shared" si="20"/>
        <v>2040.96</v>
      </c>
      <c r="P73" s="162">
        <f t="shared" si="20"/>
        <v>1917.6599999999999</v>
      </c>
      <c r="Q73" s="162">
        <f t="shared" si="20"/>
        <v>2052.7799999999997</v>
      </c>
      <c r="R73" s="162">
        <f t="shared" si="20"/>
        <v>1985.52</v>
      </c>
      <c r="S73" s="163">
        <f t="shared" si="20"/>
        <v>1931.7600000000002</v>
      </c>
      <c r="T73" s="164"/>
      <c r="U73" s="162"/>
      <c r="V73" s="162"/>
      <c r="W73" s="165"/>
      <c r="X73" s="289"/>
      <c r="Y73" s="162"/>
      <c r="Z73" s="168"/>
      <c r="AA73" s="302"/>
      <c r="AB73" s="186"/>
    </row>
    <row r="74" spans="1:34">
      <c r="A74" s="278">
        <v>43221</v>
      </c>
      <c r="B74" s="64" t="s">
        <v>77</v>
      </c>
      <c r="C74" s="49">
        <v>2025.18</v>
      </c>
      <c r="D74" s="49">
        <v>2011.66</v>
      </c>
      <c r="E74" s="49">
        <v>2006.53</v>
      </c>
      <c r="F74" s="49">
        <v>2003.15</v>
      </c>
      <c r="G74" s="49">
        <v>2002.21</v>
      </c>
      <c r="H74" s="49">
        <v>2000.88</v>
      </c>
      <c r="I74" s="49">
        <v>2002.96</v>
      </c>
      <c r="J74" s="49">
        <v>2009.36</v>
      </c>
      <c r="K74" s="49">
        <v>2020.53</v>
      </c>
      <c r="L74" s="49">
        <v>2083.77</v>
      </c>
      <c r="M74" s="49">
        <v>2007.28</v>
      </c>
      <c r="N74" s="49">
        <v>2003.08</v>
      </c>
      <c r="O74" s="49">
        <v>2034.58</v>
      </c>
      <c r="P74" s="49">
        <v>2015.08</v>
      </c>
      <c r="Q74" s="49">
        <v>2004.92</v>
      </c>
      <c r="R74" s="49">
        <v>2008.36</v>
      </c>
      <c r="S74" s="49">
        <v>2061.04</v>
      </c>
      <c r="T74" s="155">
        <f>IF((S75=""),"",MAX(C76:S76))</f>
        <v>2369.6799999999998</v>
      </c>
      <c r="U74" s="64">
        <f>IF(S75="","",MIN(C76:S76))</f>
        <v>1966.02</v>
      </c>
      <c r="V74" s="70">
        <f>IF((S76=""),"",AVERAGE(C76:S76))</f>
        <v>2059.2705882352939</v>
      </c>
      <c r="W74" s="156">
        <f>STDEV(C76:S76)</f>
        <v>86.350476292154795</v>
      </c>
      <c r="X74" s="98">
        <f>IF((S75=""),"",((T74-U74)/(T74+U74))*100)</f>
        <v>9.3101459971861491</v>
      </c>
      <c r="Y74" s="75" t="str">
        <f>IF(S75="","",IF(X74&lt;15,IF(V74&gt;1690,IF(V74&lt;2125,"Pass","Fail"),"Fail"),"Fail"))</f>
        <v>Pass</v>
      </c>
      <c r="Z74" s="157">
        <v>74</v>
      </c>
      <c r="AA74" s="301"/>
      <c r="AC74" s="132">
        <v>1600</v>
      </c>
      <c r="AD74" s="132">
        <v>2600</v>
      </c>
      <c r="AE74" s="158">
        <v>1690</v>
      </c>
      <c r="AF74" s="158">
        <v>2125</v>
      </c>
      <c r="AG74" s="154">
        <v>15</v>
      </c>
      <c r="AH74" s="154">
        <v>15</v>
      </c>
    </row>
    <row r="75" spans="1:34" ht="15.75">
      <c r="A75"/>
      <c r="B75" s="64" t="s">
        <v>78</v>
      </c>
      <c r="C75" s="49">
        <v>1042.17</v>
      </c>
      <c r="D75" s="49">
        <v>1013.04</v>
      </c>
      <c r="E75" s="49">
        <v>1004.44</v>
      </c>
      <c r="F75" s="49">
        <v>999.24</v>
      </c>
      <c r="G75" s="49">
        <v>991.51</v>
      </c>
      <c r="H75" s="49">
        <v>976.97</v>
      </c>
      <c r="I75" s="49">
        <v>964.67</v>
      </c>
      <c r="J75" s="49">
        <v>962.66</v>
      </c>
      <c r="K75" s="49">
        <v>992.71</v>
      </c>
      <c r="L75" s="49">
        <v>1048.6199999999999</v>
      </c>
      <c r="M75" s="49">
        <v>971.99</v>
      </c>
      <c r="N75" s="49">
        <v>974.74</v>
      </c>
      <c r="O75" s="49">
        <v>849.74</v>
      </c>
      <c r="P75" s="49">
        <v>995.93</v>
      </c>
      <c r="Q75" s="49">
        <v>986.19</v>
      </c>
      <c r="R75" s="49">
        <v>989.97</v>
      </c>
      <c r="S75" s="49">
        <v>1032.18</v>
      </c>
      <c r="T75" s="160"/>
      <c r="U75" s="161"/>
      <c r="V75" s="161"/>
      <c r="W75" s="156"/>
      <c r="X75" s="288"/>
      <c r="Y75" s="161"/>
      <c r="Z75" s="157"/>
      <c r="AA75" s="301"/>
      <c r="AB75" s="186"/>
    </row>
    <row r="76" spans="1:34" ht="60.75" thickBot="1">
      <c r="A76"/>
      <c r="B76" s="77" t="s">
        <v>79</v>
      </c>
      <c r="C76" s="162">
        <f t="shared" ref="C76:S76" si="21">IF(((C74="")*AND(C75="")),"",(C74-C75)*2)</f>
        <v>1966.02</v>
      </c>
      <c r="D76" s="162">
        <f t="shared" si="21"/>
        <v>1997.2400000000002</v>
      </c>
      <c r="E76" s="162">
        <f t="shared" si="21"/>
        <v>2004.1799999999998</v>
      </c>
      <c r="F76" s="162">
        <f t="shared" si="21"/>
        <v>2007.8200000000002</v>
      </c>
      <c r="G76" s="162">
        <f t="shared" si="21"/>
        <v>2021.4</v>
      </c>
      <c r="H76" s="162">
        <f t="shared" si="21"/>
        <v>2047.8200000000002</v>
      </c>
      <c r="I76" s="162">
        <f t="shared" si="21"/>
        <v>2076.58</v>
      </c>
      <c r="J76" s="162">
        <f t="shared" si="21"/>
        <v>2093.3999999999996</v>
      </c>
      <c r="K76" s="162">
        <f t="shared" si="21"/>
        <v>2055.64</v>
      </c>
      <c r="L76" s="162">
        <f t="shared" si="21"/>
        <v>2070.3000000000002</v>
      </c>
      <c r="M76" s="162">
        <f t="shared" si="21"/>
        <v>2070.58</v>
      </c>
      <c r="N76" s="162">
        <f t="shared" si="21"/>
        <v>2056.6799999999998</v>
      </c>
      <c r="O76" s="162">
        <f t="shared" si="21"/>
        <v>2369.6799999999998</v>
      </c>
      <c r="P76" s="162">
        <f t="shared" si="21"/>
        <v>2038.3</v>
      </c>
      <c r="Q76" s="162">
        <f t="shared" si="21"/>
        <v>2037.46</v>
      </c>
      <c r="R76" s="162">
        <f t="shared" si="21"/>
        <v>2036.7799999999997</v>
      </c>
      <c r="S76" s="163">
        <f t="shared" si="21"/>
        <v>2057.7199999999998</v>
      </c>
      <c r="T76" s="164"/>
      <c r="U76" s="162"/>
      <c r="V76" s="162"/>
      <c r="W76" s="165"/>
      <c r="X76" s="289"/>
      <c r="Y76" s="162"/>
      <c r="Z76" s="166"/>
      <c r="AA76" s="301"/>
      <c r="AB76" s="186"/>
    </row>
    <row r="77" spans="1:34">
      <c r="A77" s="278">
        <v>43234</v>
      </c>
      <c r="B77" s="64" t="s">
        <v>77</v>
      </c>
      <c r="C77" s="49">
        <v>1968.81</v>
      </c>
      <c r="D77" s="49">
        <v>1954.69</v>
      </c>
      <c r="E77" s="49">
        <v>1952.39</v>
      </c>
      <c r="F77" s="49">
        <v>1957.52</v>
      </c>
      <c r="G77" s="49">
        <v>1961.21</v>
      </c>
      <c r="H77" s="49">
        <v>1953.8</v>
      </c>
      <c r="I77" s="49">
        <v>1951.8</v>
      </c>
      <c r="J77" s="49">
        <v>1957.78</v>
      </c>
      <c r="K77" s="49">
        <v>1977.51</v>
      </c>
      <c r="L77" s="49">
        <v>2053.64</v>
      </c>
      <c r="M77" s="49">
        <v>1965.87</v>
      </c>
      <c r="N77" s="49">
        <v>1957.84</v>
      </c>
      <c r="O77" s="49">
        <v>1958.15</v>
      </c>
      <c r="P77" s="49">
        <v>1978.7</v>
      </c>
      <c r="Q77" s="49">
        <v>1940.86</v>
      </c>
      <c r="R77" s="49">
        <v>1940.66</v>
      </c>
      <c r="S77" s="49">
        <v>1953.62</v>
      </c>
      <c r="T77" s="155">
        <f>IF((S78=""),"",MAX(C79:S79))</f>
        <v>2038.0200000000002</v>
      </c>
      <c r="U77" s="64">
        <f>IF(S78="","",MIN(C79:S79))</f>
        <v>1666.6799999999998</v>
      </c>
      <c r="V77" s="70">
        <f>IF((S79=""),"",AVERAGE(C79:S79))</f>
        <v>1772.8023529411767</v>
      </c>
      <c r="W77" s="156">
        <f>STDEV(C79:S79)</f>
        <v>86.593111701320595</v>
      </c>
      <c r="X77" s="98">
        <f>IF((S78=""),"",((T77-U77)/(T77+U77))*100)</f>
        <v>10.023483682889314</v>
      </c>
      <c r="Y77" s="75" t="str">
        <f>IF(S78="","",IF(X77&lt;15,IF(V77&gt;1690,IF(V77&lt;2125,"Pass","Fail"),"Fail"),"Fail"))</f>
        <v>Pass</v>
      </c>
      <c r="Z77" s="157" t="s">
        <v>85</v>
      </c>
      <c r="AA77" s="301"/>
      <c r="AC77" s="132">
        <v>1600</v>
      </c>
      <c r="AD77" s="132">
        <v>2600</v>
      </c>
      <c r="AE77" s="158">
        <v>1690</v>
      </c>
      <c r="AF77" s="158">
        <v>2125</v>
      </c>
      <c r="AG77" s="154">
        <v>15</v>
      </c>
      <c r="AH77" s="154">
        <v>15</v>
      </c>
    </row>
    <row r="78" spans="1:34" ht="15.75">
      <c r="A78"/>
      <c r="B78" s="64" t="s">
        <v>78</v>
      </c>
      <c r="C78" s="49">
        <v>1126.46</v>
      </c>
      <c r="D78" s="49">
        <v>1106.22</v>
      </c>
      <c r="E78" s="49">
        <v>1102.71</v>
      </c>
      <c r="F78" s="49">
        <v>1106.51</v>
      </c>
      <c r="G78" s="49">
        <v>1095.05</v>
      </c>
      <c r="H78" s="49">
        <v>1065.1500000000001</v>
      </c>
      <c r="I78" s="49">
        <v>1038.8</v>
      </c>
      <c r="J78" s="49">
        <v>1033.8599999999999</v>
      </c>
      <c r="K78" s="49">
        <v>1074.6400000000001</v>
      </c>
      <c r="L78" s="49">
        <v>1145.98</v>
      </c>
      <c r="M78" s="49">
        <v>1067.3699999999999</v>
      </c>
      <c r="N78" s="49">
        <v>1073.0899999999999</v>
      </c>
      <c r="O78" s="49">
        <v>939.14</v>
      </c>
      <c r="P78" s="49">
        <v>1099.27</v>
      </c>
      <c r="Q78" s="49">
        <v>1107.52</v>
      </c>
      <c r="R78" s="49">
        <v>1054.32</v>
      </c>
      <c r="S78" s="49">
        <v>1079.94</v>
      </c>
      <c r="T78" s="160"/>
      <c r="U78" s="161"/>
      <c r="V78" s="161"/>
      <c r="W78" s="156"/>
      <c r="X78" s="288"/>
      <c r="Y78" s="161"/>
      <c r="Z78" s="157"/>
      <c r="AA78" s="301"/>
      <c r="AB78" s="186"/>
    </row>
    <row r="79" spans="1:34" ht="60.75" thickBot="1">
      <c r="A79"/>
      <c r="B79" s="77" t="s">
        <v>79</v>
      </c>
      <c r="C79" s="162">
        <f t="shared" ref="C79:S79" si="22">IF(((C77="")*AND(C78="")),"",(C77-C78)*2)</f>
        <v>1684.6999999999998</v>
      </c>
      <c r="D79" s="162">
        <f t="shared" si="22"/>
        <v>1696.94</v>
      </c>
      <c r="E79" s="162">
        <f t="shared" si="22"/>
        <v>1699.3600000000001</v>
      </c>
      <c r="F79" s="162">
        <f t="shared" si="22"/>
        <v>1702.02</v>
      </c>
      <c r="G79" s="162">
        <f t="shared" si="22"/>
        <v>1732.3200000000002</v>
      </c>
      <c r="H79" s="162">
        <f t="shared" si="22"/>
        <v>1777.2999999999997</v>
      </c>
      <c r="I79" s="162">
        <f t="shared" si="22"/>
        <v>1826</v>
      </c>
      <c r="J79" s="162">
        <f t="shared" si="22"/>
        <v>1847.8400000000001</v>
      </c>
      <c r="K79" s="162">
        <f t="shared" si="22"/>
        <v>1805.7399999999998</v>
      </c>
      <c r="L79" s="162">
        <f t="shared" si="22"/>
        <v>1815.3199999999997</v>
      </c>
      <c r="M79" s="162">
        <f t="shared" si="22"/>
        <v>1797</v>
      </c>
      <c r="N79" s="162">
        <f t="shared" si="22"/>
        <v>1769.5</v>
      </c>
      <c r="O79" s="162">
        <f t="shared" si="22"/>
        <v>2038.0200000000002</v>
      </c>
      <c r="P79" s="162">
        <f t="shared" si="22"/>
        <v>1758.8600000000001</v>
      </c>
      <c r="Q79" s="162">
        <f t="shared" si="22"/>
        <v>1666.6799999999998</v>
      </c>
      <c r="R79" s="162">
        <f t="shared" si="22"/>
        <v>1772.6800000000003</v>
      </c>
      <c r="S79" s="163">
        <f t="shared" si="22"/>
        <v>1747.3599999999997</v>
      </c>
      <c r="T79" s="164"/>
      <c r="U79" s="162"/>
      <c r="V79" s="162"/>
      <c r="W79" s="165"/>
      <c r="X79" s="289"/>
      <c r="Y79" s="162"/>
      <c r="Z79" s="166"/>
      <c r="AA79" s="301"/>
      <c r="AB79" s="186"/>
    </row>
    <row r="80" spans="1:34">
      <c r="A80" s="278">
        <v>43234</v>
      </c>
      <c r="B80" s="64" t="s">
        <v>77</v>
      </c>
      <c r="C80" s="49">
        <v>3859.23</v>
      </c>
      <c r="D80" s="49">
        <v>3845.53</v>
      </c>
      <c r="E80" s="49">
        <v>3836.94</v>
      </c>
      <c r="F80" s="49">
        <v>3834.82</v>
      </c>
      <c r="G80" s="49">
        <v>3833.16</v>
      </c>
      <c r="H80" s="49">
        <v>3838.05</v>
      </c>
      <c r="I80" s="49">
        <v>3842.21</v>
      </c>
      <c r="J80" s="49">
        <v>3853.68</v>
      </c>
      <c r="K80" s="49">
        <v>3875.9</v>
      </c>
      <c r="L80" s="49">
        <v>3931.42</v>
      </c>
      <c r="M80" s="49">
        <v>3846.22</v>
      </c>
      <c r="N80" s="49">
        <v>3840.17</v>
      </c>
      <c r="O80" s="49">
        <v>3847.26</v>
      </c>
      <c r="P80" s="49">
        <v>3846.71</v>
      </c>
      <c r="Q80" s="49">
        <v>3847.64</v>
      </c>
      <c r="R80" s="49">
        <v>3857.28</v>
      </c>
      <c r="S80" s="49">
        <v>3903.07</v>
      </c>
      <c r="T80" s="155">
        <f>IF((S81=""),"",MAX(C82:S82))</f>
        <v>2194.9000000000005</v>
      </c>
      <c r="U80" s="64">
        <f>IF(S81="","",MIN(C82:S82))</f>
        <v>1978.58</v>
      </c>
      <c r="V80" s="70">
        <f>IF((S82=""),"",AVERAGE(C82:S82))</f>
        <v>2050.9188235294118</v>
      </c>
      <c r="W80" s="156">
        <f>STDEV(C82:S82)</f>
        <v>48.699064400957973</v>
      </c>
      <c r="X80" s="98">
        <f>IF((S81=""),"",((T80-U80)/(T80+U80))*100)</f>
        <v>5.1832044241256838</v>
      </c>
      <c r="Y80" s="75" t="str">
        <f>IF(S81="","",IF(X80&lt;15,IF(V80&gt;1690,IF(V80&lt;2125,"Pass","Fail"),"Fail"),"Fail"))</f>
        <v>Pass</v>
      </c>
      <c r="Z80" s="157">
        <v>1159</v>
      </c>
      <c r="AA80" s="186" t="s">
        <v>86</v>
      </c>
      <c r="AC80" s="132">
        <v>1600</v>
      </c>
      <c r="AD80" s="132">
        <v>2600</v>
      </c>
      <c r="AE80" s="158">
        <v>1690</v>
      </c>
      <c r="AF80" s="158">
        <v>2125</v>
      </c>
      <c r="AG80" s="154">
        <v>15</v>
      </c>
      <c r="AH80" s="154">
        <v>15</v>
      </c>
    </row>
    <row r="81" spans="1:34" ht="15.75">
      <c r="A81"/>
      <c r="B81" s="64" t="s">
        <v>78</v>
      </c>
      <c r="C81" s="49">
        <v>2869.94</v>
      </c>
      <c r="D81" s="49">
        <v>2838.15</v>
      </c>
      <c r="E81" s="49">
        <v>2831.09</v>
      </c>
      <c r="F81" s="49">
        <v>2825.12</v>
      </c>
      <c r="G81" s="49">
        <v>2821.03</v>
      </c>
      <c r="H81" s="49">
        <v>2808.67</v>
      </c>
      <c r="I81" s="49">
        <v>2800.26</v>
      </c>
      <c r="J81" s="49">
        <v>2800.56</v>
      </c>
      <c r="K81" s="49">
        <v>2864.19</v>
      </c>
      <c r="L81" s="49">
        <v>2833.97</v>
      </c>
      <c r="M81" s="49">
        <v>2806.42</v>
      </c>
      <c r="N81" s="49">
        <v>2805.4</v>
      </c>
      <c r="O81" s="49">
        <v>2831.75</v>
      </c>
      <c r="P81" s="49">
        <v>2825.6</v>
      </c>
      <c r="Q81" s="49">
        <v>2819.38</v>
      </c>
      <c r="R81" s="49">
        <v>2833.33</v>
      </c>
      <c r="S81" s="49">
        <v>2891.62</v>
      </c>
      <c r="T81" s="160"/>
      <c r="U81" s="161"/>
      <c r="V81" s="161"/>
      <c r="W81" s="156"/>
      <c r="X81" s="288"/>
      <c r="Y81" s="161"/>
      <c r="Z81" s="157"/>
      <c r="AA81" s="301"/>
      <c r="AB81" s="186"/>
    </row>
    <row r="82" spans="1:34" ht="60.75" thickBot="1">
      <c r="A82"/>
      <c r="B82" s="77" t="s">
        <v>79</v>
      </c>
      <c r="C82" s="162">
        <f t="shared" ref="C82:S82" si="23">IF(((C80="")*AND(C81="")),"",(C80-C81)*2)</f>
        <v>1978.58</v>
      </c>
      <c r="D82" s="162">
        <f t="shared" si="23"/>
        <v>2014.7600000000002</v>
      </c>
      <c r="E82" s="162">
        <f t="shared" si="23"/>
        <v>2011.6999999999998</v>
      </c>
      <c r="F82" s="162">
        <f t="shared" si="23"/>
        <v>2019.4000000000005</v>
      </c>
      <c r="G82" s="162">
        <f t="shared" si="23"/>
        <v>2024.2599999999993</v>
      </c>
      <c r="H82" s="162">
        <f t="shared" si="23"/>
        <v>2058.7600000000002</v>
      </c>
      <c r="I82" s="162">
        <f t="shared" si="23"/>
        <v>2083.8999999999996</v>
      </c>
      <c r="J82" s="162">
        <f t="shared" si="23"/>
        <v>2106.2399999999998</v>
      </c>
      <c r="K82" s="162">
        <f t="shared" si="23"/>
        <v>2023.42</v>
      </c>
      <c r="L82" s="162">
        <f t="shared" si="23"/>
        <v>2194.9000000000005</v>
      </c>
      <c r="M82" s="162">
        <f t="shared" si="23"/>
        <v>2079.5999999999995</v>
      </c>
      <c r="N82" s="162">
        <f t="shared" si="23"/>
        <v>2069.54</v>
      </c>
      <c r="O82" s="162">
        <f t="shared" si="23"/>
        <v>2031.0200000000004</v>
      </c>
      <c r="P82" s="162">
        <f t="shared" si="23"/>
        <v>2042.2200000000003</v>
      </c>
      <c r="Q82" s="162">
        <f t="shared" si="23"/>
        <v>2056.5199999999995</v>
      </c>
      <c r="R82" s="162">
        <f t="shared" si="23"/>
        <v>2047.9000000000005</v>
      </c>
      <c r="S82" s="163">
        <f t="shared" si="23"/>
        <v>2022.9000000000005</v>
      </c>
      <c r="T82" s="164"/>
      <c r="U82" s="162"/>
      <c r="V82" s="162"/>
      <c r="W82" s="165"/>
      <c r="X82" s="289"/>
      <c r="Y82" s="162"/>
      <c r="Z82" s="166"/>
      <c r="AA82" s="301"/>
      <c r="AB82" s="186"/>
    </row>
    <row r="83" spans="1:34">
      <c r="A83" s="278">
        <v>43238</v>
      </c>
      <c r="B83" s="64" t="s">
        <v>77</v>
      </c>
      <c r="C83" s="49">
        <v>3796.65</v>
      </c>
      <c r="D83" s="49">
        <v>3787.68</v>
      </c>
      <c r="E83" s="49">
        <v>3782.28</v>
      </c>
      <c r="F83" s="49">
        <v>3775.58</v>
      </c>
      <c r="G83" s="49">
        <v>3777.81</v>
      </c>
      <c r="H83" s="49">
        <v>3779.01</v>
      </c>
      <c r="I83" s="49">
        <v>3782.87</v>
      </c>
      <c r="J83" s="49">
        <v>3793.31</v>
      </c>
      <c r="K83" s="49">
        <v>3819.97</v>
      </c>
      <c r="L83" s="49">
        <v>3802.34</v>
      </c>
      <c r="M83" s="49">
        <v>3792.99</v>
      </c>
      <c r="N83" s="49">
        <v>3778.96</v>
      </c>
      <c r="O83" s="49">
        <v>3777.36</v>
      </c>
      <c r="P83" s="49">
        <v>3799.72</v>
      </c>
      <c r="Q83" s="49">
        <v>3788.97</v>
      </c>
      <c r="R83" s="49">
        <v>3800.82</v>
      </c>
      <c r="S83" s="49">
        <v>3830.81</v>
      </c>
      <c r="T83" s="155">
        <f>IF((S84=""),"",MAX(C85:S85))</f>
        <v>2109.3999999999996</v>
      </c>
      <c r="U83" s="64">
        <f>IF(S84="","",MIN(C85:S85))</f>
        <v>1977.9400000000005</v>
      </c>
      <c r="V83" s="70">
        <f>IF((S85=""),"",AVERAGE(C85:S85))</f>
        <v>2044.2576470588237</v>
      </c>
      <c r="W83" s="156">
        <f>STDEV(C85:S85)</f>
        <v>35.695243298183698</v>
      </c>
      <c r="X83" s="98">
        <f>IF((S84=""),"",((T83-U83)/(T83+U83))*100)</f>
        <v>3.21627268590328</v>
      </c>
      <c r="Y83" s="75" t="str">
        <f>IF(S84="","",IF(X83&lt;15,IF(V83&gt;1690,IF(V83&lt;2125,"Pass","Fail"),"Fail"),"Fail"))</f>
        <v>Pass</v>
      </c>
      <c r="Z83" s="157">
        <v>64</v>
      </c>
      <c r="AA83" s="301"/>
      <c r="AC83" s="132">
        <v>1600</v>
      </c>
      <c r="AD83" s="132">
        <v>2600</v>
      </c>
      <c r="AE83" s="158">
        <v>1690</v>
      </c>
      <c r="AF83" s="158">
        <v>2125</v>
      </c>
      <c r="AG83" s="154">
        <v>15</v>
      </c>
      <c r="AH83" s="154">
        <v>15</v>
      </c>
    </row>
    <row r="84" spans="1:34" ht="15.75">
      <c r="A84"/>
      <c r="B84" s="64" t="s">
        <v>78</v>
      </c>
      <c r="C84" s="49">
        <v>2807.68</v>
      </c>
      <c r="D84" s="49">
        <v>2781.13</v>
      </c>
      <c r="E84" s="49">
        <v>2772.08</v>
      </c>
      <c r="F84" s="49">
        <v>2769.2</v>
      </c>
      <c r="G84" s="49">
        <v>2760.2</v>
      </c>
      <c r="H84" s="49">
        <v>2747.77</v>
      </c>
      <c r="I84" s="49">
        <v>2741.08</v>
      </c>
      <c r="J84" s="49">
        <v>2738.61</v>
      </c>
      <c r="K84" s="49">
        <v>2782.1</v>
      </c>
      <c r="L84" s="49">
        <v>2772.14</v>
      </c>
      <c r="M84" s="49">
        <v>2748.18</v>
      </c>
      <c r="N84" s="49">
        <v>2747.94</v>
      </c>
      <c r="O84" s="49">
        <v>2773.33</v>
      </c>
      <c r="P84" s="49">
        <v>2768.95</v>
      </c>
      <c r="Q84" s="49">
        <v>2779.08</v>
      </c>
      <c r="R84" s="49">
        <v>2774.44</v>
      </c>
      <c r="S84" s="49">
        <v>2827.03</v>
      </c>
      <c r="T84" s="160"/>
      <c r="U84" s="161"/>
      <c r="V84" s="161"/>
      <c r="W84" s="156"/>
      <c r="X84" s="288"/>
      <c r="Y84" s="161"/>
      <c r="Z84" s="157"/>
      <c r="AA84" s="301"/>
      <c r="AB84" s="186"/>
    </row>
    <row r="85" spans="1:34" ht="60.75" thickBot="1">
      <c r="A85"/>
      <c r="B85" s="77" t="s">
        <v>79</v>
      </c>
      <c r="C85" s="162">
        <f t="shared" ref="C85:S85" si="24">IF(((C83="")*AND(C84="")),"",(C83-C84)*2)</f>
        <v>1977.9400000000005</v>
      </c>
      <c r="D85" s="162">
        <f t="shared" si="24"/>
        <v>2013.0999999999995</v>
      </c>
      <c r="E85" s="162">
        <f t="shared" si="24"/>
        <v>2020.4000000000005</v>
      </c>
      <c r="F85" s="162">
        <f t="shared" si="24"/>
        <v>2012.7600000000002</v>
      </c>
      <c r="G85" s="162">
        <f t="shared" si="24"/>
        <v>2035.2200000000003</v>
      </c>
      <c r="H85" s="162">
        <f t="shared" si="24"/>
        <v>2062.4800000000005</v>
      </c>
      <c r="I85" s="162">
        <f t="shared" si="24"/>
        <v>2083.58</v>
      </c>
      <c r="J85" s="162">
        <f t="shared" si="24"/>
        <v>2109.3999999999996</v>
      </c>
      <c r="K85" s="162">
        <f t="shared" si="24"/>
        <v>2075.7399999999998</v>
      </c>
      <c r="L85" s="162">
        <f t="shared" si="24"/>
        <v>2060.4000000000005</v>
      </c>
      <c r="M85" s="162">
        <f t="shared" si="24"/>
        <v>2089.62</v>
      </c>
      <c r="N85" s="162">
        <f t="shared" si="24"/>
        <v>2062.04</v>
      </c>
      <c r="O85" s="162">
        <f t="shared" si="24"/>
        <v>2008.0600000000004</v>
      </c>
      <c r="P85" s="162">
        <f t="shared" si="24"/>
        <v>2061.54</v>
      </c>
      <c r="Q85" s="162">
        <f t="shared" si="24"/>
        <v>2019.7799999999997</v>
      </c>
      <c r="R85" s="162">
        <f t="shared" si="24"/>
        <v>2052.7600000000002</v>
      </c>
      <c r="S85" s="163">
        <f t="shared" si="24"/>
        <v>2007.5599999999995</v>
      </c>
      <c r="T85" s="164"/>
      <c r="U85" s="162"/>
      <c r="V85" s="162"/>
      <c r="W85" s="165"/>
      <c r="X85" s="289"/>
      <c r="Y85" s="162"/>
      <c r="Z85" s="166"/>
      <c r="AA85" s="301"/>
      <c r="AB85" s="186"/>
    </row>
    <row r="86" spans="1:34">
      <c r="A86" s="278">
        <v>43242</v>
      </c>
      <c r="B86" s="64" t="s">
        <v>77</v>
      </c>
      <c r="C86" s="49">
        <v>1994.61</v>
      </c>
      <c r="D86" s="49">
        <v>1985.66</v>
      </c>
      <c r="E86" s="49">
        <v>1983.17</v>
      </c>
      <c r="F86" s="49">
        <v>1980.37</v>
      </c>
      <c r="G86" s="49">
        <v>1979.89</v>
      </c>
      <c r="H86" s="49">
        <v>1982.18</v>
      </c>
      <c r="I86" s="49">
        <v>1983.74</v>
      </c>
      <c r="J86" s="49">
        <v>1988.68</v>
      </c>
      <c r="K86" s="49">
        <v>2007.84</v>
      </c>
      <c r="L86" s="49">
        <v>1997.73</v>
      </c>
      <c r="M86" s="49">
        <v>1985.76</v>
      </c>
      <c r="N86" s="49">
        <v>1984.21</v>
      </c>
      <c r="O86" s="49">
        <v>1981.7</v>
      </c>
      <c r="P86" s="49">
        <v>1981.15</v>
      </c>
      <c r="Q86" s="49">
        <v>1986.03</v>
      </c>
      <c r="R86" s="49">
        <v>1992.5</v>
      </c>
      <c r="S86" s="49">
        <v>2013.39</v>
      </c>
      <c r="T86" s="155">
        <f>IF((S87=""),"",MAX(C88:S88))</f>
        <v>2104.36</v>
      </c>
      <c r="U86" s="64">
        <f>IF(S87="","",MIN(C88:S88))</f>
        <v>1972.9599999999998</v>
      </c>
      <c r="V86" s="70">
        <f>IF((S88=""),"",AVERAGE(C88:S88))</f>
        <v>2039.1623529411766</v>
      </c>
      <c r="W86" s="156">
        <f>STDEV(C88:S88)</f>
        <v>34.171003703675055</v>
      </c>
      <c r="X86" s="98">
        <f>IF((S87=""),"",((T86-U86)/(T86+U86))*100)</f>
        <v>3.2227051102194664</v>
      </c>
      <c r="Y86" s="75" t="str">
        <f>IF(S87="","",IF(X86&lt;15,IF(V86&gt;1690,IF(V86&lt;2125,"Pass","Fail"),"Fail"),"Fail"))</f>
        <v>Pass</v>
      </c>
      <c r="Z86" s="157">
        <v>102</v>
      </c>
      <c r="AA86" s="301"/>
      <c r="AC86" s="132">
        <v>1600</v>
      </c>
      <c r="AD86" s="132">
        <v>2600</v>
      </c>
      <c r="AE86" s="158">
        <v>1690</v>
      </c>
      <c r="AF86" s="158">
        <v>2125</v>
      </c>
      <c r="AG86" s="154">
        <v>15</v>
      </c>
      <c r="AH86" s="154">
        <v>15</v>
      </c>
    </row>
    <row r="87" spans="1:34" ht="15.75">
      <c r="A87"/>
      <c r="B87" s="64" t="s">
        <v>78</v>
      </c>
      <c r="C87" s="49">
        <v>1008.13</v>
      </c>
      <c r="D87" s="49">
        <v>988.52</v>
      </c>
      <c r="E87" s="49">
        <v>983</v>
      </c>
      <c r="F87" s="49">
        <v>976.83</v>
      </c>
      <c r="G87" s="49">
        <v>968.03</v>
      </c>
      <c r="H87" s="49">
        <v>955.85</v>
      </c>
      <c r="I87" s="49">
        <v>944.78</v>
      </c>
      <c r="J87" s="49">
        <v>936.5</v>
      </c>
      <c r="K87" s="49">
        <v>969.54</v>
      </c>
      <c r="L87" s="49">
        <v>968.81</v>
      </c>
      <c r="M87" s="49">
        <v>950.65</v>
      </c>
      <c r="N87" s="49">
        <v>956.27</v>
      </c>
      <c r="O87" s="49">
        <v>962.96</v>
      </c>
      <c r="P87" s="49">
        <v>968.95</v>
      </c>
      <c r="Q87" s="49">
        <v>966.42</v>
      </c>
      <c r="R87" s="49">
        <v>968.36</v>
      </c>
      <c r="S87" s="49">
        <v>1002.13</v>
      </c>
      <c r="T87" s="160"/>
      <c r="U87" s="161"/>
      <c r="V87" s="161"/>
      <c r="W87" s="156"/>
      <c r="X87" s="288"/>
      <c r="Y87" s="161"/>
      <c r="Z87" s="157"/>
      <c r="AA87" s="301"/>
      <c r="AB87" s="186"/>
    </row>
    <row r="88" spans="1:34" ht="60.75" thickBot="1">
      <c r="A88"/>
      <c r="B88" s="77" t="s">
        <v>79</v>
      </c>
      <c r="C88" s="162">
        <f t="shared" ref="C88:S88" si="25">IF(((C86="")*AND(C87="")),"",(C86-C87)*2)</f>
        <v>1972.9599999999998</v>
      </c>
      <c r="D88" s="162">
        <f t="shared" si="25"/>
        <v>1994.2800000000002</v>
      </c>
      <c r="E88" s="162">
        <f t="shared" si="25"/>
        <v>2000.3400000000001</v>
      </c>
      <c r="F88" s="162">
        <f t="shared" si="25"/>
        <v>2007.0799999999997</v>
      </c>
      <c r="G88" s="162">
        <f t="shared" si="25"/>
        <v>2023.7200000000003</v>
      </c>
      <c r="H88" s="162">
        <f t="shared" si="25"/>
        <v>2052.66</v>
      </c>
      <c r="I88" s="162">
        <f t="shared" si="25"/>
        <v>2077.92</v>
      </c>
      <c r="J88" s="162">
        <f t="shared" si="25"/>
        <v>2104.36</v>
      </c>
      <c r="K88" s="162">
        <f t="shared" si="25"/>
        <v>2076.6</v>
      </c>
      <c r="L88" s="162">
        <f t="shared" si="25"/>
        <v>2057.84</v>
      </c>
      <c r="M88" s="162">
        <f t="shared" si="25"/>
        <v>2070.2200000000003</v>
      </c>
      <c r="N88" s="162">
        <f t="shared" si="25"/>
        <v>2055.88</v>
      </c>
      <c r="O88" s="162">
        <f t="shared" si="25"/>
        <v>2037.48</v>
      </c>
      <c r="P88" s="162">
        <f t="shared" si="25"/>
        <v>2024.4</v>
      </c>
      <c r="Q88" s="162">
        <f t="shared" si="25"/>
        <v>2039.22</v>
      </c>
      <c r="R88" s="162">
        <f t="shared" si="25"/>
        <v>2048.2799999999997</v>
      </c>
      <c r="S88" s="163">
        <f t="shared" si="25"/>
        <v>2022.5200000000002</v>
      </c>
      <c r="T88" s="164"/>
      <c r="U88" s="162"/>
      <c r="V88" s="162"/>
      <c r="W88" s="165"/>
      <c r="X88" s="289"/>
      <c r="Y88" s="162"/>
      <c r="Z88" s="166"/>
      <c r="AA88" s="301"/>
      <c r="AB88" s="186"/>
    </row>
    <row r="89" spans="1:34">
      <c r="A89" s="279">
        <v>43243</v>
      </c>
      <c r="B89" s="64" t="s">
        <v>77</v>
      </c>
      <c r="C89" s="49">
        <v>2048.13</v>
      </c>
      <c r="D89" s="49">
        <v>2035.34</v>
      </c>
      <c r="E89" s="49">
        <v>2027.11</v>
      </c>
      <c r="F89" s="49">
        <v>2017.49</v>
      </c>
      <c r="G89" s="49">
        <v>2014.12</v>
      </c>
      <c r="H89" s="49">
        <v>2019.03</v>
      </c>
      <c r="I89" s="49">
        <v>2027.01</v>
      </c>
      <c r="J89" s="49">
        <v>2036.1</v>
      </c>
      <c r="K89" s="49">
        <v>2058.41</v>
      </c>
      <c r="L89" s="49">
        <v>2056.16</v>
      </c>
      <c r="M89" s="49">
        <v>2038.47</v>
      </c>
      <c r="N89" s="49">
        <v>2026.81</v>
      </c>
      <c r="O89" s="49">
        <v>2016.21</v>
      </c>
      <c r="P89" s="49">
        <v>2017.22</v>
      </c>
      <c r="Q89" s="49">
        <v>2025.51</v>
      </c>
      <c r="R89" s="49">
        <v>2040.24</v>
      </c>
      <c r="S89" s="49">
        <v>2061.36</v>
      </c>
      <c r="T89" s="155">
        <f>IF((S90=""),"",MAX(C91:S91))</f>
        <v>2094.1999999999998</v>
      </c>
      <c r="U89" s="64">
        <f>IF(S90="","",MIN(C91:S91))</f>
        <v>1948.2600000000002</v>
      </c>
      <c r="V89" s="70">
        <f>IF((S91=""),"",AVERAGE(C91:S91))</f>
        <v>2033.3788235294114</v>
      </c>
      <c r="W89" s="156">
        <f>STDEV(C91:S91)</f>
        <v>35.543918938837528</v>
      </c>
      <c r="X89" s="98">
        <f>IF((S90=""),"",((T89-U89)/(T89+U89))*100)</f>
        <v>3.6101779609445632</v>
      </c>
      <c r="Y89" s="75" t="str">
        <f>IF(S90="","",IF(X89&lt;15,IF(V89&gt;1690,IF(V89&lt;2125,"Pass","Fail"),"Fail"),"Fail"))</f>
        <v>Pass</v>
      </c>
      <c r="Z89" s="157">
        <v>1159</v>
      </c>
      <c r="AA89" s="301"/>
      <c r="AC89" s="132">
        <v>1600</v>
      </c>
      <c r="AD89" s="132">
        <v>2600</v>
      </c>
      <c r="AE89" s="158">
        <v>1690</v>
      </c>
      <c r="AF89" s="158">
        <v>2125</v>
      </c>
      <c r="AG89" s="154">
        <v>15</v>
      </c>
      <c r="AH89" s="154">
        <v>15</v>
      </c>
    </row>
    <row r="90" spans="1:34" ht="15.75">
      <c r="A90"/>
      <c r="B90" s="64" t="s">
        <v>78</v>
      </c>
      <c r="C90" s="49">
        <v>1074</v>
      </c>
      <c r="D90" s="49">
        <v>1039</v>
      </c>
      <c r="E90" s="49">
        <v>1023</v>
      </c>
      <c r="F90" s="49">
        <v>1011</v>
      </c>
      <c r="G90" s="49">
        <v>1001</v>
      </c>
      <c r="H90" s="49">
        <v>992</v>
      </c>
      <c r="I90" s="49">
        <v>988</v>
      </c>
      <c r="J90" s="49">
        <v>989</v>
      </c>
      <c r="K90" s="49">
        <v>1024</v>
      </c>
      <c r="L90" s="49">
        <v>1052</v>
      </c>
      <c r="M90" s="49">
        <v>1006</v>
      </c>
      <c r="N90" s="49">
        <v>1000</v>
      </c>
      <c r="O90" s="49">
        <v>999</v>
      </c>
      <c r="P90" s="49">
        <v>1002</v>
      </c>
      <c r="Q90" s="49">
        <v>1007</v>
      </c>
      <c r="R90" s="49">
        <v>1017</v>
      </c>
      <c r="S90" s="49">
        <v>1057</v>
      </c>
      <c r="T90" s="160"/>
      <c r="U90" s="161"/>
      <c r="V90" s="161"/>
      <c r="W90" s="156"/>
      <c r="X90" s="288"/>
      <c r="Y90" s="161"/>
      <c r="Z90" s="157"/>
      <c r="AA90" s="301"/>
      <c r="AB90" s="186"/>
    </row>
    <row r="91" spans="1:34" ht="60.75" thickBot="1">
      <c r="A91"/>
      <c r="B91" s="77" t="s">
        <v>79</v>
      </c>
      <c r="C91" s="162">
        <f t="shared" ref="C91:S91" si="26">IF(((C89="")*AND(C90="")),"",(C89-C90)*2)</f>
        <v>1948.2600000000002</v>
      </c>
      <c r="D91" s="162">
        <f t="shared" si="26"/>
        <v>1992.6799999999998</v>
      </c>
      <c r="E91" s="162">
        <f t="shared" si="26"/>
        <v>2008.2199999999998</v>
      </c>
      <c r="F91" s="162">
        <f t="shared" si="26"/>
        <v>2012.98</v>
      </c>
      <c r="G91" s="162">
        <f t="shared" si="26"/>
        <v>2026.2399999999998</v>
      </c>
      <c r="H91" s="162">
        <f t="shared" si="26"/>
        <v>2054.06</v>
      </c>
      <c r="I91" s="162">
        <f t="shared" si="26"/>
        <v>2078.02</v>
      </c>
      <c r="J91" s="162">
        <f t="shared" si="26"/>
        <v>2094.1999999999998</v>
      </c>
      <c r="K91" s="162">
        <f t="shared" si="26"/>
        <v>2068.8199999999997</v>
      </c>
      <c r="L91" s="162">
        <f t="shared" si="26"/>
        <v>2008.3199999999997</v>
      </c>
      <c r="M91" s="162">
        <f t="shared" si="26"/>
        <v>2064.94</v>
      </c>
      <c r="N91" s="162">
        <f t="shared" si="26"/>
        <v>2053.62</v>
      </c>
      <c r="O91" s="162">
        <f t="shared" si="26"/>
        <v>2034.42</v>
      </c>
      <c r="P91" s="162">
        <f t="shared" si="26"/>
        <v>2030.44</v>
      </c>
      <c r="Q91" s="162">
        <f t="shared" si="26"/>
        <v>2037.02</v>
      </c>
      <c r="R91" s="162">
        <f t="shared" si="26"/>
        <v>2046.48</v>
      </c>
      <c r="S91" s="163">
        <f t="shared" si="26"/>
        <v>2008.7200000000003</v>
      </c>
      <c r="T91" s="164"/>
      <c r="U91" s="162"/>
      <c r="V91" s="162"/>
      <c r="W91" s="165"/>
      <c r="X91" s="289"/>
      <c r="Y91" s="162"/>
      <c r="Z91" s="166"/>
      <c r="AA91" s="301"/>
      <c r="AB91" s="186"/>
    </row>
    <row r="92" spans="1:34">
      <c r="A92" s="278">
        <v>43248</v>
      </c>
      <c r="B92" s="64" t="s">
        <v>77</v>
      </c>
      <c r="C92" s="49">
        <v>2026.18</v>
      </c>
      <c r="D92" s="49">
        <v>2014.76</v>
      </c>
      <c r="E92" s="49">
        <v>2009.89</v>
      </c>
      <c r="F92" s="49">
        <v>2005.79</v>
      </c>
      <c r="G92" s="49">
        <v>2003.8</v>
      </c>
      <c r="H92" s="49">
        <v>2006.5</v>
      </c>
      <c r="I92" s="49">
        <v>2008.14</v>
      </c>
      <c r="J92" s="49">
        <v>2011.34</v>
      </c>
      <c r="K92" s="49">
        <v>2024.56</v>
      </c>
      <c r="L92" s="49">
        <v>2014.14</v>
      </c>
      <c r="M92" s="49">
        <v>2008.94</v>
      </c>
      <c r="N92" s="49">
        <v>2007.02</v>
      </c>
      <c r="O92" s="49">
        <v>2006.09</v>
      </c>
      <c r="P92" s="49">
        <v>2006.16</v>
      </c>
      <c r="Q92" s="49">
        <v>2008.3</v>
      </c>
      <c r="R92" s="49">
        <v>2011.85</v>
      </c>
      <c r="S92" s="49">
        <v>2024.62</v>
      </c>
      <c r="T92" s="155">
        <f>IF((S93=""),"",MAX(C94:S94))</f>
        <v>2045.2399999999998</v>
      </c>
      <c r="U92" s="64">
        <f>IF(S93="","",MIN(C94:S94))</f>
        <v>1967.88</v>
      </c>
      <c r="V92" s="70">
        <f>IF((S94=""),"",AVERAGE(C94:S94))</f>
        <v>2005.3035294117649</v>
      </c>
      <c r="W92" s="156">
        <f>STDEV(C94:S94)</f>
        <v>24.624366220553956</v>
      </c>
      <c r="X92" s="98">
        <f>IF((S93=""),"",((T92-U92)/(T92+U92))*100)</f>
        <v>1.9276772187225819</v>
      </c>
      <c r="Y92" s="75" t="str">
        <f>IF(S93="","",IF(X92&lt;15,IF(V92&gt;1690,IF(V92&lt;2125,"Pass","Fail"),"Fail"),"Fail"))</f>
        <v>Pass</v>
      </c>
      <c r="Z92" s="157">
        <v>1335</v>
      </c>
      <c r="AA92" s="301"/>
      <c r="AC92" s="132">
        <v>1600</v>
      </c>
      <c r="AD92" s="132">
        <v>2600</v>
      </c>
      <c r="AE92" s="158">
        <v>1690</v>
      </c>
      <c r="AF92" s="158">
        <v>2125</v>
      </c>
      <c r="AG92" s="154">
        <v>15</v>
      </c>
      <c r="AH92" s="154">
        <v>15</v>
      </c>
    </row>
    <row r="93" spans="1:34" ht="15.75">
      <c r="A93"/>
      <c r="B93" s="64" t="s">
        <v>78</v>
      </c>
      <c r="C93" s="49">
        <v>1008</v>
      </c>
      <c r="D93" s="49">
        <v>1018</v>
      </c>
      <c r="E93" s="49">
        <v>1007</v>
      </c>
      <c r="F93" s="49">
        <v>1006</v>
      </c>
      <c r="G93" s="49">
        <v>1013</v>
      </c>
      <c r="H93" s="49">
        <v>1018</v>
      </c>
      <c r="I93" s="49">
        <v>1005</v>
      </c>
      <c r="J93" s="49">
        <v>1000</v>
      </c>
      <c r="K93" s="49">
        <v>1002</v>
      </c>
      <c r="L93" s="49">
        <v>1018</v>
      </c>
      <c r="M93" s="49">
        <v>1025</v>
      </c>
      <c r="N93" s="49">
        <v>1015</v>
      </c>
      <c r="O93" s="49">
        <v>1010</v>
      </c>
      <c r="P93" s="49">
        <v>1012</v>
      </c>
      <c r="Q93" s="49">
        <v>1002</v>
      </c>
      <c r="R93" s="49">
        <v>992</v>
      </c>
      <c r="S93" s="49">
        <v>1002</v>
      </c>
      <c r="T93" s="160"/>
      <c r="U93" s="161"/>
      <c r="V93" s="161"/>
      <c r="W93" s="156"/>
      <c r="X93" s="288"/>
      <c r="Y93" s="161"/>
      <c r="Z93" s="157"/>
      <c r="AA93" s="301"/>
      <c r="AB93" s="186"/>
    </row>
    <row r="94" spans="1:34" ht="60.75" thickBot="1">
      <c r="A94"/>
      <c r="B94" s="77" t="s">
        <v>79</v>
      </c>
      <c r="C94" s="162">
        <f t="shared" ref="C94:S94" si="27">IF(((C92="")*AND(C93="")),"",(C92-C93)*2)</f>
        <v>2036.3600000000001</v>
      </c>
      <c r="D94" s="162">
        <f t="shared" si="27"/>
        <v>1993.52</v>
      </c>
      <c r="E94" s="162">
        <f t="shared" si="27"/>
        <v>2005.7800000000002</v>
      </c>
      <c r="F94" s="162">
        <f t="shared" si="27"/>
        <v>1999.58</v>
      </c>
      <c r="G94" s="162">
        <f t="shared" si="27"/>
        <v>1981.6</v>
      </c>
      <c r="H94" s="162">
        <f t="shared" si="27"/>
        <v>1977</v>
      </c>
      <c r="I94" s="162">
        <f t="shared" si="27"/>
        <v>2006.2800000000002</v>
      </c>
      <c r="J94" s="162">
        <f t="shared" si="27"/>
        <v>2022.6799999999998</v>
      </c>
      <c r="K94" s="162">
        <f t="shared" si="27"/>
        <v>2045.12</v>
      </c>
      <c r="L94" s="162">
        <f t="shared" si="27"/>
        <v>1992.2800000000002</v>
      </c>
      <c r="M94" s="162">
        <f t="shared" si="27"/>
        <v>1967.88</v>
      </c>
      <c r="N94" s="162">
        <f t="shared" si="27"/>
        <v>1984.04</v>
      </c>
      <c r="O94" s="162">
        <f t="shared" si="27"/>
        <v>1992.1799999999998</v>
      </c>
      <c r="P94" s="162">
        <f t="shared" si="27"/>
        <v>1988.3200000000002</v>
      </c>
      <c r="Q94" s="162">
        <f t="shared" si="27"/>
        <v>2012.6</v>
      </c>
      <c r="R94" s="162">
        <f t="shared" si="27"/>
        <v>2039.6999999999998</v>
      </c>
      <c r="S94" s="163">
        <f t="shared" si="27"/>
        <v>2045.2399999999998</v>
      </c>
      <c r="T94" s="164"/>
      <c r="U94" s="162"/>
      <c r="V94" s="162"/>
      <c r="W94" s="165"/>
      <c r="X94" s="289"/>
      <c r="Y94" s="162"/>
      <c r="Z94" s="166"/>
      <c r="AA94" s="301"/>
      <c r="AB94" s="186"/>
    </row>
    <row r="95" spans="1:34">
      <c r="A95" s="278">
        <v>43251</v>
      </c>
      <c r="B95" s="64" t="s">
        <v>77</v>
      </c>
      <c r="C95" s="49">
        <v>2016.51</v>
      </c>
      <c r="D95" s="49">
        <v>2005.85</v>
      </c>
      <c r="E95" s="49">
        <v>2001.2</v>
      </c>
      <c r="F95" s="49">
        <v>1996.41</v>
      </c>
      <c r="G95" s="49">
        <v>1997.17</v>
      </c>
      <c r="H95" s="49">
        <v>1995.14</v>
      </c>
      <c r="I95" s="49">
        <v>1997.77</v>
      </c>
      <c r="J95" s="49">
        <v>2002.92</v>
      </c>
      <c r="K95" s="49">
        <v>2015.83</v>
      </c>
      <c r="L95" s="49">
        <v>2007.66</v>
      </c>
      <c r="M95" s="49">
        <v>2000.6</v>
      </c>
      <c r="N95" s="49">
        <v>1996.68</v>
      </c>
      <c r="O95" s="49">
        <v>1994.76</v>
      </c>
      <c r="P95" s="49">
        <v>1996.06</v>
      </c>
      <c r="Q95" s="49">
        <v>1998.4</v>
      </c>
      <c r="R95" s="49">
        <v>2004.05</v>
      </c>
      <c r="S95" s="49">
        <v>2016.87</v>
      </c>
      <c r="T95" s="155">
        <f>IF((S96=""),"",MAX(C97:S97))</f>
        <v>2114.08</v>
      </c>
      <c r="U95" s="64">
        <f>IF(S96="","",MIN(C97:S97))</f>
        <v>1961.96</v>
      </c>
      <c r="V95" s="70">
        <f>IF((S97=""),"",AVERAGE(C97:S97))</f>
        <v>2042.0847058823526</v>
      </c>
      <c r="W95" s="156">
        <f>STDEV(C97:S97)</f>
        <v>36.451366592644035</v>
      </c>
      <c r="X95" s="98">
        <f>IF((S96=""),"",((T95-U95)/(T95+U95))*100)</f>
        <v>3.7320536599248264</v>
      </c>
      <c r="Y95" s="75" t="str">
        <f>IF(S96="","",IF(X95&lt;15,IF(V95&gt;1690,IF(V95&lt;2125,"Pass","Fail"),"Fail"),"Fail"))</f>
        <v>Pass</v>
      </c>
      <c r="Z95" s="157"/>
      <c r="AA95" s="301"/>
      <c r="AC95" s="132">
        <v>1600</v>
      </c>
      <c r="AD95" s="132">
        <v>2600</v>
      </c>
      <c r="AE95" s="158">
        <v>1690</v>
      </c>
      <c r="AF95" s="158">
        <v>2125</v>
      </c>
      <c r="AG95" s="154">
        <v>15</v>
      </c>
      <c r="AH95" s="154">
        <v>15</v>
      </c>
    </row>
    <row r="96" spans="1:34" ht="15.75">
      <c r="A96"/>
      <c r="B96" s="64" t="s">
        <v>78</v>
      </c>
      <c r="C96" s="49">
        <v>1035.53</v>
      </c>
      <c r="D96" s="49">
        <v>1007.46</v>
      </c>
      <c r="E96" s="49">
        <v>1000.9</v>
      </c>
      <c r="F96" s="49">
        <v>991.65</v>
      </c>
      <c r="G96" s="49">
        <v>979.62</v>
      </c>
      <c r="H96" s="49">
        <v>964.31</v>
      </c>
      <c r="I96" s="49">
        <v>952.72</v>
      </c>
      <c r="J96" s="49">
        <v>945.88</v>
      </c>
      <c r="K96" s="49">
        <v>994.48</v>
      </c>
      <c r="L96" s="49">
        <v>976.51</v>
      </c>
      <c r="M96" s="49">
        <v>963.92</v>
      </c>
      <c r="N96" s="49">
        <v>967.89</v>
      </c>
      <c r="O96" s="49">
        <v>975.05</v>
      </c>
      <c r="P96" s="49">
        <v>979.4</v>
      </c>
      <c r="Q96" s="49">
        <v>974.72</v>
      </c>
      <c r="R96" s="49">
        <v>975.22</v>
      </c>
      <c r="S96" s="49">
        <v>1000.9</v>
      </c>
      <c r="T96" s="160"/>
      <c r="U96" s="161"/>
      <c r="V96" s="161"/>
      <c r="W96" s="156"/>
      <c r="X96" s="288"/>
      <c r="Y96" s="161"/>
      <c r="Z96" s="157"/>
      <c r="AA96" s="301"/>
      <c r="AB96" s="186"/>
    </row>
    <row r="97" spans="1:34" ht="60.75" thickBot="1">
      <c r="A97"/>
      <c r="B97" s="77" t="s">
        <v>79</v>
      </c>
      <c r="C97" s="162">
        <f t="shared" ref="C97:S97" si="28">IF(((C95="")*AND(C96="")),"",(C95-C96)*2)</f>
        <v>1961.96</v>
      </c>
      <c r="D97" s="162">
        <f t="shared" si="28"/>
        <v>1996.7799999999997</v>
      </c>
      <c r="E97" s="162">
        <f t="shared" si="28"/>
        <v>2000.6000000000001</v>
      </c>
      <c r="F97" s="162">
        <f t="shared" si="28"/>
        <v>2009.5200000000002</v>
      </c>
      <c r="G97" s="162">
        <f t="shared" si="28"/>
        <v>2035.1000000000001</v>
      </c>
      <c r="H97" s="162">
        <f t="shared" si="28"/>
        <v>2061.6600000000003</v>
      </c>
      <c r="I97" s="162">
        <f t="shared" si="28"/>
        <v>2090.1</v>
      </c>
      <c r="J97" s="162">
        <f t="shared" si="28"/>
        <v>2114.08</v>
      </c>
      <c r="K97" s="162">
        <f t="shared" si="28"/>
        <v>2042.6999999999998</v>
      </c>
      <c r="L97" s="162">
        <f t="shared" si="28"/>
        <v>2062.3000000000002</v>
      </c>
      <c r="M97" s="162">
        <f t="shared" si="28"/>
        <v>2073.3599999999997</v>
      </c>
      <c r="N97" s="162">
        <f t="shared" si="28"/>
        <v>2057.58</v>
      </c>
      <c r="O97" s="162">
        <f t="shared" si="28"/>
        <v>2039.42</v>
      </c>
      <c r="P97" s="162">
        <f t="shared" si="28"/>
        <v>2033.32</v>
      </c>
      <c r="Q97" s="162">
        <f t="shared" si="28"/>
        <v>2047.3600000000001</v>
      </c>
      <c r="R97" s="162">
        <f t="shared" si="28"/>
        <v>2057.66</v>
      </c>
      <c r="S97" s="163">
        <f t="shared" si="28"/>
        <v>2031.9399999999998</v>
      </c>
      <c r="T97" s="164"/>
      <c r="U97" s="162"/>
      <c r="V97" s="162"/>
      <c r="W97" s="165"/>
      <c r="X97" s="289"/>
      <c r="Y97" s="162"/>
      <c r="Z97" s="166"/>
      <c r="AA97" s="301"/>
      <c r="AB97" s="186"/>
    </row>
    <row r="98" spans="1:34">
      <c r="A98" s="279">
        <v>43255</v>
      </c>
      <c r="B98" s="64" t="s">
        <v>77</v>
      </c>
      <c r="C98" s="49">
        <v>2006.98</v>
      </c>
      <c r="D98" s="49">
        <v>2004.16</v>
      </c>
      <c r="E98" s="49">
        <v>2000.87</v>
      </c>
      <c r="F98" s="49">
        <v>1998.55</v>
      </c>
      <c r="G98" s="49">
        <v>1999.93</v>
      </c>
      <c r="H98" s="49">
        <v>2000.59</v>
      </c>
      <c r="I98" s="49">
        <v>2002.73</v>
      </c>
      <c r="J98" s="49">
        <v>2008.24</v>
      </c>
      <c r="K98" s="49">
        <v>2022.97</v>
      </c>
      <c r="L98" s="49">
        <v>2014.15</v>
      </c>
      <c r="M98" s="49">
        <v>2005.16</v>
      </c>
      <c r="N98" s="49">
        <v>2001.17</v>
      </c>
      <c r="O98" s="49">
        <v>2000.91</v>
      </c>
      <c r="P98" s="49">
        <v>2001.47</v>
      </c>
      <c r="Q98" s="49">
        <v>2005.48</v>
      </c>
      <c r="R98" s="49">
        <v>2008.45</v>
      </c>
      <c r="S98" s="49">
        <v>2026.28</v>
      </c>
      <c r="T98" s="155">
        <f>IF((S99=""),"",MAX(C100:S100))</f>
        <v>2058.48</v>
      </c>
      <c r="U98" s="64">
        <f>IF(S99="","",MIN(C100:S100))</f>
        <v>1919.96</v>
      </c>
      <c r="V98" s="70">
        <f>IF((S100=""),"",AVERAGE(C100:S100))</f>
        <v>1997.3047058823529</v>
      </c>
      <c r="W98" s="156">
        <f>STDEV(C100:S100)</f>
        <v>35.374187290599998</v>
      </c>
      <c r="X98" s="98">
        <f>IF((S99=""),"",((T98-U98)/(T98+U98))*100)</f>
        <v>3.481766722635002</v>
      </c>
      <c r="Y98" s="75" t="str">
        <f>IF(S99="","",IF(X98&lt;15,IF(V98&gt;1690,IF(V98&lt;2125,"Pass","Fail"),"Fail"),"Fail"))</f>
        <v>Pass</v>
      </c>
      <c r="Z98" s="157">
        <v>1335</v>
      </c>
      <c r="AA98" s="301"/>
      <c r="AC98" s="132">
        <v>1600</v>
      </c>
      <c r="AD98" s="132">
        <v>2600</v>
      </c>
      <c r="AE98" s="158">
        <v>1690</v>
      </c>
      <c r="AF98" s="158">
        <v>2125</v>
      </c>
      <c r="AG98" s="154">
        <v>15</v>
      </c>
      <c r="AH98" s="154">
        <v>15</v>
      </c>
    </row>
    <row r="99" spans="1:34" ht="15.75">
      <c r="A99"/>
      <c r="B99" s="64" t="s">
        <v>78</v>
      </c>
      <c r="C99" s="49">
        <v>1047</v>
      </c>
      <c r="D99" s="49">
        <v>1027</v>
      </c>
      <c r="E99" s="49">
        <v>1018</v>
      </c>
      <c r="F99" s="49">
        <v>1014</v>
      </c>
      <c r="G99" s="49">
        <v>1008</v>
      </c>
      <c r="H99" s="49">
        <v>993</v>
      </c>
      <c r="I99" s="49">
        <v>981</v>
      </c>
      <c r="J99" s="49">
        <v>979</v>
      </c>
      <c r="K99" s="49">
        <v>1007</v>
      </c>
      <c r="L99" s="49">
        <v>1027</v>
      </c>
      <c r="M99" s="49">
        <v>990</v>
      </c>
      <c r="N99" s="49">
        <v>991</v>
      </c>
      <c r="O99" s="49">
        <v>999</v>
      </c>
      <c r="P99" s="49">
        <v>1005</v>
      </c>
      <c r="Q99" s="49">
        <v>1002</v>
      </c>
      <c r="R99" s="49">
        <v>1005</v>
      </c>
      <c r="S99" s="49">
        <v>1038</v>
      </c>
      <c r="T99" s="160"/>
      <c r="U99" s="161"/>
      <c r="V99" s="161"/>
      <c r="W99" s="156"/>
      <c r="X99" s="288"/>
      <c r="Y99" s="161"/>
      <c r="Z99" s="157"/>
      <c r="AA99" s="301"/>
      <c r="AB99" s="186"/>
    </row>
    <row r="100" spans="1:34" ht="60.75" thickBot="1">
      <c r="A100"/>
      <c r="B100" s="77" t="s">
        <v>79</v>
      </c>
      <c r="C100" s="162">
        <f t="shared" ref="C100:S100" si="29">IF(((C98="")*AND(C99="")),"",(C98-C99)*2)</f>
        <v>1919.96</v>
      </c>
      <c r="D100" s="162">
        <f t="shared" si="29"/>
        <v>1954.3200000000002</v>
      </c>
      <c r="E100" s="162">
        <f t="shared" si="29"/>
        <v>1965.7399999999998</v>
      </c>
      <c r="F100" s="162">
        <f t="shared" si="29"/>
        <v>1969.1</v>
      </c>
      <c r="G100" s="162">
        <f t="shared" si="29"/>
        <v>1983.8600000000001</v>
      </c>
      <c r="H100" s="162">
        <f t="shared" si="29"/>
        <v>2015.1799999999998</v>
      </c>
      <c r="I100" s="162">
        <f t="shared" si="29"/>
        <v>2043.46</v>
      </c>
      <c r="J100" s="162">
        <f t="shared" si="29"/>
        <v>2058.48</v>
      </c>
      <c r="K100" s="162">
        <f t="shared" si="29"/>
        <v>2031.94</v>
      </c>
      <c r="L100" s="162">
        <f t="shared" si="29"/>
        <v>1974.3000000000002</v>
      </c>
      <c r="M100" s="162">
        <f t="shared" si="29"/>
        <v>2030.3200000000002</v>
      </c>
      <c r="N100" s="162">
        <f t="shared" si="29"/>
        <v>2020.3400000000001</v>
      </c>
      <c r="O100" s="162">
        <f t="shared" si="29"/>
        <v>2003.8200000000002</v>
      </c>
      <c r="P100" s="162">
        <f t="shared" si="29"/>
        <v>1992.94</v>
      </c>
      <c r="Q100" s="162">
        <f t="shared" si="29"/>
        <v>2006.96</v>
      </c>
      <c r="R100" s="162">
        <f t="shared" si="29"/>
        <v>2006.9</v>
      </c>
      <c r="S100" s="163">
        <f t="shared" si="29"/>
        <v>1976.56</v>
      </c>
      <c r="T100" s="164"/>
      <c r="U100" s="162"/>
      <c r="V100" s="162"/>
      <c r="W100" s="165"/>
      <c r="X100" s="289"/>
      <c r="Y100" s="162"/>
      <c r="Z100" s="166"/>
      <c r="AA100" s="301"/>
      <c r="AB100" s="186"/>
    </row>
    <row r="101" spans="1:34">
      <c r="A101" s="279">
        <v>43258</v>
      </c>
      <c r="B101" s="64" t="s">
        <v>77</v>
      </c>
      <c r="C101" s="49">
        <v>1989.03</v>
      </c>
      <c r="D101" s="49">
        <v>1983.32</v>
      </c>
      <c r="E101" s="49">
        <v>1979.75</v>
      </c>
      <c r="F101" s="49">
        <v>1977.11</v>
      </c>
      <c r="G101" s="49">
        <v>1978.25</v>
      </c>
      <c r="H101" s="49">
        <v>1978.47</v>
      </c>
      <c r="I101" s="49">
        <v>1980.69</v>
      </c>
      <c r="J101" s="49">
        <v>1984.74</v>
      </c>
      <c r="K101" s="49">
        <v>1998.52</v>
      </c>
      <c r="L101" s="49">
        <v>1994.2</v>
      </c>
      <c r="M101" s="49">
        <v>1983.15</v>
      </c>
      <c r="N101" s="49">
        <v>1980.24</v>
      </c>
      <c r="O101" s="49">
        <v>1977.2</v>
      </c>
      <c r="P101" s="49">
        <v>1978.96</v>
      </c>
      <c r="Q101" s="49">
        <v>1980.67</v>
      </c>
      <c r="R101" s="49">
        <v>1987.9</v>
      </c>
      <c r="S101" s="49">
        <v>2005.32</v>
      </c>
      <c r="T101" s="155">
        <f>IF((S102=""),"",MAX(C103:S103))</f>
        <v>2164.6800000000003</v>
      </c>
      <c r="U101" s="64">
        <f>IF(S102="","",MIN(C103:S103))</f>
        <v>1978.04</v>
      </c>
      <c r="V101" s="70">
        <f>IF((S103=""),"",AVERAGE(C103:S103))</f>
        <v>2072.185882352941</v>
      </c>
      <c r="W101" s="156">
        <f>STDEV(C103:S103)</f>
        <v>47.757801857249689</v>
      </c>
      <c r="X101" s="98">
        <f>IF((S102=""),"",((T101-U101)/(T101+U101))*100)</f>
        <v>4.5052525876718752</v>
      </c>
      <c r="Y101" s="75" t="str">
        <f>IF(S102="","",IF(X101&lt;15,IF(V101&gt;1690,IF(V101&lt;2125,"Pass","Fail"),"Fail"),"Fail"))</f>
        <v>Pass</v>
      </c>
      <c r="Z101" s="157">
        <v>1335</v>
      </c>
      <c r="AA101" s="301"/>
      <c r="AC101" s="132">
        <v>1600</v>
      </c>
      <c r="AD101" s="132">
        <v>2600</v>
      </c>
      <c r="AE101" s="158">
        <v>1690</v>
      </c>
      <c r="AF101" s="158">
        <v>2125</v>
      </c>
      <c r="AG101" s="154">
        <v>15</v>
      </c>
      <c r="AH101" s="154">
        <v>15</v>
      </c>
    </row>
    <row r="102" spans="1:34" ht="15.75">
      <c r="A102"/>
      <c r="B102" s="64" t="s">
        <v>78</v>
      </c>
      <c r="C102" s="49">
        <v>1000.01</v>
      </c>
      <c r="D102" s="49">
        <v>978.56</v>
      </c>
      <c r="E102" s="49">
        <v>970.6</v>
      </c>
      <c r="F102" s="49">
        <v>962.4</v>
      </c>
      <c r="G102" s="49">
        <v>949.1</v>
      </c>
      <c r="H102" s="49">
        <v>932.53</v>
      </c>
      <c r="I102" s="49">
        <v>915.99</v>
      </c>
      <c r="J102" s="49">
        <v>902.4</v>
      </c>
      <c r="K102" s="49">
        <v>929.32</v>
      </c>
      <c r="L102" s="49">
        <v>951.9</v>
      </c>
      <c r="M102" s="49">
        <v>934.06</v>
      </c>
      <c r="N102" s="49">
        <v>937.69</v>
      </c>
      <c r="O102" s="49">
        <v>945.71</v>
      </c>
      <c r="P102" s="49">
        <v>947.85</v>
      </c>
      <c r="Q102" s="49">
        <v>942.88</v>
      </c>
      <c r="R102" s="49">
        <v>941.71</v>
      </c>
      <c r="S102" s="49">
        <v>981.23</v>
      </c>
      <c r="T102" s="160"/>
      <c r="U102" s="161"/>
      <c r="V102" s="161"/>
      <c r="W102" s="156"/>
      <c r="X102" s="288"/>
      <c r="Y102" s="161"/>
      <c r="Z102" s="157"/>
      <c r="AA102" s="301"/>
      <c r="AB102" s="186"/>
    </row>
    <row r="103" spans="1:34" ht="60.75" thickBot="1">
      <c r="A103"/>
      <c r="B103" s="77" t="s">
        <v>79</v>
      </c>
      <c r="C103" s="162">
        <f t="shared" ref="C103:S103" si="30">IF(((C101="")*AND(C102="")),"",(C101-C102)*2)</f>
        <v>1978.04</v>
      </c>
      <c r="D103" s="162">
        <f t="shared" si="30"/>
        <v>2009.52</v>
      </c>
      <c r="E103" s="162">
        <f t="shared" si="30"/>
        <v>2018.3</v>
      </c>
      <c r="F103" s="162">
        <f t="shared" si="30"/>
        <v>2029.4199999999998</v>
      </c>
      <c r="G103" s="162">
        <f t="shared" si="30"/>
        <v>2058.3000000000002</v>
      </c>
      <c r="H103" s="162">
        <f t="shared" si="30"/>
        <v>2091.88</v>
      </c>
      <c r="I103" s="162">
        <f t="shared" si="30"/>
        <v>2129.4</v>
      </c>
      <c r="J103" s="162">
        <f t="shared" si="30"/>
        <v>2164.6800000000003</v>
      </c>
      <c r="K103" s="162">
        <f t="shared" si="30"/>
        <v>2138.3999999999996</v>
      </c>
      <c r="L103" s="162">
        <f t="shared" si="30"/>
        <v>2084.6000000000004</v>
      </c>
      <c r="M103" s="162">
        <f t="shared" si="30"/>
        <v>2098.1800000000003</v>
      </c>
      <c r="N103" s="162">
        <f t="shared" si="30"/>
        <v>2085.1</v>
      </c>
      <c r="O103" s="162">
        <f t="shared" si="30"/>
        <v>2062.98</v>
      </c>
      <c r="P103" s="162">
        <f t="shared" si="30"/>
        <v>2062.2200000000003</v>
      </c>
      <c r="Q103" s="162">
        <f t="shared" si="30"/>
        <v>2075.58</v>
      </c>
      <c r="R103" s="162">
        <f t="shared" si="30"/>
        <v>2092.38</v>
      </c>
      <c r="S103" s="163">
        <f t="shared" si="30"/>
        <v>2048.1799999999998</v>
      </c>
      <c r="T103" s="164"/>
      <c r="U103" s="162"/>
      <c r="V103" s="162"/>
      <c r="W103" s="165"/>
      <c r="X103" s="289"/>
      <c r="Y103" s="162"/>
      <c r="Z103" s="166"/>
      <c r="AA103" s="301"/>
      <c r="AB103" s="186"/>
    </row>
    <row r="104" spans="1:34">
      <c r="A104" s="279">
        <v>43262</v>
      </c>
      <c r="B104" s="64" t="s">
        <v>77</v>
      </c>
      <c r="C104" s="49">
        <v>1993.82</v>
      </c>
      <c r="D104" s="49">
        <v>1990.88</v>
      </c>
      <c r="E104" s="49">
        <v>1986.95</v>
      </c>
      <c r="F104" s="49">
        <v>1986.4</v>
      </c>
      <c r="G104" s="49">
        <v>1986.02</v>
      </c>
      <c r="H104" s="49">
        <v>1984.42</v>
      </c>
      <c r="I104" s="49">
        <v>1990.71</v>
      </c>
      <c r="J104" s="49">
        <v>1994.33</v>
      </c>
      <c r="K104" s="49">
        <v>2001.31</v>
      </c>
      <c r="L104" s="49">
        <v>1998.32</v>
      </c>
      <c r="M104" s="49">
        <v>1991.56</v>
      </c>
      <c r="N104" s="49">
        <v>1987</v>
      </c>
      <c r="O104" s="49">
        <v>1985.36</v>
      </c>
      <c r="P104" s="49">
        <v>1987.34</v>
      </c>
      <c r="Q104" s="49">
        <v>1991.4</v>
      </c>
      <c r="R104" s="49">
        <v>1996.74</v>
      </c>
      <c r="S104" s="49">
        <v>2011.41</v>
      </c>
      <c r="T104" s="155">
        <f>IF((S105=""),"",MAX(C106:S106))</f>
        <v>2117.8199999999997</v>
      </c>
      <c r="U104" s="64">
        <f>IF(S105="","",MIN(C106:S106))</f>
        <v>1964.12</v>
      </c>
      <c r="V104" s="70">
        <f>IF((S106=""),"",AVERAGE(C106:S106))</f>
        <v>2046.1976470588236</v>
      </c>
      <c r="W104" s="156">
        <f>STDEV(C106:S106)</f>
        <v>40.505688416780444</v>
      </c>
      <c r="X104" s="98">
        <f>IF((S105=""),"",((T104-U104)/(T104+U104))*100)</f>
        <v>3.7653664679049625</v>
      </c>
      <c r="Y104" s="75" t="str">
        <f>IF(S105="","",IF(X104&lt;15,IF(V104&gt;1690,IF(V104&lt;2125,"Pass","Fail"),"Fail"),"Fail"))</f>
        <v>Pass</v>
      </c>
      <c r="Z104" s="157">
        <v>1159</v>
      </c>
      <c r="AA104" s="186" t="s">
        <v>87</v>
      </c>
      <c r="AC104" s="132">
        <v>1600</v>
      </c>
      <c r="AD104" s="132">
        <v>2600</v>
      </c>
      <c r="AE104" s="158">
        <v>1690</v>
      </c>
      <c r="AF104" s="158">
        <v>2125</v>
      </c>
      <c r="AG104" s="154">
        <v>15</v>
      </c>
      <c r="AH104" s="154">
        <v>15</v>
      </c>
    </row>
    <row r="105" spans="1:34" ht="15.75">
      <c r="A105"/>
      <c r="B105" s="64" t="s">
        <v>78</v>
      </c>
      <c r="C105" s="49">
        <v>1011.76</v>
      </c>
      <c r="D105" s="49">
        <v>995.4</v>
      </c>
      <c r="E105" s="49">
        <v>989.79</v>
      </c>
      <c r="F105" s="49">
        <v>982.89</v>
      </c>
      <c r="G105" s="49">
        <v>970.85</v>
      </c>
      <c r="H105" s="49">
        <v>958</v>
      </c>
      <c r="I105" s="49">
        <v>944.02</v>
      </c>
      <c r="J105" s="49">
        <v>935.42</v>
      </c>
      <c r="K105" s="49">
        <v>959.28</v>
      </c>
      <c r="L105" s="49">
        <v>966.98</v>
      </c>
      <c r="M105" s="49">
        <v>954.24</v>
      </c>
      <c r="N105" s="49">
        <v>959.33</v>
      </c>
      <c r="O105" s="49">
        <v>966.32</v>
      </c>
      <c r="P105" s="49">
        <v>971.15</v>
      </c>
      <c r="Q105" s="49">
        <v>968.7</v>
      </c>
      <c r="R105" s="49">
        <v>969.16</v>
      </c>
      <c r="S105" s="49">
        <v>968</v>
      </c>
      <c r="T105" s="160"/>
      <c r="U105" s="161"/>
      <c r="V105" s="161"/>
      <c r="W105" s="156"/>
      <c r="X105" s="288"/>
      <c r="Y105" s="161"/>
      <c r="Z105" s="157"/>
      <c r="AA105" s="301"/>
      <c r="AB105" s="186"/>
      <c r="AE105" s="158"/>
      <c r="AF105" s="158"/>
      <c r="AG105" s="154"/>
      <c r="AH105" s="154"/>
    </row>
    <row r="106" spans="1:34" ht="60.75" thickBot="1">
      <c r="A106"/>
      <c r="B106" s="77" t="s">
        <v>79</v>
      </c>
      <c r="C106" s="162">
        <f t="shared" ref="C106:S106" si="31">IF(((C104="")*AND(C105="")),"",(C104-C105)*2)</f>
        <v>1964.12</v>
      </c>
      <c r="D106" s="162">
        <f t="shared" si="31"/>
        <v>1990.9600000000003</v>
      </c>
      <c r="E106" s="162">
        <f t="shared" si="31"/>
        <v>1994.3200000000002</v>
      </c>
      <c r="F106" s="162">
        <f t="shared" si="31"/>
        <v>2007.0200000000002</v>
      </c>
      <c r="G106" s="162">
        <f t="shared" si="31"/>
        <v>2030.34</v>
      </c>
      <c r="H106" s="162">
        <f t="shared" si="31"/>
        <v>2052.84</v>
      </c>
      <c r="I106" s="162">
        <f t="shared" si="31"/>
        <v>2093.38</v>
      </c>
      <c r="J106" s="162">
        <f t="shared" si="31"/>
        <v>2117.8199999999997</v>
      </c>
      <c r="K106" s="162">
        <f t="shared" si="31"/>
        <v>2084.06</v>
      </c>
      <c r="L106" s="162">
        <f t="shared" si="31"/>
        <v>2062.6799999999998</v>
      </c>
      <c r="M106" s="162">
        <f t="shared" si="31"/>
        <v>2074.64</v>
      </c>
      <c r="N106" s="162">
        <f t="shared" si="31"/>
        <v>2055.34</v>
      </c>
      <c r="O106" s="162">
        <f t="shared" si="31"/>
        <v>2038.0799999999997</v>
      </c>
      <c r="P106" s="162">
        <f t="shared" si="31"/>
        <v>2032.3799999999999</v>
      </c>
      <c r="Q106" s="162">
        <f t="shared" si="31"/>
        <v>2045.4</v>
      </c>
      <c r="R106" s="162">
        <f t="shared" si="31"/>
        <v>2055.16</v>
      </c>
      <c r="S106" s="163">
        <f t="shared" si="31"/>
        <v>2086.8200000000002</v>
      </c>
      <c r="T106" s="164"/>
      <c r="U106" s="162"/>
      <c r="V106" s="162"/>
      <c r="W106" s="165"/>
      <c r="X106" s="289"/>
      <c r="Y106" s="162"/>
      <c r="Z106" s="166"/>
      <c r="AA106" s="301"/>
      <c r="AB106" s="186"/>
      <c r="AE106" s="158"/>
      <c r="AF106" s="158"/>
      <c r="AG106" s="154"/>
      <c r="AH106" s="154"/>
    </row>
    <row r="107" spans="1:34">
      <c r="A107" s="279">
        <v>43272</v>
      </c>
      <c r="B107" s="64" t="s">
        <v>77</v>
      </c>
      <c r="C107" s="49">
        <v>2044.23</v>
      </c>
      <c r="D107" s="49">
        <v>2009.69</v>
      </c>
      <c r="E107" s="49">
        <v>1986.86</v>
      </c>
      <c r="F107" s="49">
        <v>1971.06</v>
      </c>
      <c r="G107" s="49">
        <v>1964.13</v>
      </c>
      <c r="H107" s="49">
        <v>1967.84</v>
      </c>
      <c r="I107" s="49">
        <v>1978.73</v>
      </c>
      <c r="J107" s="49">
        <v>1995.12</v>
      </c>
      <c r="K107" s="49">
        <v>2007.96</v>
      </c>
      <c r="L107" s="49">
        <v>2042.14</v>
      </c>
      <c r="M107" s="49">
        <v>2008.47</v>
      </c>
      <c r="N107" s="49">
        <v>1987.22</v>
      </c>
      <c r="O107" s="49">
        <v>1971.64</v>
      </c>
      <c r="P107" s="49">
        <v>1968.38</v>
      </c>
      <c r="Q107" s="49">
        <v>1980.22</v>
      </c>
      <c r="R107" s="49">
        <v>1994.97</v>
      </c>
      <c r="S107" s="49">
        <v>2008.06</v>
      </c>
      <c r="T107" s="155">
        <f>IF((S108=""),"",MAX(C109:S109))</f>
        <v>2112.2399999999998</v>
      </c>
      <c r="U107" s="64">
        <f>IF(S108="","",MIN(C109:S109))</f>
        <v>1958.46</v>
      </c>
      <c r="V107" s="70">
        <f>IF((S109=""),"",AVERAGE(C109:S109))</f>
        <v>2040.7905882352939</v>
      </c>
      <c r="W107" s="156">
        <f>STDEV(C109:S109)</f>
        <v>36.530545518581185</v>
      </c>
      <c r="X107" s="98">
        <f>IF((S108=""),"",((T107-U107)/(T107+U107))*100)</f>
        <v>3.7777286461787836</v>
      </c>
      <c r="Y107" s="75" t="str">
        <f>IF(S108="","",IF(X107&lt;15,IF(V107&gt;1690,IF(V107&lt;2125,"Pass","Fail"),"Fail"),"Fail"))</f>
        <v>Pass</v>
      </c>
      <c r="Z107" s="157">
        <v>1159</v>
      </c>
      <c r="AA107" s="186" t="s">
        <v>88</v>
      </c>
      <c r="AC107" s="132">
        <v>1600</v>
      </c>
      <c r="AD107" s="132">
        <v>2600</v>
      </c>
      <c r="AE107" s="158">
        <v>1690</v>
      </c>
      <c r="AF107" s="158">
        <v>2125</v>
      </c>
      <c r="AG107" s="154">
        <v>15</v>
      </c>
      <c r="AH107" s="154">
        <v>15</v>
      </c>
    </row>
    <row r="108" spans="1:34" ht="15.75">
      <c r="A108"/>
      <c r="B108" s="64" t="s">
        <v>78</v>
      </c>
      <c r="C108" s="49">
        <v>1065</v>
      </c>
      <c r="D108" s="49">
        <v>1012</v>
      </c>
      <c r="E108" s="49">
        <v>984</v>
      </c>
      <c r="F108" s="49">
        <v>966</v>
      </c>
      <c r="G108" s="49">
        <v>951</v>
      </c>
      <c r="H108" s="49">
        <v>938</v>
      </c>
      <c r="I108" s="49">
        <v>933</v>
      </c>
      <c r="J108" s="49">
        <v>939</v>
      </c>
      <c r="K108" s="49">
        <v>984</v>
      </c>
      <c r="L108" s="49">
        <v>1026</v>
      </c>
      <c r="M108" s="49">
        <v>974</v>
      </c>
      <c r="N108" s="49">
        <v>957</v>
      </c>
      <c r="O108" s="49">
        <v>951</v>
      </c>
      <c r="P108" s="49">
        <v>949</v>
      </c>
      <c r="Q108" s="49">
        <v>953</v>
      </c>
      <c r="R108" s="49">
        <v>964</v>
      </c>
      <c r="S108" s="49">
        <v>994</v>
      </c>
      <c r="T108" s="160"/>
      <c r="U108" s="161"/>
      <c r="V108" s="161"/>
      <c r="W108" s="156"/>
      <c r="X108" s="288"/>
      <c r="Y108" s="161"/>
      <c r="Z108" s="157"/>
      <c r="AA108" s="301"/>
      <c r="AB108" s="186"/>
    </row>
    <row r="109" spans="1:34" ht="60.75" thickBot="1">
      <c r="A109"/>
      <c r="B109" s="77" t="s">
        <v>79</v>
      </c>
      <c r="C109" s="162">
        <f t="shared" ref="C109:S109" si="32">IF(((C107="")*AND(C108="")),"",(C107-C108)*2)</f>
        <v>1958.46</v>
      </c>
      <c r="D109" s="162">
        <f t="shared" si="32"/>
        <v>1995.38</v>
      </c>
      <c r="E109" s="162">
        <f t="shared" si="32"/>
        <v>2005.7199999999998</v>
      </c>
      <c r="F109" s="162">
        <f t="shared" si="32"/>
        <v>2010.12</v>
      </c>
      <c r="G109" s="162">
        <f t="shared" si="32"/>
        <v>2026.2600000000002</v>
      </c>
      <c r="H109" s="162">
        <f t="shared" si="32"/>
        <v>2059.6799999999998</v>
      </c>
      <c r="I109" s="162">
        <f t="shared" si="32"/>
        <v>2091.46</v>
      </c>
      <c r="J109" s="162">
        <f t="shared" si="32"/>
        <v>2112.2399999999998</v>
      </c>
      <c r="K109" s="162">
        <f t="shared" si="32"/>
        <v>2047.92</v>
      </c>
      <c r="L109" s="162">
        <f t="shared" si="32"/>
        <v>2032.2800000000002</v>
      </c>
      <c r="M109" s="162">
        <f t="shared" si="32"/>
        <v>2068.94</v>
      </c>
      <c r="N109" s="162">
        <f t="shared" si="32"/>
        <v>2060.44</v>
      </c>
      <c r="O109" s="162">
        <f t="shared" si="32"/>
        <v>2041.2800000000002</v>
      </c>
      <c r="P109" s="162">
        <f t="shared" si="32"/>
        <v>2038.7600000000002</v>
      </c>
      <c r="Q109" s="162">
        <f t="shared" si="32"/>
        <v>2054.44</v>
      </c>
      <c r="R109" s="162">
        <f t="shared" si="32"/>
        <v>2061.94</v>
      </c>
      <c r="S109" s="163">
        <f t="shared" si="32"/>
        <v>2028.12</v>
      </c>
      <c r="T109" s="164"/>
      <c r="U109" s="162"/>
      <c r="V109" s="162"/>
      <c r="W109" s="165"/>
      <c r="X109" s="289"/>
      <c r="Y109" s="162"/>
      <c r="Z109" s="166"/>
      <c r="AA109" s="301"/>
      <c r="AB109" s="186"/>
    </row>
    <row r="110" spans="1:34">
      <c r="A110" s="278">
        <v>43283</v>
      </c>
      <c r="B110" s="64" t="s">
        <v>77</v>
      </c>
      <c r="C110" s="49">
        <v>2049.15</v>
      </c>
      <c r="D110" s="49">
        <v>2038.12</v>
      </c>
      <c r="E110" s="49">
        <v>2026.24</v>
      </c>
      <c r="F110" s="49">
        <v>2018.69</v>
      </c>
      <c r="G110" s="49">
        <v>2015.15</v>
      </c>
      <c r="H110" s="49">
        <v>2020.8</v>
      </c>
      <c r="I110" s="49">
        <v>2028.76</v>
      </c>
      <c r="J110" s="49">
        <v>2040.34</v>
      </c>
      <c r="K110" s="49">
        <v>2058.04</v>
      </c>
      <c r="L110" s="49">
        <v>2058.3200000000002</v>
      </c>
      <c r="M110" s="49">
        <v>2040.69</v>
      </c>
      <c r="N110" s="49">
        <v>2029.26</v>
      </c>
      <c r="O110" s="49">
        <v>2018.44</v>
      </c>
      <c r="P110" s="49">
        <v>2021.1</v>
      </c>
      <c r="Q110" s="49">
        <v>2028.49</v>
      </c>
      <c r="R110" s="49">
        <v>2040.51</v>
      </c>
      <c r="S110" s="49">
        <v>2064.66</v>
      </c>
      <c r="T110" s="155">
        <f>IF((S111=""),"",MAX(C112:S112))</f>
        <v>2116.6799999999998</v>
      </c>
      <c r="U110" s="64">
        <f>IF(S111="","",MIN(C112:S112))</f>
        <v>1944.3000000000002</v>
      </c>
      <c r="V110" s="70">
        <f>IF((S112=""),"",AVERAGE(C112:S112))</f>
        <v>2031.0305882352943</v>
      </c>
      <c r="W110" s="156">
        <f>STDEV(C112:S112)</f>
        <v>42.239434843290113</v>
      </c>
      <c r="X110" s="98">
        <f>IF((S111=""),"",((T110-U110)/(T110+U110))*100)</f>
        <v>4.2447882038325639</v>
      </c>
      <c r="Y110" s="75" t="str">
        <f>IF(S111="","",IF(X110&lt;15,IF(V110&gt;1690,IF(V110&lt;2125,"Pass","Fail"),"Fail"),"Fail"))</f>
        <v>Pass</v>
      </c>
      <c r="Z110" s="157">
        <v>1340</v>
      </c>
      <c r="AA110" s="301"/>
      <c r="AC110" s="132">
        <v>1600</v>
      </c>
      <c r="AD110" s="132">
        <v>2600</v>
      </c>
      <c r="AE110" s="158">
        <v>1690</v>
      </c>
      <c r="AF110" s="158">
        <v>2125</v>
      </c>
      <c r="AG110" s="154">
        <v>15</v>
      </c>
      <c r="AH110" s="154">
        <v>15</v>
      </c>
    </row>
    <row r="111" spans="1:34" ht="15.75">
      <c r="A111"/>
      <c r="B111" s="64" t="s">
        <v>78</v>
      </c>
      <c r="C111" s="49">
        <v>1077</v>
      </c>
      <c r="D111" s="49">
        <v>1047</v>
      </c>
      <c r="E111" s="49">
        <v>1031</v>
      </c>
      <c r="F111" s="49">
        <v>1019</v>
      </c>
      <c r="G111" s="49">
        <v>1007</v>
      </c>
      <c r="H111" s="49">
        <v>992</v>
      </c>
      <c r="I111" s="49">
        <v>983</v>
      </c>
      <c r="J111" s="49">
        <v>982</v>
      </c>
      <c r="K111" s="49">
        <v>1032</v>
      </c>
      <c r="L111" s="49">
        <v>1060</v>
      </c>
      <c r="M111" s="49">
        <v>1010</v>
      </c>
      <c r="N111" s="49">
        <v>1003</v>
      </c>
      <c r="O111" s="49">
        <v>1004</v>
      </c>
      <c r="P111" s="49">
        <v>1005</v>
      </c>
      <c r="Q111" s="49">
        <v>1006</v>
      </c>
      <c r="R111" s="49">
        <v>1015</v>
      </c>
      <c r="S111" s="49">
        <v>1060</v>
      </c>
      <c r="T111" s="160"/>
      <c r="U111" s="161"/>
      <c r="V111" s="161"/>
      <c r="W111" s="156"/>
      <c r="X111" s="288"/>
      <c r="Y111" s="161"/>
      <c r="Z111" s="157"/>
      <c r="AA111" s="301"/>
      <c r="AB111" s="186"/>
    </row>
    <row r="112" spans="1:34" ht="60.75" thickBot="1">
      <c r="A112"/>
      <c r="B112" s="77" t="s">
        <v>79</v>
      </c>
      <c r="C112" s="162">
        <f t="shared" ref="C112:S112" si="33">IF(((C110="")*AND(C111="")),"",(C110-C111)*2)</f>
        <v>1944.3000000000002</v>
      </c>
      <c r="D112" s="162">
        <f t="shared" si="33"/>
        <v>1982.2399999999998</v>
      </c>
      <c r="E112" s="162">
        <f t="shared" si="33"/>
        <v>1990.48</v>
      </c>
      <c r="F112" s="162">
        <f t="shared" si="33"/>
        <v>1999.38</v>
      </c>
      <c r="G112" s="162">
        <f t="shared" si="33"/>
        <v>2016.3000000000002</v>
      </c>
      <c r="H112" s="162">
        <f t="shared" si="33"/>
        <v>2057.6</v>
      </c>
      <c r="I112" s="162">
        <f t="shared" si="33"/>
        <v>2091.52</v>
      </c>
      <c r="J112" s="162">
        <f t="shared" si="33"/>
        <v>2116.6799999999998</v>
      </c>
      <c r="K112" s="162">
        <f t="shared" si="33"/>
        <v>2052.08</v>
      </c>
      <c r="L112" s="162">
        <f t="shared" si="33"/>
        <v>1996.6400000000003</v>
      </c>
      <c r="M112" s="162">
        <f t="shared" si="33"/>
        <v>2061.38</v>
      </c>
      <c r="N112" s="162">
        <f t="shared" si="33"/>
        <v>2052.52</v>
      </c>
      <c r="O112" s="162">
        <f t="shared" si="33"/>
        <v>2028.88</v>
      </c>
      <c r="P112" s="162">
        <f t="shared" si="33"/>
        <v>2032.1999999999998</v>
      </c>
      <c r="Q112" s="162">
        <f t="shared" si="33"/>
        <v>2044.98</v>
      </c>
      <c r="R112" s="162">
        <f t="shared" si="33"/>
        <v>2051.02</v>
      </c>
      <c r="S112" s="163">
        <f t="shared" si="33"/>
        <v>2009.3199999999997</v>
      </c>
      <c r="T112" s="164"/>
      <c r="U112" s="162"/>
      <c r="V112" s="162"/>
      <c r="W112" s="165"/>
      <c r="X112" s="289"/>
      <c r="Y112" s="162"/>
      <c r="Z112" s="166"/>
      <c r="AA112" s="301"/>
      <c r="AB112" s="186"/>
    </row>
    <row r="113" spans="1:34">
      <c r="A113" s="278">
        <v>43283</v>
      </c>
      <c r="B113" s="64" t="s">
        <v>77</v>
      </c>
      <c r="C113" s="49">
        <v>1996.82</v>
      </c>
      <c r="D113" s="49">
        <v>1986.01</v>
      </c>
      <c r="E113" s="49">
        <v>1981.13</v>
      </c>
      <c r="F113" s="49">
        <v>1979.17</v>
      </c>
      <c r="G113" s="49">
        <v>1975.86</v>
      </c>
      <c r="H113" s="49">
        <v>1978.19</v>
      </c>
      <c r="I113" s="49">
        <v>1979.13</v>
      </c>
      <c r="J113" s="49">
        <v>1983.67</v>
      </c>
      <c r="K113" s="49">
        <v>2004.11</v>
      </c>
      <c r="L113" s="49">
        <v>1993.8</v>
      </c>
      <c r="M113" s="49">
        <v>1985.39</v>
      </c>
      <c r="N113" s="49">
        <v>1980.49</v>
      </c>
      <c r="O113" s="49">
        <v>1979</v>
      </c>
      <c r="P113" s="49">
        <v>1977.7</v>
      </c>
      <c r="Q113" s="49">
        <v>1978.16</v>
      </c>
      <c r="R113" s="49">
        <v>1984.9</v>
      </c>
      <c r="S113" s="49">
        <v>2004.11</v>
      </c>
      <c r="T113" s="155">
        <f>IF((S114=""),"",MAX(C115:S115))</f>
        <v>2203.2199999999998</v>
      </c>
      <c r="U113" s="64">
        <f>IF(S114="","",MIN(C115:S115))</f>
        <v>1957.6</v>
      </c>
      <c r="V113" s="70">
        <f>IF((S115=""),"",AVERAGE(C115:S115))</f>
        <v>2037.1647058823528</v>
      </c>
      <c r="W113" s="156">
        <f>STDEV(C115:S115)</f>
        <v>68.231932601031673</v>
      </c>
      <c r="X113" s="98">
        <f>IF((S114=""),"",((T113-U113)/(T113+U113))*100)</f>
        <v>5.9031633187688941</v>
      </c>
      <c r="Y113" s="75" t="str">
        <f>IF(S114="","",IF(X113&lt;15,IF(V113&gt;1690,IF(V113&lt;2125,"Pass","Fail"),"Fail"),"Fail"))</f>
        <v>Pass</v>
      </c>
      <c r="Z113" s="157">
        <v>1428</v>
      </c>
      <c r="AA113" s="301"/>
      <c r="AC113" s="132">
        <v>1600</v>
      </c>
      <c r="AD113" s="132">
        <v>2600</v>
      </c>
      <c r="AE113" s="158">
        <v>1690</v>
      </c>
      <c r="AF113" s="158">
        <v>2125</v>
      </c>
      <c r="AG113" s="154">
        <v>15</v>
      </c>
      <c r="AH113" s="154">
        <v>15</v>
      </c>
    </row>
    <row r="114" spans="1:34" ht="15.75">
      <c r="A114"/>
      <c r="B114" s="64" t="s">
        <v>78</v>
      </c>
      <c r="C114" s="49">
        <v>1007.64</v>
      </c>
      <c r="D114" s="49">
        <v>987.5</v>
      </c>
      <c r="E114" s="49">
        <v>979.5</v>
      </c>
      <c r="F114" s="49">
        <v>969.8</v>
      </c>
      <c r="G114" s="49">
        <v>960.8</v>
      </c>
      <c r="H114" s="49">
        <v>946.7</v>
      </c>
      <c r="I114" s="49">
        <v>929.8</v>
      </c>
      <c r="J114" s="49">
        <v>913.1</v>
      </c>
      <c r="K114" s="49">
        <v>902.5</v>
      </c>
      <c r="L114" s="49">
        <v>947.2</v>
      </c>
      <c r="M114" s="49">
        <v>998.4</v>
      </c>
      <c r="N114" s="49">
        <v>989.6</v>
      </c>
      <c r="O114" s="49">
        <v>1000.2</v>
      </c>
      <c r="P114" s="49">
        <v>978.4</v>
      </c>
      <c r="Q114" s="49">
        <v>996.3</v>
      </c>
      <c r="R114" s="49">
        <v>956.4</v>
      </c>
      <c r="S114" s="49">
        <v>967.9</v>
      </c>
      <c r="T114" s="160"/>
      <c r="U114" s="161"/>
      <c r="V114" s="161"/>
      <c r="W114" s="156"/>
      <c r="X114" s="288"/>
      <c r="Y114" s="161"/>
      <c r="Z114" s="157"/>
      <c r="AA114" s="301"/>
      <c r="AB114" s="186"/>
    </row>
    <row r="115" spans="1:34" ht="60.75" thickBot="1">
      <c r="A115"/>
      <c r="B115" s="77" t="s">
        <v>79</v>
      </c>
      <c r="C115" s="162">
        <f t="shared" ref="C115:S115" si="34">IF(((C113="")*AND(C114="")),"",(C113-C114)*2)</f>
        <v>1978.36</v>
      </c>
      <c r="D115" s="162">
        <f t="shared" si="34"/>
        <v>1997.02</v>
      </c>
      <c r="E115" s="162">
        <f t="shared" si="34"/>
        <v>2003.2600000000002</v>
      </c>
      <c r="F115" s="162">
        <f t="shared" si="34"/>
        <v>2018.7400000000002</v>
      </c>
      <c r="G115" s="162">
        <f t="shared" si="34"/>
        <v>2030.12</v>
      </c>
      <c r="H115" s="162">
        <f t="shared" si="34"/>
        <v>2062.98</v>
      </c>
      <c r="I115" s="162">
        <f t="shared" si="34"/>
        <v>2098.6600000000003</v>
      </c>
      <c r="J115" s="162">
        <f t="shared" si="34"/>
        <v>2141.1400000000003</v>
      </c>
      <c r="K115" s="162">
        <f t="shared" si="34"/>
        <v>2203.2199999999998</v>
      </c>
      <c r="L115" s="162">
        <f t="shared" si="34"/>
        <v>2093.1999999999998</v>
      </c>
      <c r="M115" s="162">
        <f t="shared" si="34"/>
        <v>1973.9800000000002</v>
      </c>
      <c r="N115" s="162">
        <f t="shared" si="34"/>
        <v>1981.78</v>
      </c>
      <c r="O115" s="162">
        <f t="shared" si="34"/>
        <v>1957.6</v>
      </c>
      <c r="P115" s="162">
        <f t="shared" si="34"/>
        <v>1998.6000000000001</v>
      </c>
      <c r="Q115" s="162">
        <f t="shared" si="34"/>
        <v>1963.7200000000003</v>
      </c>
      <c r="R115" s="162">
        <f t="shared" si="34"/>
        <v>2057</v>
      </c>
      <c r="S115" s="163">
        <f t="shared" si="34"/>
        <v>2072.42</v>
      </c>
      <c r="T115" s="164"/>
      <c r="U115" s="162"/>
      <c r="V115" s="162"/>
      <c r="W115" s="165"/>
      <c r="X115" s="289"/>
      <c r="Y115" s="162"/>
      <c r="Z115" s="166"/>
      <c r="AA115" s="301"/>
      <c r="AB115" s="186"/>
    </row>
    <row r="116" spans="1:34">
      <c r="A116" s="278">
        <v>43294</v>
      </c>
      <c r="B116" s="64" t="s">
        <v>77</v>
      </c>
      <c r="C116" s="49">
        <v>3067</v>
      </c>
      <c r="D116" s="49">
        <v>3055</v>
      </c>
      <c r="E116" s="49">
        <v>3050</v>
      </c>
      <c r="F116" s="49">
        <v>3046</v>
      </c>
      <c r="G116" s="49">
        <v>3045</v>
      </c>
      <c r="H116" s="49">
        <v>3045</v>
      </c>
      <c r="I116" s="49">
        <v>3050</v>
      </c>
      <c r="J116" s="49">
        <v>3057</v>
      </c>
      <c r="K116" s="49">
        <v>3074</v>
      </c>
      <c r="L116" s="49">
        <v>3077</v>
      </c>
      <c r="M116" s="49">
        <v>3057</v>
      </c>
      <c r="N116" s="49">
        <v>3049</v>
      </c>
      <c r="O116" s="49">
        <v>3054</v>
      </c>
      <c r="P116" s="49">
        <v>3047</v>
      </c>
      <c r="Q116" s="49">
        <v>3053</v>
      </c>
      <c r="R116" s="49">
        <v>3063</v>
      </c>
      <c r="S116" s="49">
        <v>3063</v>
      </c>
      <c r="T116" s="155">
        <f>IF((S117=""),"",MAX(C118:S118))</f>
        <v>2176</v>
      </c>
      <c r="U116" s="64">
        <f>IF(S117="","",MIN(C118:S118))</f>
        <v>2008</v>
      </c>
      <c r="V116" s="70">
        <f>IF((S118=""),"",AVERAGE(C118:S118))</f>
        <v>2093.8823529411766</v>
      </c>
      <c r="W116" s="156">
        <f>STDEV(C118:S118)</f>
        <v>42.263876941397513</v>
      </c>
      <c r="X116" s="98">
        <f>IF((S117=""),"",((T116-U116)/(T116+U116))*100)</f>
        <v>4.0152963671128106</v>
      </c>
      <c r="Y116" s="75" t="str">
        <f>IF(S117="","",IF(X116&lt;15,IF(V116&gt;1690,IF(V116&lt;2125,"Pass","Fail"),"Fail"),"Fail"))</f>
        <v>Pass</v>
      </c>
      <c r="Z116" s="157">
        <v>1335</v>
      </c>
      <c r="AA116" s="301"/>
      <c r="AC116" s="132">
        <v>1600</v>
      </c>
      <c r="AD116" s="132">
        <v>2600</v>
      </c>
      <c r="AE116" s="158">
        <v>1690</v>
      </c>
      <c r="AF116" s="158">
        <v>2125</v>
      </c>
      <c r="AG116" s="154">
        <v>15</v>
      </c>
      <c r="AH116" s="154">
        <v>15</v>
      </c>
    </row>
    <row r="117" spans="1:34" ht="15.75">
      <c r="A117"/>
      <c r="B117" s="64" t="s">
        <v>78</v>
      </c>
      <c r="C117" s="49">
        <v>2063</v>
      </c>
      <c r="D117" s="49">
        <v>2039</v>
      </c>
      <c r="E117" s="49">
        <v>2028</v>
      </c>
      <c r="F117" s="49">
        <v>2020</v>
      </c>
      <c r="G117" s="49">
        <v>2008</v>
      </c>
      <c r="H117" s="49">
        <v>1990</v>
      </c>
      <c r="I117" s="49">
        <v>1975</v>
      </c>
      <c r="J117" s="49">
        <v>1969</v>
      </c>
      <c r="K117" s="49">
        <v>2014</v>
      </c>
      <c r="L117" s="49">
        <v>2029</v>
      </c>
      <c r="M117" s="49">
        <v>1996</v>
      </c>
      <c r="N117" s="49">
        <v>2002</v>
      </c>
      <c r="O117" s="49">
        <v>2005</v>
      </c>
      <c r="P117" s="49">
        <v>2002</v>
      </c>
      <c r="Q117" s="49">
        <v>2005</v>
      </c>
      <c r="R117" s="49">
        <v>2004</v>
      </c>
      <c r="S117" s="49">
        <v>2005</v>
      </c>
      <c r="T117" s="160"/>
      <c r="U117" s="161"/>
      <c r="V117" s="161"/>
      <c r="W117" s="156"/>
      <c r="X117" s="288"/>
      <c r="Y117" s="161"/>
      <c r="Z117" s="157"/>
      <c r="AA117" s="301"/>
      <c r="AB117" s="186"/>
    </row>
    <row r="118" spans="1:34" ht="60.75" thickBot="1">
      <c r="A118"/>
      <c r="B118" s="77" t="s">
        <v>79</v>
      </c>
      <c r="C118" s="162">
        <f t="shared" ref="C118:S118" si="35">IF(((C116="")*AND(C117="")),"",(C116-C117)*2)</f>
        <v>2008</v>
      </c>
      <c r="D118" s="162">
        <f t="shared" si="35"/>
        <v>2032</v>
      </c>
      <c r="E118" s="162">
        <f t="shared" si="35"/>
        <v>2044</v>
      </c>
      <c r="F118" s="162">
        <f t="shared" si="35"/>
        <v>2052</v>
      </c>
      <c r="G118" s="162">
        <f t="shared" si="35"/>
        <v>2074</v>
      </c>
      <c r="H118" s="162">
        <f t="shared" si="35"/>
        <v>2110</v>
      </c>
      <c r="I118" s="162">
        <f t="shared" si="35"/>
        <v>2150</v>
      </c>
      <c r="J118" s="162">
        <f t="shared" si="35"/>
        <v>2176</v>
      </c>
      <c r="K118" s="162">
        <f t="shared" si="35"/>
        <v>2120</v>
      </c>
      <c r="L118" s="162">
        <f t="shared" si="35"/>
        <v>2096</v>
      </c>
      <c r="M118" s="162">
        <f t="shared" si="35"/>
        <v>2122</v>
      </c>
      <c r="N118" s="162">
        <f t="shared" si="35"/>
        <v>2094</v>
      </c>
      <c r="O118" s="162">
        <f t="shared" si="35"/>
        <v>2098</v>
      </c>
      <c r="P118" s="162">
        <f t="shared" si="35"/>
        <v>2090</v>
      </c>
      <c r="Q118" s="162">
        <f t="shared" si="35"/>
        <v>2096</v>
      </c>
      <c r="R118" s="162">
        <f t="shared" si="35"/>
        <v>2118</v>
      </c>
      <c r="S118" s="163">
        <f t="shared" si="35"/>
        <v>2116</v>
      </c>
      <c r="T118" s="164"/>
      <c r="U118" s="162"/>
      <c r="V118" s="162"/>
      <c r="W118" s="165"/>
      <c r="X118" s="289"/>
      <c r="Y118" s="162"/>
      <c r="Z118" s="166"/>
      <c r="AA118" s="301"/>
      <c r="AB118" s="186"/>
    </row>
    <row r="119" spans="1:34">
      <c r="A119" s="278">
        <v>43300</v>
      </c>
      <c r="B119" s="64" t="s">
        <v>77</v>
      </c>
      <c r="C119" s="49">
        <v>2002</v>
      </c>
      <c r="D119" s="49">
        <v>1984</v>
      </c>
      <c r="E119" s="49">
        <v>1979</v>
      </c>
      <c r="F119" s="49">
        <v>1976</v>
      </c>
      <c r="G119" s="49">
        <v>1975</v>
      </c>
      <c r="H119" s="49">
        <v>1974</v>
      </c>
      <c r="I119" s="49">
        <v>1975</v>
      </c>
      <c r="J119" s="49">
        <v>1979</v>
      </c>
      <c r="K119" s="49">
        <v>1993</v>
      </c>
      <c r="L119" s="49">
        <v>1987</v>
      </c>
      <c r="M119" s="49">
        <v>1978</v>
      </c>
      <c r="N119" s="49">
        <v>1976</v>
      </c>
      <c r="O119" s="49">
        <v>1975</v>
      </c>
      <c r="P119" s="49">
        <v>1975</v>
      </c>
      <c r="Q119" s="49">
        <v>1977</v>
      </c>
      <c r="R119" s="49">
        <v>1980</v>
      </c>
      <c r="S119" s="49">
        <v>1996</v>
      </c>
      <c r="T119" s="155">
        <f>IF((S120=""),"",MAX(C121:S121))</f>
        <v>2106</v>
      </c>
      <c r="U119" s="64">
        <f>IF(S120="","",MIN(C121:S121))</f>
        <v>1962</v>
      </c>
      <c r="V119" s="70">
        <f>IF((S121=""),"",AVERAGE(C121:S121))</f>
        <v>2038.2352941176471</v>
      </c>
      <c r="W119" s="156">
        <f>STDEV(C121:S121)</f>
        <v>40.142759950835085</v>
      </c>
      <c r="X119" s="98">
        <f>IF((S120=""),"",((T119-U119)/(T119+U119))*100)</f>
        <v>3.5398230088495577</v>
      </c>
      <c r="Y119" s="75" t="str">
        <f>IF(S120="","",IF(X119&lt;15,IF(V119&gt;1690,IF(V119&lt;2125,"Pass","Fail"),"Fail"),"Fail"))</f>
        <v>Pass</v>
      </c>
      <c r="Z119" s="157">
        <v>1335</v>
      </c>
      <c r="AA119" s="301"/>
      <c r="AC119" s="132">
        <v>1600</v>
      </c>
      <c r="AD119" s="132">
        <v>2600</v>
      </c>
      <c r="AE119" s="158">
        <v>1690</v>
      </c>
      <c r="AF119" s="158">
        <v>2125</v>
      </c>
      <c r="AG119" s="154">
        <v>15</v>
      </c>
      <c r="AH119" s="154">
        <v>15</v>
      </c>
    </row>
    <row r="120" spans="1:34" ht="15.75">
      <c r="A120"/>
      <c r="B120" s="64" t="s">
        <v>78</v>
      </c>
      <c r="C120" s="49">
        <v>1021</v>
      </c>
      <c r="D120" s="49">
        <v>988</v>
      </c>
      <c r="E120" s="49">
        <v>979</v>
      </c>
      <c r="F120" s="49">
        <v>972</v>
      </c>
      <c r="G120" s="49">
        <v>961</v>
      </c>
      <c r="H120" s="49">
        <v>947</v>
      </c>
      <c r="I120" s="49">
        <v>933</v>
      </c>
      <c r="J120" s="49">
        <v>926</v>
      </c>
      <c r="K120" s="49">
        <v>951</v>
      </c>
      <c r="L120" s="49">
        <v>961</v>
      </c>
      <c r="M120" s="49">
        <v>967</v>
      </c>
      <c r="N120" s="49">
        <v>943</v>
      </c>
      <c r="O120" s="49">
        <v>948</v>
      </c>
      <c r="P120" s="49">
        <v>956</v>
      </c>
      <c r="Q120" s="49">
        <v>955</v>
      </c>
      <c r="R120" s="49">
        <v>990</v>
      </c>
      <c r="S120" s="49">
        <v>958</v>
      </c>
      <c r="T120" s="160"/>
      <c r="U120" s="161"/>
      <c r="V120" s="161"/>
      <c r="W120" s="156"/>
      <c r="X120" s="288"/>
      <c r="Y120" s="161"/>
      <c r="Z120" s="157"/>
      <c r="AA120" s="301"/>
      <c r="AB120" s="186"/>
    </row>
    <row r="121" spans="1:34" ht="60.75" thickBot="1">
      <c r="A121"/>
      <c r="B121" s="77" t="s">
        <v>79</v>
      </c>
      <c r="C121" s="162">
        <f t="shared" ref="C121:S121" si="36">IF(((C119="")*AND(C120="")),"",(C119-C120)*2)</f>
        <v>1962</v>
      </c>
      <c r="D121" s="162">
        <f t="shared" si="36"/>
        <v>1992</v>
      </c>
      <c r="E121" s="162">
        <f t="shared" si="36"/>
        <v>2000</v>
      </c>
      <c r="F121" s="162">
        <f t="shared" si="36"/>
        <v>2008</v>
      </c>
      <c r="G121" s="162">
        <f t="shared" si="36"/>
        <v>2028</v>
      </c>
      <c r="H121" s="162">
        <f t="shared" si="36"/>
        <v>2054</v>
      </c>
      <c r="I121" s="162">
        <f t="shared" si="36"/>
        <v>2084</v>
      </c>
      <c r="J121" s="162">
        <f t="shared" si="36"/>
        <v>2106</v>
      </c>
      <c r="K121" s="162">
        <f t="shared" si="36"/>
        <v>2084</v>
      </c>
      <c r="L121" s="162">
        <f t="shared" si="36"/>
        <v>2052</v>
      </c>
      <c r="M121" s="162">
        <f t="shared" si="36"/>
        <v>2022</v>
      </c>
      <c r="N121" s="162">
        <f t="shared" si="36"/>
        <v>2066</v>
      </c>
      <c r="O121" s="162">
        <f t="shared" si="36"/>
        <v>2054</v>
      </c>
      <c r="P121" s="162">
        <f t="shared" si="36"/>
        <v>2038</v>
      </c>
      <c r="Q121" s="162">
        <f t="shared" si="36"/>
        <v>2044</v>
      </c>
      <c r="R121" s="162">
        <f t="shared" si="36"/>
        <v>1980</v>
      </c>
      <c r="S121" s="163">
        <f t="shared" si="36"/>
        <v>2076</v>
      </c>
      <c r="T121" s="164"/>
      <c r="U121" s="162"/>
      <c r="V121" s="162"/>
      <c r="W121" s="165"/>
      <c r="X121" s="289"/>
      <c r="Y121" s="162"/>
      <c r="Z121" s="166"/>
      <c r="AA121" s="301"/>
      <c r="AB121" s="186"/>
    </row>
    <row r="122" spans="1:34">
      <c r="A122" s="279">
        <v>43305</v>
      </c>
      <c r="B122" s="64" t="s">
        <v>77</v>
      </c>
      <c r="C122" s="49">
        <v>2059.35</v>
      </c>
      <c r="D122" s="49">
        <v>2029.83</v>
      </c>
      <c r="E122" s="49">
        <v>2008.67</v>
      </c>
      <c r="F122" s="49">
        <v>1997.54</v>
      </c>
      <c r="G122" s="49">
        <v>1993.19</v>
      </c>
      <c r="H122" s="49">
        <v>2004.39</v>
      </c>
      <c r="I122" s="49">
        <v>2021.64</v>
      </c>
      <c r="J122" s="49">
        <v>2043.27</v>
      </c>
      <c r="K122" s="49">
        <v>2075.39</v>
      </c>
      <c r="L122" s="49">
        <v>2030.66</v>
      </c>
      <c r="M122" s="49">
        <v>2026.88</v>
      </c>
      <c r="N122" s="49">
        <v>2009.88</v>
      </c>
      <c r="O122" s="49">
        <v>1998.27</v>
      </c>
      <c r="P122" s="49">
        <v>1999.06</v>
      </c>
      <c r="Q122" s="49">
        <v>2010.17</v>
      </c>
      <c r="R122" s="49">
        <v>2025.71</v>
      </c>
      <c r="S122" s="49">
        <v>2039.1</v>
      </c>
      <c r="T122" s="155">
        <f>IF((S123=""),"",MAX(C124:S124))</f>
        <v>2106.54</v>
      </c>
      <c r="U122" s="64">
        <f>IF(S123="","",MIN(C124:S124))</f>
        <v>1944.6999999999998</v>
      </c>
      <c r="V122" s="70">
        <f>IF((S124=""),"",AVERAGE(C124:S124))</f>
        <v>2040.4705882352941</v>
      </c>
      <c r="W122" s="156">
        <f>STDEV(C124:S124)</f>
        <v>39.764989071824154</v>
      </c>
      <c r="X122" s="98">
        <f>IF((S123=""),"",((T122-U122)/(T122+U122))*100)</f>
        <v>3.9948262754119765</v>
      </c>
      <c r="Y122" s="75" t="str">
        <f>IF(S123="","",IF(X122&lt;15,IF(V122&gt;1690,IF(V122&lt;2125,"Pass","Fail"),"Fail"),"Fail"))</f>
        <v>Pass</v>
      </c>
      <c r="Z122" s="157">
        <v>1340</v>
      </c>
      <c r="AA122" s="301"/>
      <c r="AC122" s="132">
        <v>1600</v>
      </c>
      <c r="AD122" s="132">
        <v>2600</v>
      </c>
      <c r="AE122" s="158">
        <v>1690</v>
      </c>
      <c r="AF122" s="158">
        <v>2125</v>
      </c>
      <c r="AG122" s="154">
        <v>15</v>
      </c>
      <c r="AH122" s="154">
        <v>15</v>
      </c>
    </row>
    <row r="123" spans="1:34" ht="15.75">
      <c r="A123"/>
      <c r="B123" s="64" t="s">
        <v>78</v>
      </c>
      <c r="C123" s="49">
        <v>1087</v>
      </c>
      <c r="D123" s="49">
        <v>1034</v>
      </c>
      <c r="E123" s="49">
        <v>1008</v>
      </c>
      <c r="F123" s="49">
        <v>991</v>
      </c>
      <c r="G123" s="49">
        <v>979</v>
      </c>
      <c r="H123" s="49">
        <v>975</v>
      </c>
      <c r="I123" s="49">
        <v>978</v>
      </c>
      <c r="J123" s="49">
        <v>990</v>
      </c>
      <c r="K123" s="49">
        <v>1030</v>
      </c>
      <c r="L123" s="49">
        <v>1012</v>
      </c>
      <c r="M123" s="49">
        <v>990</v>
      </c>
      <c r="N123" s="49">
        <v>982</v>
      </c>
      <c r="O123" s="49">
        <v>978</v>
      </c>
      <c r="P123" s="49">
        <v>982</v>
      </c>
      <c r="Q123" s="49">
        <v>988</v>
      </c>
      <c r="R123" s="49">
        <v>998</v>
      </c>
      <c r="S123" s="49">
        <v>1027</v>
      </c>
      <c r="T123" s="160"/>
      <c r="U123" s="161"/>
      <c r="V123" s="161"/>
      <c r="W123" s="156"/>
      <c r="X123" s="288"/>
      <c r="Y123" s="161"/>
      <c r="Z123" s="157"/>
      <c r="AA123" s="301"/>
      <c r="AB123" s="186"/>
    </row>
    <row r="124" spans="1:34" ht="60.75" thickBot="1">
      <c r="A124"/>
      <c r="B124" s="77" t="s">
        <v>79</v>
      </c>
      <c r="C124" s="162">
        <f t="shared" ref="C124:S124" si="37">IF(((C122="")*AND(C123="")),"",(C122-C123)*2)</f>
        <v>1944.6999999999998</v>
      </c>
      <c r="D124" s="162">
        <f t="shared" si="37"/>
        <v>1991.6599999999999</v>
      </c>
      <c r="E124" s="162">
        <f t="shared" si="37"/>
        <v>2001.3400000000001</v>
      </c>
      <c r="F124" s="162">
        <f t="shared" si="37"/>
        <v>2013.08</v>
      </c>
      <c r="G124" s="162">
        <f t="shared" si="37"/>
        <v>2028.38</v>
      </c>
      <c r="H124" s="162">
        <f t="shared" si="37"/>
        <v>2058.7800000000002</v>
      </c>
      <c r="I124" s="162">
        <f t="shared" si="37"/>
        <v>2087.2800000000002</v>
      </c>
      <c r="J124" s="162">
        <f t="shared" si="37"/>
        <v>2106.54</v>
      </c>
      <c r="K124" s="162">
        <f t="shared" si="37"/>
        <v>2090.7799999999997</v>
      </c>
      <c r="L124" s="162">
        <f t="shared" si="37"/>
        <v>2037.3200000000002</v>
      </c>
      <c r="M124" s="162">
        <f t="shared" si="37"/>
        <v>2073.7600000000002</v>
      </c>
      <c r="N124" s="162">
        <f t="shared" si="37"/>
        <v>2055.7600000000002</v>
      </c>
      <c r="O124" s="162">
        <f t="shared" si="37"/>
        <v>2040.54</v>
      </c>
      <c r="P124" s="162">
        <f t="shared" si="37"/>
        <v>2034.12</v>
      </c>
      <c r="Q124" s="162">
        <f t="shared" si="37"/>
        <v>2044.3400000000001</v>
      </c>
      <c r="R124" s="162">
        <f t="shared" si="37"/>
        <v>2055.42</v>
      </c>
      <c r="S124" s="163">
        <f t="shared" si="37"/>
        <v>2024.1999999999998</v>
      </c>
      <c r="T124" s="164"/>
      <c r="U124" s="162"/>
      <c r="V124" s="162"/>
      <c r="W124" s="165"/>
      <c r="X124" s="289"/>
      <c r="Y124" s="162"/>
      <c r="Z124" s="166"/>
      <c r="AA124" s="301"/>
      <c r="AB124" s="186"/>
    </row>
    <row r="125" spans="1:34">
      <c r="A125" s="279">
        <v>43308</v>
      </c>
      <c r="B125" s="64" t="s">
        <v>77</v>
      </c>
      <c r="C125" s="49">
        <v>2069.9</v>
      </c>
      <c r="D125" s="49">
        <v>2050.2199999999998</v>
      </c>
      <c r="E125" s="49">
        <v>2033.77</v>
      </c>
      <c r="F125" s="49">
        <v>2025.56</v>
      </c>
      <c r="G125" s="49">
        <v>2024.59</v>
      </c>
      <c r="H125" s="49">
        <v>2029.71</v>
      </c>
      <c r="I125" s="49">
        <v>2043.52</v>
      </c>
      <c r="J125" s="49">
        <v>2061.48</v>
      </c>
      <c r="K125" s="49">
        <v>2082.15</v>
      </c>
      <c r="L125" s="49">
        <v>2051.63</v>
      </c>
      <c r="M125" s="49">
        <v>2044.57</v>
      </c>
      <c r="N125" s="49">
        <v>2034.67</v>
      </c>
      <c r="O125" s="49">
        <v>2027.23</v>
      </c>
      <c r="P125" s="49">
        <v>2028.64</v>
      </c>
      <c r="Q125" s="49">
        <v>2035.24</v>
      </c>
      <c r="R125" s="49">
        <v>2046.43</v>
      </c>
      <c r="S125" s="49">
        <v>2060.0100000000002</v>
      </c>
      <c r="T125" s="155">
        <f>IF((S126=""),"",MAX(C127:S127))</f>
        <v>2129.8000000000002</v>
      </c>
      <c r="U125" s="64">
        <f>IF(S126="","",MIN(C127:S127))</f>
        <v>1984.4399999999996</v>
      </c>
      <c r="V125" s="70">
        <f>IF((S127=""),"",AVERAGE(C127:S127))</f>
        <v>2045.5670588235294</v>
      </c>
      <c r="W125" s="156">
        <f>STDEV(C127:S127)</f>
        <v>37.806347311785508</v>
      </c>
      <c r="X125" s="98">
        <f>IF((S126=""),"",((T125-U125)/(T125+U125))*100)</f>
        <v>3.5330948121645935</v>
      </c>
      <c r="Y125" s="75" t="str">
        <f>IF(S126="","",IF(X125&lt;15,IF(V125&gt;1690,IF(V125&lt;2125,"Pass","Fail"),"Fail"),"Fail"))</f>
        <v>Pass</v>
      </c>
      <c r="Z125" s="157">
        <v>1340</v>
      </c>
      <c r="AA125" s="301"/>
      <c r="AC125" s="132">
        <v>1600</v>
      </c>
      <c r="AD125" s="132">
        <v>2600</v>
      </c>
      <c r="AE125" s="158">
        <v>1690</v>
      </c>
      <c r="AF125" s="158">
        <v>2125</v>
      </c>
      <c r="AG125" s="154">
        <v>15</v>
      </c>
      <c r="AH125" s="154">
        <v>15</v>
      </c>
    </row>
    <row r="126" spans="1:34" ht="15.75">
      <c r="A126"/>
      <c r="B126" s="64" t="s">
        <v>78</v>
      </c>
      <c r="C126" s="49">
        <v>1005</v>
      </c>
      <c r="D126" s="49">
        <v>1058</v>
      </c>
      <c r="E126" s="49">
        <v>1034</v>
      </c>
      <c r="F126" s="49">
        <v>1021</v>
      </c>
      <c r="G126" s="49">
        <v>1012</v>
      </c>
      <c r="H126" s="49">
        <v>1003</v>
      </c>
      <c r="I126" s="49">
        <v>1002</v>
      </c>
      <c r="J126" s="49">
        <v>1011</v>
      </c>
      <c r="K126" s="49">
        <v>1052</v>
      </c>
      <c r="L126" s="49">
        <v>1031</v>
      </c>
      <c r="M126" s="49">
        <v>1011</v>
      </c>
      <c r="N126" s="49">
        <v>1006</v>
      </c>
      <c r="O126" s="49">
        <v>1007</v>
      </c>
      <c r="P126" s="49">
        <v>1011</v>
      </c>
      <c r="Q126" s="49">
        <v>1013</v>
      </c>
      <c r="R126" s="49">
        <v>1022</v>
      </c>
      <c r="S126" s="49">
        <v>1063</v>
      </c>
      <c r="T126" s="160"/>
      <c r="U126" s="161"/>
      <c r="V126" s="161"/>
      <c r="W126" s="156"/>
      <c r="X126" s="288"/>
      <c r="Y126" s="161"/>
      <c r="Z126" s="157"/>
      <c r="AA126" s="301"/>
      <c r="AB126" s="186"/>
    </row>
    <row r="127" spans="1:34" ht="60.75" thickBot="1">
      <c r="A127"/>
      <c r="B127" s="77" t="s">
        <v>79</v>
      </c>
      <c r="C127" s="162">
        <f t="shared" ref="C127:S127" si="38">IF(((C125="")*AND(C126="")),"",(C125-C126)*2)</f>
        <v>2129.8000000000002</v>
      </c>
      <c r="D127" s="162">
        <f t="shared" si="38"/>
        <v>1984.4399999999996</v>
      </c>
      <c r="E127" s="162">
        <f t="shared" si="38"/>
        <v>1999.54</v>
      </c>
      <c r="F127" s="162">
        <f t="shared" si="38"/>
        <v>2009.12</v>
      </c>
      <c r="G127" s="162">
        <f t="shared" si="38"/>
        <v>2025.1799999999998</v>
      </c>
      <c r="H127" s="162">
        <f t="shared" si="38"/>
        <v>2053.42</v>
      </c>
      <c r="I127" s="162">
        <f t="shared" si="38"/>
        <v>2083.04</v>
      </c>
      <c r="J127" s="162">
        <f t="shared" si="38"/>
        <v>2100.96</v>
      </c>
      <c r="K127" s="162">
        <f t="shared" si="38"/>
        <v>2060.3000000000002</v>
      </c>
      <c r="L127" s="162">
        <f t="shared" si="38"/>
        <v>2041.2600000000002</v>
      </c>
      <c r="M127" s="162">
        <f t="shared" si="38"/>
        <v>2067.14</v>
      </c>
      <c r="N127" s="162">
        <f t="shared" si="38"/>
        <v>2057.34</v>
      </c>
      <c r="O127" s="162">
        <f t="shared" si="38"/>
        <v>2040.46</v>
      </c>
      <c r="P127" s="162">
        <f t="shared" si="38"/>
        <v>2035.2800000000002</v>
      </c>
      <c r="Q127" s="162">
        <f t="shared" si="38"/>
        <v>2044.48</v>
      </c>
      <c r="R127" s="162">
        <f t="shared" si="38"/>
        <v>2048.86</v>
      </c>
      <c r="S127" s="163">
        <f t="shared" si="38"/>
        <v>1994.0200000000004</v>
      </c>
      <c r="T127" s="164"/>
      <c r="U127" s="162"/>
      <c r="V127" s="162"/>
      <c r="W127" s="165"/>
      <c r="X127" s="289"/>
      <c r="Y127" s="162"/>
      <c r="Z127" s="166"/>
      <c r="AA127" s="301"/>
      <c r="AB127" s="186"/>
    </row>
    <row r="128" spans="1:34">
      <c r="A128" s="278">
        <v>43314</v>
      </c>
      <c r="B128" s="64" t="s">
        <v>77</v>
      </c>
      <c r="C128" s="49">
        <v>2049.15</v>
      </c>
      <c r="D128" s="49">
        <v>2038.12</v>
      </c>
      <c r="E128" s="49">
        <v>2026.24</v>
      </c>
      <c r="F128" s="49">
        <v>2018.69</v>
      </c>
      <c r="G128" s="49">
        <v>2015.15</v>
      </c>
      <c r="H128" s="49">
        <v>2020.8</v>
      </c>
      <c r="I128" s="49">
        <v>2028.76</v>
      </c>
      <c r="J128" s="49">
        <v>2040.34</v>
      </c>
      <c r="K128" s="49">
        <v>2058.04</v>
      </c>
      <c r="L128" s="49">
        <v>2058.3200000000002</v>
      </c>
      <c r="M128" s="49">
        <v>2040.69</v>
      </c>
      <c r="N128" s="49">
        <v>2029.26</v>
      </c>
      <c r="O128" s="49">
        <v>2018.44</v>
      </c>
      <c r="P128" s="49">
        <v>2021.1</v>
      </c>
      <c r="Q128" s="49">
        <v>2028.49</v>
      </c>
      <c r="R128" s="49">
        <v>2040.51</v>
      </c>
      <c r="S128" s="49">
        <v>2064.66</v>
      </c>
      <c r="T128" s="155">
        <f>IF((S129=""),"",MAX(C130:S130))</f>
        <v>2099.2999999999997</v>
      </c>
      <c r="U128" s="64">
        <f>IF(S129="","",MIN(C130:S130))</f>
        <v>1941.02</v>
      </c>
      <c r="V128" s="70">
        <f>IF((S130=""),"",AVERAGE(C130:S130))</f>
        <v>2033.4211764705885</v>
      </c>
      <c r="W128" s="156">
        <f>STDEV(C130:S130)</f>
        <v>40.803867139390171</v>
      </c>
      <c r="X128" s="98">
        <f>IF((S129=""),"",((T128-U128)/(T128+U128))*100)</f>
        <v>3.9175114842388661</v>
      </c>
      <c r="Y128" s="75" t="str">
        <f>IF(S129="","",IF(X128&lt;15,IF(V128&gt;1690,IF(V128&lt;2125,"Pass","Fail"),"Fail"),"Fail"))</f>
        <v>Pass</v>
      </c>
      <c r="Z128" s="157">
        <v>74</v>
      </c>
      <c r="AA128" s="301"/>
      <c r="AC128" s="132">
        <v>1600</v>
      </c>
      <c r="AD128" s="132">
        <v>2600</v>
      </c>
      <c r="AE128" s="158">
        <v>1690</v>
      </c>
      <c r="AF128" s="158">
        <v>2125</v>
      </c>
      <c r="AG128" s="154">
        <v>15</v>
      </c>
      <c r="AH128" s="154">
        <v>15</v>
      </c>
    </row>
    <row r="129" spans="1:34" ht="15.75">
      <c r="A129"/>
      <c r="B129" s="64" t="s">
        <v>78</v>
      </c>
      <c r="C129" s="49">
        <v>1078.6400000000001</v>
      </c>
      <c r="D129" s="49">
        <v>1044.72</v>
      </c>
      <c r="E129" s="49">
        <v>1031.69</v>
      </c>
      <c r="F129" s="49">
        <v>1022</v>
      </c>
      <c r="G129" s="49">
        <v>1010.88</v>
      </c>
      <c r="H129" s="49">
        <v>1000.48</v>
      </c>
      <c r="I129" s="49">
        <v>992.75</v>
      </c>
      <c r="J129" s="49">
        <v>990.69</v>
      </c>
      <c r="K129" s="49">
        <v>1017.9</v>
      </c>
      <c r="L129" s="49">
        <v>1024.3699999999999</v>
      </c>
      <c r="M129" s="49">
        <v>1004.21</v>
      </c>
      <c r="N129" s="49">
        <v>1003.89</v>
      </c>
      <c r="O129" s="49">
        <v>1007</v>
      </c>
      <c r="P129" s="49">
        <v>1011</v>
      </c>
      <c r="Q129" s="49">
        <v>1011.46</v>
      </c>
      <c r="R129" s="49">
        <v>1015</v>
      </c>
      <c r="S129" s="49">
        <v>1046</v>
      </c>
      <c r="T129" s="160"/>
      <c r="U129" s="161"/>
      <c r="V129" s="161"/>
      <c r="W129" s="156"/>
      <c r="X129" s="288"/>
      <c r="Y129" s="161"/>
      <c r="Z129" s="157"/>
      <c r="AA129" s="301"/>
      <c r="AB129" s="186"/>
    </row>
    <row r="130" spans="1:34" ht="60.75" thickBot="1">
      <c r="A130"/>
      <c r="B130" s="77" t="s">
        <v>79</v>
      </c>
      <c r="C130" s="162">
        <f t="shared" ref="C130:S130" si="39">IF(((C128="")*AND(C129="")),"",(C128-C129)*2)</f>
        <v>1941.02</v>
      </c>
      <c r="D130" s="162">
        <f t="shared" si="39"/>
        <v>1986.7999999999997</v>
      </c>
      <c r="E130" s="162">
        <f t="shared" si="39"/>
        <v>1989.1</v>
      </c>
      <c r="F130" s="162">
        <f t="shared" si="39"/>
        <v>1993.38</v>
      </c>
      <c r="G130" s="162">
        <f t="shared" si="39"/>
        <v>2008.5400000000002</v>
      </c>
      <c r="H130" s="162">
        <f t="shared" si="39"/>
        <v>2040.6399999999999</v>
      </c>
      <c r="I130" s="162">
        <f t="shared" si="39"/>
        <v>2072.02</v>
      </c>
      <c r="J130" s="162">
        <f t="shared" si="39"/>
        <v>2099.2999999999997</v>
      </c>
      <c r="K130" s="162">
        <f t="shared" si="39"/>
        <v>2080.2799999999997</v>
      </c>
      <c r="L130" s="162">
        <f t="shared" si="39"/>
        <v>2067.9000000000005</v>
      </c>
      <c r="M130" s="162">
        <f t="shared" si="39"/>
        <v>2072.96</v>
      </c>
      <c r="N130" s="162">
        <f t="shared" si="39"/>
        <v>2050.7399999999998</v>
      </c>
      <c r="O130" s="162">
        <f t="shared" si="39"/>
        <v>2022.88</v>
      </c>
      <c r="P130" s="162">
        <f t="shared" si="39"/>
        <v>2020.1999999999998</v>
      </c>
      <c r="Q130" s="162">
        <f t="shared" si="39"/>
        <v>2034.06</v>
      </c>
      <c r="R130" s="162">
        <f t="shared" si="39"/>
        <v>2051.02</v>
      </c>
      <c r="S130" s="163">
        <f t="shared" si="39"/>
        <v>2037.3199999999997</v>
      </c>
      <c r="T130" s="164"/>
      <c r="U130" s="162"/>
      <c r="V130" s="162"/>
      <c r="W130" s="165"/>
      <c r="X130" s="289"/>
      <c r="Y130" s="162"/>
      <c r="Z130" s="166"/>
      <c r="AA130" s="301"/>
      <c r="AB130" s="186"/>
    </row>
    <row r="131" spans="1:34">
      <c r="A131" s="278">
        <v>43318</v>
      </c>
      <c r="B131" s="64" t="s">
        <v>77</v>
      </c>
      <c r="C131" s="49">
        <v>2049.15</v>
      </c>
      <c r="D131" s="49">
        <v>2038.12</v>
      </c>
      <c r="E131" s="49">
        <v>2026.24</v>
      </c>
      <c r="F131" s="49">
        <v>2018.69</v>
      </c>
      <c r="G131" s="49">
        <v>2015.15</v>
      </c>
      <c r="H131" s="49">
        <v>2020.8</v>
      </c>
      <c r="I131" s="49">
        <v>2028.76</v>
      </c>
      <c r="J131" s="49">
        <v>2040.34</v>
      </c>
      <c r="K131" s="49">
        <v>2058.04</v>
      </c>
      <c r="L131" s="49">
        <v>2058.3200000000002</v>
      </c>
      <c r="M131" s="49">
        <v>2040.69</v>
      </c>
      <c r="N131" s="49">
        <v>2029.26</v>
      </c>
      <c r="O131" s="49">
        <v>2018.44</v>
      </c>
      <c r="P131" s="49">
        <v>2021.1</v>
      </c>
      <c r="Q131" s="49">
        <v>2028.49</v>
      </c>
      <c r="R131" s="49">
        <v>2040.51</v>
      </c>
      <c r="S131" s="49">
        <v>2064.66</v>
      </c>
      <c r="T131" s="155">
        <f>IF((S132=""),"",MAX(C133:S133))</f>
        <v>2128.6799999999998</v>
      </c>
      <c r="U131" s="64">
        <f>IF(S132="","",MIN(C133:S133))</f>
        <v>1960.3000000000002</v>
      </c>
      <c r="V131" s="70">
        <f>IF((S133=""),"",AVERAGE(C133:S133))</f>
        <v>2060.5600000000004</v>
      </c>
      <c r="W131" s="156">
        <f>STDEV(C133:S133)</f>
        <v>41.111253325574026</v>
      </c>
      <c r="X131" s="98">
        <f>IF((S132=""),"",((T131-U131)/(T131+U131))*100)</f>
        <v>4.1178973729389643</v>
      </c>
      <c r="Y131" s="75" t="str">
        <f>IF(S132="","",IF(X131&lt;15,IF(V131&gt;1690,IF(V131&lt;2125,"Pass","Fail"),"Fail"),"Fail"))</f>
        <v>Pass</v>
      </c>
      <c r="Z131" s="157">
        <v>74</v>
      </c>
      <c r="AA131" s="186" t="s">
        <v>89</v>
      </c>
      <c r="AC131" s="132">
        <v>1600</v>
      </c>
      <c r="AD131" s="132">
        <v>2600</v>
      </c>
      <c r="AE131" s="158">
        <v>1690</v>
      </c>
      <c r="AF131" s="158">
        <v>2125</v>
      </c>
      <c r="AG131" s="154">
        <v>15</v>
      </c>
      <c r="AH131" s="154">
        <v>15</v>
      </c>
    </row>
    <row r="132" spans="1:34" ht="15.75">
      <c r="A132"/>
      <c r="B132" s="64" t="s">
        <v>78</v>
      </c>
      <c r="C132" s="49">
        <v>1069</v>
      </c>
      <c r="D132" s="49">
        <v>1031</v>
      </c>
      <c r="E132" s="49">
        <v>1014</v>
      </c>
      <c r="F132" s="49">
        <v>1004</v>
      </c>
      <c r="G132" s="49">
        <v>993</v>
      </c>
      <c r="H132" s="49">
        <v>981</v>
      </c>
      <c r="I132" s="49">
        <v>974</v>
      </c>
      <c r="J132" s="49">
        <v>976</v>
      </c>
      <c r="K132" s="49">
        <v>1026</v>
      </c>
      <c r="L132" s="49">
        <v>1014</v>
      </c>
      <c r="M132" s="49">
        <v>989</v>
      </c>
      <c r="N132" s="49">
        <v>985</v>
      </c>
      <c r="O132" s="49">
        <v>988</v>
      </c>
      <c r="P132" s="49">
        <v>992</v>
      </c>
      <c r="Q132" s="49">
        <v>993</v>
      </c>
      <c r="R132" s="49">
        <v>1002</v>
      </c>
      <c r="S132" s="49">
        <v>1051</v>
      </c>
      <c r="T132" s="160"/>
      <c r="U132" s="161"/>
      <c r="V132" s="161"/>
      <c r="W132" s="156"/>
      <c r="X132" s="288"/>
      <c r="Y132" s="161"/>
      <c r="Z132" s="157"/>
      <c r="AA132" s="301"/>
      <c r="AB132" s="186"/>
    </row>
    <row r="133" spans="1:34" ht="60.75" thickBot="1">
      <c r="A133"/>
      <c r="B133" s="77" t="s">
        <v>79</v>
      </c>
      <c r="C133" s="162">
        <f t="shared" ref="C133:S133" si="40">IF(((C131="")*AND(C132="")),"",(C131-C132)*2)</f>
        <v>1960.3000000000002</v>
      </c>
      <c r="D133" s="162">
        <f t="shared" si="40"/>
        <v>2014.2399999999998</v>
      </c>
      <c r="E133" s="162">
        <f t="shared" si="40"/>
        <v>2024.48</v>
      </c>
      <c r="F133" s="162">
        <f t="shared" si="40"/>
        <v>2029.38</v>
      </c>
      <c r="G133" s="162">
        <f t="shared" si="40"/>
        <v>2044.3000000000002</v>
      </c>
      <c r="H133" s="162">
        <f t="shared" si="40"/>
        <v>2079.6</v>
      </c>
      <c r="I133" s="162">
        <f t="shared" si="40"/>
        <v>2109.52</v>
      </c>
      <c r="J133" s="162">
        <f t="shared" si="40"/>
        <v>2128.6799999999998</v>
      </c>
      <c r="K133" s="162">
        <f t="shared" si="40"/>
        <v>2064.08</v>
      </c>
      <c r="L133" s="162">
        <f t="shared" si="40"/>
        <v>2088.6400000000003</v>
      </c>
      <c r="M133" s="162">
        <f t="shared" si="40"/>
        <v>2103.38</v>
      </c>
      <c r="N133" s="162">
        <f t="shared" si="40"/>
        <v>2088.52</v>
      </c>
      <c r="O133" s="162">
        <f t="shared" si="40"/>
        <v>2060.88</v>
      </c>
      <c r="P133" s="162">
        <f t="shared" si="40"/>
        <v>2058.1999999999998</v>
      </c>
      <c r="Q133" s="162">
        <f t="shared" si="40"/>
        <v>2070.98</v>
      </c>
      <c r="R133" s="162">
        <f t="shared" si="40"/>
        <v>2077.02</v>
      </c>
      <c r="S133" s="163">
        <f t="shared" si="40"/>
        <v>2027.3199999999997</v>
      </c>
      <c r="T133" s="164"/>
      <c r="U133" s="162"/>
      <c r="V133" s="162"/>
      <c r="W133" s="165"/>
      <c r="X133" s="289"/>
      <c r="Y133" s="162"/>
      <c r="Z133" s="166"/>
      <c r="AA133" s="301"/>
      <c r="AB133" s="186"/>
    </row>
    <row r="134" spans="1:34">
      <c r="A134" s="278">
        <v>43321</v>
      </c>
      <c r="B134" s="64" t="s">
        <v>77</v>
      </c>
      <c r="C134" s="49">
        <v>2097.06</v>
      </c>
      <c r="D134" s="49">
        <v>2084.7600000000002</v>
      </c>
      <c r="E134" s="49">
        <v>2081.94</v>
      </c>
      <c r="F134" s="49">
        <v>2080.06</v>
      </c>
      <c r="G134" s="49">
        <v>2080.62</v>
      </c>
      <c r="H134" s="49">
        <v>2079.94</v>
      </c>
      <c r="I134" s="49">
        <v>2078.9699999999998</v>
      </c>
      <c r="J134" s="49">
        <v>2082.29</v>
      </c>
      <c r="K134" s="49">
        <v>2093.81</v>
      </c>
      <c r="L134" s="49">
        <v>2086.5300000000002</v>
      </c>
      <c r="M134" s="49">
        <v>2080.7800000000002</v>
      </c>
      <c r="N134" s="49">
        <v>2078.06</v>
      </c>
      <c r="O134" s="49">
        <v>2078.35</v>
      </c>
      <c r="P134" s="49">
        <v>2080.79</v>
      </c>
      <c r="Q134" s="49">
        <v>2080.17</v>
      </c>
      <c r="R134" s="49">
        <v>2082.5700000000002</v>
      </c>
      <c r="S134" s="49">
        <v>2092.09</v>
      </c>
      <c r="T134" s="155">
        <f>IF((S135=""),"",MAX(C136:S136))</f>
        <v>2116.94</v>
      </c>
      <c r="U134" s="64">
        <f>IF(S135="","",MIN(C136:S136))</f>
        <v>1990.44</v>
      </c>
      <c r="V134" s="70">
        <f>IF((S136=""),"",AVERAGE(C136:S136))</f>
        <v>2049.6588235294116</v>
      </c>
      <c r="W134" s="156">
        <f>STDEV(C136:S136)</f>
        <v>34.341916421905538</v>
      </c>
      <c r="X134" s="98">
        <f>IF((S135=""),"",((T134-U134)/(T134+U134))*100)</f>
        <v>3.0798221737457938</v>
      </c>
      <c r="Y134" s="75" t="str">
        <f>IF(S135="","",IF(X134&lt;15,IF(V134&gt;1690,IF(V134&lt;2125,"Pass","Fail"),"Fail"),"Fail"))</f>
        <v>Pass</v>
      </c>
      <c r="Z134" s="157">
        <v>1428</v>
      </c>
      <c r="AA134" s="301"/>
      <c r="AC134" s="132">
        <v>1600</v>
      </c>
      <c r="AD134" s="132">
        <v>2600</v>
      </c>
      <c r="AE134" s="158">
        <v>1690</v>
      </c>
      <c r="AF134" s="158">
        <v>2125</v>
      </c>
      <c r="AG134" s="154">
        <v>15</v>
      </c>
      <c r="AH134" s="154">
        <v>15</v>
      </c>
    </row>
    <row r="135" spans="1:34" ht="15.75">
      <c r="A135"/>
      <c r="B135" s="64" t="s">
        <v>78</v>
      </c>
      <c r="C135" s="49">
        <v>1101.8399999999999</v>
      </c>
      <c r="D135" s="49">
        <v>1081.49</v>
      </c>
      <c r="E135" s="49">
        <v>1076.1099999999999</v>
      </c>
      <c r="F135" s="49">
        <v>1073.43</v>
      </c>
      <c r="G135" s="49">
        <v>1063</v>
      </c>
      <c r="H135" s="49">
        <v>1052.17</v>
      </c>
      <c r="I135" s="49">
        <v>1038.73</v>
      </c>
      <c r="J135" s="49">
        <v>1027.29</v>
      </c>
      <c r="K135" s="49">
        <v>1035.3399999999999</v>
      </c>
      <c r="L135" s="49">
        <v>1050.6400000000001</v>
      </c>
      <c r="M135" s="49">
        <v>1044.52</v>
      </c>
      <c r="N135" s="49">
        <v>1051.58</v>
      </c>
      <c r="O135" s="49">
        <v>1059.8399999999999</v>
      </c>
      <c r="P135" s="49">
        <v>1061.95</v>
      </c>
      <c r="Q135" s="49">
        <v>1056.5899999999999</v>
      </c>
      <c r="R135" s="49">
        <v>1054.51</v>
      </c>
      <c r="S135" s="49">
        <v>1067.6600000000001</v>
      </c>
      <c r="T135" s="160"/>
      <c r="U135" s="161"/>
      <c r="V135" s="161"/>
      <c r="W135" s="156"/>
      <c r="X135" s="288"/>
      <c r="Y135" s="161"/>
      <c r="Z135" s="157"/>
      <c r="AA135" s="301"/>
      <c r="AB135" s="186"/>
    </row>
    <row r="136" spans="1:34" ht="60.75" thickBot="1">
      <c r="A136"/>
      <c r="B136" s="77" t="s">
        <v>79</v>
      </c>
      <c r="C136" s="162">
        <f t="shared" ref="C136:S136" si="41">IF(((C134="")*AND(C135="")),"",(C134-C135)*2)</f>
        <v>1990.44</v>
      </c>
      <c r="D136" s="162">
        <f t="shared" si="41"/>
        <v>2006.5400000000004</v>
      </c>
      <c r="E136" s="162">
        <f t="shared" si="41"/>
        <v>2011.6600000000003</v>
      </c>
      <c r="F136" s="162">
        <f t="shared" si="41"/>
        <v>2013.2599999999998</v>
      </c>
      <c r="G136" s="162">
        <f t="shared" si="41"/>
        <v>2035.2399999999998</v>
      </c>
      <c r="H136" s="162">
        <f t="shared" si="41"/>
        <v>2055.54</v>
      </c>
      <c r="I136" s="162">
        <f t="shared" si="41"/>
        <v>2080.4799999999996</v>
      </c>
      <c r="J136" s="162">
        <f t="shared" si="41"/>
        <v>2110</v>
      </c>
      <c r="K136" s="162">
        <f t="shared" si="41"/>
        <v>2116.94</v>
      </c>
      <c r="L136" s="162">
        <f t="shared" si="41"/>
        <v>2071.7800000000002</v>
      </c>
      <c r="M136" s="162">
        <f t="shared" si="41"/>
        <v>2072.5200000000004</v>
      </c>
      <c r="N136" s="162">
        <f t="shared" si="41"/>
        <v>2052.96</v>
      </c>
      <c r="O136" s="162">
        <f t="shared" si="41"/>
        <v>2037.02</v>
      </c>
      <c r="P136" s="162">
        <f t="shared" si="41"/>
        <v>2037.6799999999998</v>
      </c>
      <c r="Q136" s="162">
        <f t="shared" si="41"/>
        <v>2047.1600000000003</v>
      </c>
      <c r="R136" s="162">
        <f t="shared" si="41"/>
        <v>2056.1200000000003</v>
      </c>
      <c r="S136" s="163">
        <f t="shared" si="41"/>
        <v>2048.86</v>
      </c>
      <c r="T136" s="164"/>
      <c r="U136" s="162"/>
      <c r="V136" s="162"/>
      <c r="W136" s="165"/>
      <c r="X136" s="289"/>
      <c r="Y136" s="162"/>
      <c r="Z136" s="166"/>
      <c r="AA136" s="301"/>
      <c r="AB136" s="186"/>
    </row>
    <row r="137" spans="1:34">
      <c r="A137" s="278">
        <v>43325</v>
      </c>
      <c r="B137" s="64" t="s">
        <v>77</v>
      </c>
      <c r="C137" s="49">
        <v>2080.66</v>
      </c>
      <c r="D137" s="49">
        <v>2069.66</v>
      </c>
      <c r="E137" s="49">
        <v>2063.39</v>
      </c>
      <c r="F137" s="49">
        <v>2060.5300000000002</v>
      </c>
      <c r="G137" s="49">
        <v>2056.79</v>
      </c>
      <c r="H137" s="49">
        <v>2059.02</v>
      </c>
      <c r="I137" s="49">
        <v>2059.36</v>
      </c>
      <c r="J137" s="49">
        <v>2064.8200000000002</v>
      </c>
      <c r="K137" s="49">
        <v>2076.84</v>
      </c>
      <c r="L137" s="49">
        <v>2067.77</v>
      </c>
      <c r="M137" s="49">
        <v>2063.54</v>
      </c>
      <c r="N137" s="49">
        <v>2059.21</v>
      </c>
      <c r="O137" s="49">
        <v>2057.4</v>
      </c>
      <c r="P137" s="49">
        <v>2058.54</v>
      </c>
      <c r="Q137" s="49">
        <v>2061.5700000000002</v>
      </c>
      <c r="R137" s="49">
        <v>2066.2399999999998</v>
      </c>
      <c r="S137" s="49">
        <v>2076.98</v>
      </c>
      <c r="T137" s="155">
        <f>IF((S138=""),"",MAX(C139:S139))</f>
        <v>2141.6400000000003</v>
      </c>
      <c r="U137" s="64">
        <f>IF(S138="","",MIN(C139:S139))</f>
        <v>1955.3199999999997</v>
      </c>
      <c r="V137" s="70">
        <f>IF((S139=""),"",AVERAGE(C139:S139))</f>
        <v>2065.8023529411762</v>
      </c>
      <c r="W137" s="156">
        <f>STDEV(C139:S139)</f>
        <v>42.513096148350925</v>
      </c>
      <c r="X137" s="98">
        <f>IF((S138=""),"",((T137-U137)/(T137+U137))*100)</f>
        <v>4.547762243224259</v>
      </c>
      <c r="Y137" s="75" t="str">
        <f>IF(S138="","",IF(X137&lt;15,IF(V137&gt;1690,IF(V137&lt;2125,"Pass","Fail"),"Fail"),"Fail"))</f>
        <v>Pass</v>
      </c>
      <c r="Z137" s="157">
        <v>1159</v>
      </c>
      <c r="AA137" s="301"/>
      <c r="AC137" s="132">
        <v>1600</v>
      </c>
      <c r="AD137" s="132">
        <v>2600</v>
      </c>
      <c r="AE137" s="158">
        <v>1690</v>
      </c>
      <c r="AF137" s="158">
        <v>2125</v>
      </c>
      <c r="AG137" s="154">
        <v>15</v>
      </c>
      <c r="AH137" s="154">
        <v>15</v>
      </c>
    </row>
    <row r="138" spans="1:34" ht="15.75">
      <c r="A138"/>
      <c r="B138" s="64" t="s">
        <v>78</v>
      </c>
      <c r="C138" s="49">
        <v>1103</v>
      </c>
      <c r="D138" s="49">
        <v>1060</v>
      </c>
      <c r="E138" s="49">
        <v>1050</v>
      </c>
      <c r="F138" s="49">
        <v>1041</v>
      </c>
      <c r="G138" s="49">
        <v>1029</v>
      </c>
      <c r="H138" s="49">
        <v>1014</v>
      </c>
      <c r="I138" s="49">
        <v>1000</v>
      </c>
      <c r="J138" s="49">
        <v>994</v>
      </c>
      <c r="K138" s="49">
        <v>1036</v>
      </c>
      <c r="L138" s="49">
        <v>1032</v>
      </c>
      <c r="M138" s="49">
        <v>1013</v>
      </c>
      <c r="N138" s="49">
        <v>1017</v>
      </c>
      <c r="O138" s="49">
        <v>1024</v>
      </c>
      <c r="P138" s="49">
        <v>1028</v>
      </c>
      <c r="Q138" s="49">
        <v>1024</v>
      </c>
      <c r="R138" s="49">
        <v>1022</v>
      </c>
      <c r="S138" s="49">
        <v>1056</v>
      </c>
      <c r="T138" s="160"/>
      <c r="U138" s="161"/>
      <c r="V138" s="161"/>
      <c r="W138" s="156"/>
      <c r="X138" s="288"/>
      <c r="Y138" s="161"/>
      <c r="Z138" s="157"/>
      <c r="AA138" s="301"/>
      <c r="AB138" s="186"/>
    </row>
    <row r="139" spans="1:34" ht="60.75" thickBot="1">
      <c r="A139"/>
      <c r="B139" s="77" t="s">
        <v>79</v>
      </c>
      <c r="C139" s="162">
        <f t="shared" ref="C139:S139" si="42">IF(((C137="")*AND(C138="")),"",(C137-C138)*2)</f>
        <v>1955.3199999999997</v>
      </c>
      <c r="D139" s="162">
        <f t="shared" si="42"/>
        <v>2019.3199999999997</v>
      </c>
      <c r="E139" s="162">
        <f t="shared" si="42"/>
        <v>2026.7799999999997</v>
      </c>
      <c r="F139" s="162">
        <f t="shared" si="42"/>
        <v>2039.0600000000004</v>
      </c>
      <c r="G139" s="162">
        <f t="shared" si="42"/>
        <v>2055.58</v>
      </c>
      <c r="H139" s="162">
        <f t="shared" si="42"/>
        <v>2090.04</v>
      </c>
      <c r="I139" s="162">
        <f t="shared" si="42"/>
        <v>2118.7200000000003</v>
      </c>
      <c r="J139" s="162">
        <f t="shared" si="42"/>
        <v>2141.6400000000003</v>
      </c>
      <c r="K139" s="162">
        <f t="shared" si="42"/>
        <v>2081.6800000000003</v>
      </c>
      <c r="L139" s="162">
        <f t="shared" si="42"/>
        <v>2071.54</v>
      </c>
      <c r="M139" s="162">
        <f t="shared" si="42"/>
        <v>2101.08</v>
      </c>
      <c r="N139" s="162">
        <f t="shared" si="42"/>
        <v>2084.42</v>
      </c>
      <c r="O139" s="162">
        <f t="shared" si="42"/>
        <v>2066.8000000000002</v>
      </c>
      <c r="P139" s="162">
        <f t="shared" si="42"/>
        <v>2061.08</v>
      </c>
      <c r="Q139" s="162">
        <f t="shared" si="42"/>
        <v>2075.1400000000003</v>
      </c>
      <c r="R139" s="162">
        <f t="shared" si="42"/>
        <v>2088.4799999999996</v>
      </c>
      <c r="S139" s="163">
        <f t="shared" si="42"/>
        <v>2041.96</v>
      </c>
      <c r="T139" s="164"/>
      <c r="U139" s="162"/>
      <c r="V139" s="162"/>
      <c r="W139" s="165"/>
      <c r="X139" s="289"/>
      <c r="Y139" s="162"/>
      <c r="Z139" s="166"/>
      <c r="AA139" s="301"/>
      <c r="AB139" s="186"/>
    </row>
    <row r="140" spans="1:34">
      <c r="A140" s="279">
        <v>43336</v>
      </c>
      <c r="B140" s="64" t="s">
        <v>77</v>
      </c>
      <c r="C140" s="169">
        <v>2055</v>
      </c>
      <c r="D140" s="170">
        <v>2014</v>
      </c>
      <c r="E140" s="170">
        <v>1991</v>
      </c>
      <c r="F140" s="170">
        <v>1978</v>
      </c>
      <c r="G140" s="170">
        <v>1975</v>
      </c>
      <c r="H140" s="170">
        <v>1984</v>
      </c>
      <c r="I140" s="170">
        <v>2001</v>
      </c>
      <c r="J140" s="170">
        <v>2025</v>
      </c>
      <c r="K140" s="170">
        <v>2062</v>
      </c>
      <c r="L140" s="170">
        <v>2020</v>
      </c>
      <c r="M140" s="170">
        <v>2009</v>
      </c>
      <c r="N140" s="170">
        <v>1992</v>
      </c>
      <c r="O140" s="170">
        <v>1980</v>
      </c>
      <c r="P140" s="170">
        <v>1979</v>
      </c>
      <c r="Q140" s="170">
        <v>1990</v>
      </c>
      <c r="R140" s="170">
        <v>2008</v>
      </c>
      <c r="S140" s="170">
        <v>2038</v>
      </c>
      <c r="T140" s="155">
        <f>IF((S141=""),"",MAX(C142:S142))</f>
        <v>2050</v>
      </c>
      <c r="U140" s="64">
        <f>IF(S141="","",MIN(C142:S142))</f>
        <v>1964</v>
      </c>
      <c r="V140" s="70">
        <f>IF((S142=""),"",AVERAGE(C142:S142))</f>
        <v>2012.9411764705883</v>
      </c>
      <c r="W140" s="156">
        <f>STDEV(C142:S142)</f>
        <v>26.010744386303728</v>
      </c>
      <c r="X140" s="98">
        <f>IF((S141=""),"",((T140-U140)/(T140+U140))*100)</f>
        <v>2.142501245640259</v>
      </c>
      <c r="Y140" s="75" t="str">
        <f>IF(S141="","",IF(X140&lt;15,IF(V140&gt;1690,IF(V140&lt;2125,"Pass","Fail"),"Fail"),"Fail"))</f>
        <v>Pass</v>
      </c>
      <c r="Z140" s="157"/>
      <c r="AA140" s="301"/>
      <c r="AB140" s="395" t="s">
        <v>91</v>
      </c>
      <c r="AC140" s="132">
        <v>1600</v>
      </c>
      <c r="AD140" s="132">
        <v>2600</v>
      </c>
      <c r="AE140" s="158">
        <v>1690</v>
      </c>
      <c r="AF140" s="158">
        <v>2125</v>
      </c>
      <c r="AG140" s="154">
        <v>15</v>
      </c>
      <c r="AH140" s="154">
        <v>15</v>
      </c>
    </row>
    <row r="141" spans="1:34" ht="15.75">
      <c r="A141"/>
      <c r="B141" s="64" t="s">
        <v>78</v>
      </c>
      <c r="C141" s="169">
        <v>1073</v>
      </c>
      <c r="D141" s="170">
        <v>1020</v>
      </c>
      <c r="E141" s="170">
        <v>993</v>
      </c>
      <c r="F141" s="170">
        <v>978</v>
      </c>
      <c r="G141" s="170">
        <v>971</v>
      </c>
      <c r="H141" s="170">
        <v>970</v>
      </c>
      <c r="I141" s="170">
        <v>979</v>
      </c>
      <c r="J141" s="170">
        <v>1000</v>
      </c>
      <c r="K141" s="170">
        <v>1066</v>
      </c>
      <c r="L141" s="170">
        <v>1004</v>
      </c>
      <c r="M141" s="170">
        <v>986</v>
      </c>
      <c r="N141" s="170">
        <v>974</v>
      </c>
      <c r="O141" s="170">
        <v>969</v>
      </c>
      <c r="P141" s="170">
        <v>973</v>
      </c>
      <c r="Q141" s="170">
        <v>981</v>
      </c>
      <c r="R141" s="170">
        <v>999</v>
      </c>
      <c r="S141" s="170">
        <v>1055</v>
      </c>
      <c r="T141" s="160"/>
      <c r="U141" s="161"/>
      <c r="V141" s="161"/>
      <c r="W141" s="156"/>
      <c r="X141" s="288"/>
      <c r="Y141" s="161"/>
      <c r="Z141" s="157"/>
      <c r="AA141" s="301"/>
      <c r="AB141" s="293"/>
    </row>
    <row r="142" spans="1:34" ht="60.75" thickBot="1">
      <c r="A142"/>
      <c r="B142" s="77" t="s">
        <v>79</v>
      </c>
      <c r="C142" s="162">
        <f t="shared" ref="C142:S142" si="43">IF(((C140="")*AND(C141="")),"",(C140-C141)*2)</f>
        <v>1964</v>
      </c>
      <c r="D142" s="162">
        <f t="shared" si="43"/>
        <v>1988</v>
      </c>
      <c r="E142" s="162">
        <f t="shared" si="43"/>
        <v>1996</v>
      </c>
      <c r="F142" s="162">
        <f t="shared" si="43"/>
        <v>2000</v>
      </c>
      <c r="G142" s="162">
        <f t="shared" si="43"/>
        <v>2008</v>
      </c>
      <c r="H142" s="162">
        <f t="shared" si="43"/>
        <v>2028</v>
      </c>
      <c r="I142" s="162">
        <f t="shared" si="43"/>
        <v>2044</v>
      </c>
      <c r="J142" s="162">
        <f t="shared" si="43"/>
        <v>2050</v>
      </c>
      <c r="K142" s="162">
        <f t="shared" si="43"/>
        <v>1992</v>
      </c>
      <c r="L142" s="162">
        <f t="shared" si="43"/>
        <v>2032</v>
      </c>
      <c r="M142" s="162">
        <f t="shared" si="43"/>
        <v>2046</v>
      </c>
      <c r="N142" s="162">
        <f t="shared" si="43"/>
        <v>2036</v>
      </c>
      <c r="O142" s="162">
        <f t="shared" si="43"/>
        <v>2022</v>
      </c>
      <c r="P142" s="162">
        <f t="shared" si="43"/>
        <v>2012</v>
      </c>
      <c r="Q142" s="162">
        <f t="shared" si="43"/>
        <v>2018</v>
      </c>
      <c r="R142" s="162">
        <f t="shared" si="43"/>
        <v>2018</v>
      </c>
      <c r="S142" s="163">
        <f t="shared" si="43"/>
        <v>1966</v>
      </c>
      <c r="T142" s="164"/>
      <c r="U142" s="162"/>
      <c r="V142" s="162"/>
      <c r="W142" s="165"/>
      <c r="X142" s="289"/>
      <c r="Y142" s="162"/>
      <c r="Z142" s="166"/>
      <c r="AA142" s="301"/>
      <c r="AB142" s="186"/>
    </row>
    <row r="143" spans="1:34">
      <c r="A143" s="278">
        <v>43340</v>
      </c>
      <c r="B143" s="64" t="s">
        <v>77</v>
      </c>
      <c r="C143" s="169">
        <v>2040</v>
      </c>
      <c r="D143" s="170">
        <v>2015</v>
      </c>
      <c r="E143" s="170">
        <v>1996</v>
      </c>
      <c r="F143" s="170">
        <v>1985</v>
      </c>
      <c r="G143" s="170">
        <v>1979</v>
      </c>
      <c r="H143" s="170">
        <v>1990</v>
      </c>
      <c r="I143" s="170">
        <v>2006</v>
      </c>
      <c r="J143" s="170">
        <v>2028</v>
      </c>
      <c r="K143" s="170">
        <v>2049</v>
      </c>
      <c r="L143" s="170">
        <v>2020</v>
      </c>
      <c r="M143" s="170">
        <v>2010</v>
      </c>
      <c r="N143" s="170">
        <v>1996</v>
      </c>
      <c r="O143" s="170">
        <v>1985</v>
      </c>
      <c r="P143" s="170">
        <v>1987</v>
      </c>
      <c r="Q143" s="170">
        <v>1997</v>
      </c>
      <c r="R143" s="170">
        <v>2011</v>
      </c>
      <c r="S143" s="170">
        <v>2027</v>
      </c>
      <c r="T143" s="155">
        <f>IF((S144=""),"",MAX(C145:S145))</f>
        <v>2060</v>
      </c>
      <c r="U143" s="64">
        <f>IF(S144="","",MIN(C145:S145))</f>
        <v>1948</v>
      </c>
      <c r="V143" s="70">
        <f>IF((S145=""),"",AVERAGE(C145:S145))</f>
        <v>2015.1764705882354</v>
      </c>
      <c r="W143" s="156">
        <f>STDEV(C145:S145)</f>
        <v>28.134132504216574</v>
      </c>
      <c r="X143" s="98">
        <f>IF((S144=""),"",((T143-U143)/(T143+U143))*100)</f>
        <v>2.7944111776447107</v>
      </c>
      <c r="Y143" s="75" t="str">
        <f>IF(S144="","",IF(X143&lt;15,IF(V143&gt;1690,IF(V143&lt;2125,"Pass","Fail"),"Fail"),"Fail"))</f>
        <v>Pass</v>
      </c>
      <c r="Z143" s="157">
        <v>1340</v>
      </c>
      <c r="AA143" s="301"/>
      <c r="AC143" s="132">
        <v>1600</v>
      </c>
      <c r="AD143" s="132">
        <v>2600</v>
      </c>
      <c r="AE143" s="158">
        <v>1690</v>
      </c>
      <c r="AF143" s="158">
        <v>2125</v>
      </c>
      <c r="AG143" s="154">
        <v>15</v>
      </c>
      <c r="AH143" s="154">
        <v>15</v>
      </c>
    </row>
    <row r="144" spans="1:34" ht="15.75">
      <c r="A144"/>
      <c r="B144" s="64" t="s">
        <v>78</v>
      </c>
      <c r="C144" s="169">
        <v>1066</v>
      </c>
      <c r="D144" s="170">
        <v>1022</v>
      </c>
      <c r="E144" s="170">
        <v>999</v>
      </c>
      <c r="F144" s="170">
        <v>982</v>
      </c>
      <c r="G144" s="170">
        <v>972</v>
      </c>
      <c r="H144" s="170">
        <v>973</v>
      </c>
      <c r="I144" s="170">
        <v>982</v>
      </c>
      <c r="J144" s="170">
        <v>998</v>
      </c>
      <c r="K144" s="170">
        <v>1056</v>
      </c>
      <c r="L144" s="170">
        <v>1010</v>
      </c>
      <c r="M144" s="170">
        <v>988</v>
      </c>
      <c r="N144" s="170">
        <v>978</v>
      </c>
      <c r="O144" s="170">
        <v>973</v>
      </c>
      <c r="P144" s="170">
        <v>977</v>
      </c>
      <c r="Q144" s="170">
        <v>984</v>
      </c>
      <c r="R144" s="170">
        <v>998</v>
      </c>
      <c r="S144" s="170">
        <v>1034</v>
      </c>
      <c r="T144" s="160"/>
      <c r="U144" s="161"/>
      <c r="V144" s="161"/>
      <c r="W144" s="156"/>
      <c r="X144" s="288"/>
      <c r="Y144" s="161"/>
      <c r="Z144" s="157"/>
      <c r="AA144" s="301"/>
      <c r="AB144" s="186"/>
    </row>
    <row r="145" spans="1:34" ht="60.75" thickBot="1">
      <c r="A145"/>
      <c r="B145" s="77" t="s">
        <v>79</v>
      </c>
      <c r="C145" s="162">
        <f t="shared" ref="C145:S145" si="44">IF(((C143="")*AND(C144="")),"",(C143-C144)*2)</f>
        <v>1948</v>
      </c>
      <c r="D145" s="162">
        <f t="shared" si="44"/>
        <v>1986</v>
      </c>
      <c r="E145" s="162">
        <f t="shared" si="44"/>
        <v>1994</v>
      </c>
      <c r="F145" s="162">
        <f t="shared" si="44"/>
        <v>2006</v>
      </c>
      <c r="G145" s="162">
        <f t="shared" si="44"/>
        <v>2014</v>
      </c>
      <c r="H145" s="162">
        <f t="shared" si="44"/>
        <v>2034</v>
      </c>
      <c r="I145" s="162">
        <f t="shared" si="44"/>
        <v>2048</v>
      </c>
      <c r="J145" s="162">
        <f t="shared" si="44"/>
        <v>2060</v>
      </c>
      <c r="K145" s="162">
        <f t="shared" si="44"/>
        <v>1986</v>
      </c>
      <c r="L145" s="162">
        <f t="shared" si="44"/>
        <v>2020</v>
      </c>
      <c r="M145" s="162">
        <f t="shared" si="44"/>
        <v>2044</v>
      </c>
      <c r="N145" s="162">
        <f t="shared" si="44"/>
        <v>2036</v>
      </c>
      <c r="O145" s="162">
        <f t="shared" si="44"/>
        <v>2024</v>
      </c>
      <c r="P145" s="162">
        <f t="shared" si="44"/>
        <v>2020</v>
      </c>
      <c r="Q145" s="162">
        <f t="shared" si="44"/>
        <v>2026</v>
      </c>
      <c r="R145" s="162">
        <f t="shared" si="44"/>
        <v>2026</v>
      </c>
      <c r="S145" s="163">
        <f t="shared" si="44"/>
        <v>1986</v>
      </c>
      <c r="T145" s="164"/>
      <c r="U145" s="162"/>
      <c r="V145" s="162"/>
      <c r="W145" s="165"/>
      <c r="X145" s="289"/>
      <c r="Y145" s="162"/>
      <c r="Z145" s="166"/>
      <c r="AA145" s="301"/>
      <c r="AB145" s="186"/>
    </row>
    <row r="146" spans="1:34">
      <c r="A146" s="278">
        <v>43344</v>
      </c>
      <c r="B146" s="64" t="s">
        <v>77</v>
      </c>
      <c r="C146" s="49">
        <v>2027.55</v>
      </c>
      <c r="D146" s="49">
        <v>2020.81</v>
      </c>
      <c r="E146" s="49">
        <v>2015.17</v>
      </c>
      <c r="F146" s="49">
        <v>2012.86</v>
      </c>
      <c r="G146" s="49">
        <v>2011.5</v>
      </c>
      <c r="H146" s="49">
        <v>2012.41</v>
      </c>
      <c r="I146" s="49">
        <v>2013.65</v>
      </c>
      <c r="J146" s="49">
        <v>2016.72</v>
      </c>
      <c r="K146" s="49">
        <v>2021.1</v>
      </c>
      <c r="L146" s="49">
        <v>2019.41</v>
      </c>
      <c r="M146" s="49">
        <v>2017.01</v>
      </c>
      <c r="N146" s="49">
        <v>2013.85</v>
      </c>
      <c r="O146" s="49">
        <v>2010.78</v>
      </c>
      <c r="P146" s="49">
        <v>2011.99</v>
      </c>
      <c r="Q146" s="49">
        <v>2014.33</v>
      </c>
      <c r="R146" s="49">
        <v>2018.76</v>
      </c>
      <c r="S146" s="49">
        <v>2021.4</v>
      </c>
      <c r="T146" s="155">
        <f>IF((S147=""),"",MAX(C148:S148))</f>
        <v>2123.44</v>
      </c>
      <c r="U146" s="64">
        <f>IF(S147="","",MIN(C148:S148))</f>
        <v>1949.1</v>
      </c>
      <c r="V146" s="70">
        <f>IF((S148=""),"",AVERAGE(C148:S148))</f>
        <v>2048.9764705882353</v>
      </c>
      <c r="W146" s="156">
        <f>STDEV(C148:S148)</f>
        <v>42.674258772286265</v>
      </c>
      <c r="X146" s="98">
        <f>IF((S147=""),"",((T146-U146)/(T146+U146))*100)</f>
        <v>4.2808664862714707</v>
      </c>
      <c r="Y146" s="75" t="str">
        <f>IF(S147="","",IF(X146&lt;15,IF(V146&gt;1690,IF(V146&lt;2125,"Pass","Fail"),"Fail"),"Fail"))</f>
        <v>Pass</v>
      </c>
      <c r="Z146" s="157">
        <v>1428</v>
      </c>
      <c r="AA146" s="301"/>
      <c r="AC146" s="132">
        <v>1600</v>
      </c>
      <c r="AD146" s="132">
        <v>2600</v>
      </c>
      <c r="AE146" s="158">
        <v>1690</v>
      </c>
      <c r="AF146" s="158">
        <v>2125</v>
      </c>
      <c r="AG146" s="154">
        <v>15</v>
      </c>
      <c r="AH146" s="154">
        <v>15</v>
      </c>
    </row>
    <row r="147" spans="1:34" ht="15.75">
      <c r="A147"/>
      <c r="B147" s="64" t="s">
        <v>78</v>
      </c>
      <c r="C147" s="49">
        <v>1053</v>
      </c>
      <c r="D147" s="49">
        <v>1023</v>
      </c>
      <c r="E147" s="49">
        <v>1014</v>
      </c>
      <c r="F147" s="49">
        <v>1006</v>
      </c>
      <c r="G147" s="49">
        <v>996</v>
      </c>
      <c r="H147" s="49">
        <v>978</v>
      </c>
      <c r="I147" s="49">
        <v>963</v>
      </c>
      <c r="J147" s="49">
        <v>955</v>
      </c>
      <c r="K147" s="49">
        <v>978</v>
      </c>
      <c r="L147" s="49">
        <v>1001</v>
      </c>
      <c r="M147" s="49">
        <v>980</v>
      </c>
      <c r="N147" s="49">
        <v>983</v>
      </c>
      <c r="O147" s="49">
        <v>991</v>
      </c>
      <c r="P147" s="49">
        <v>992</v>
      </c>
      <c r="Q147" s="49">
        <v>984</v>
      </c>
      <c r="R147" s="49">
        <v>982</v>
      </c>
      <c r="S147" s="49">
        <v>984</v>
      </c>
      <c r="T147" s="160"/>
      <c r="U147" s="161"/>
      <c r="V147" s="161"/>
      <c r="W147" s="156"/>
      <c r="X147" s="288"/>
      <c r="Y147" s="161"/>
      <c r="Z147" s="157"/>
      <c r="AA147" s="301"/>
      <c r="AB147" s="186"/>
    </row>
    <row r="148" spans="1:34" ht="60.75" thickBot="1">
      <c r="A148"/>
      <c r="B148" s="77" t="s">
        <v>79</v>
      </c>
      <c r="C148" s="162">
        <f t="shared" ref="C148:S148" si="45">IF(((C146="")*AND(C147="")),"",(C146-C147)*2)</f>
        <v>1949.1</v>
      </c>
      <c r="D148" s="162">
        <f t="shared" si="45"/>
        <v>1995.62</v>
      </c>
      <c r="E148" s="162">
        <f t="shared" si="45"/>
        <v>2002.3400000000001</v>
      </c>
      <c r="F148" s="162">
        <f t="shared" si="45"/>
        <v>2013.7199999999998</v>
      </c>
      <c r="G148" s="162">
        <f t="shared" si="45"/>
        <v>2031</v>
      </c>
      <c r="H148" s="162">
        <f t="shared" si="45"/>
        <v>2068.8200000000002</v>
      </c>
      <c r="I148" s="162">
        <f t="shared" si="45"/>
        <v>2101.3000000000002</v>
      </c>
      <c r="J148" s="162">
        <f t="shared" si="45"/>
        <v>2123.44</v>
      </c>
      <c r="K148" s="162">
        <f t="shared" si="45"/>
        <v>2086.1999999999998</v>
      </c>
      <c r="L148" s="162">
        <f t="shared" si="45"/>
        <v>2036.8200000000002</v>
      </c>
      <c r="M148" s="162">
        <f t="shared" si="45"/>
        <v>2074.02</v>
      </c>
      <c r="N148" s="162">
        <f t="shared" si="45"/>
        <v>2061.6999999999998</v>
      </c>
      <c r="O148" s="162">
        <f t="shared" si="45"/>
        <v>2039.56</v>
      </c>
      <c r="P148" s="162">
        <f t="shared" si="45"/>
        <v>2039.98</v>
      </c>
      <c r="Q148" s="162">
        <f t="shared" si="45"/>
        <v>2060.66</v>
      </c>
      <c r="R148" s="162">
        <f t="shared" si="45"/>
        <v>2073.52</v>
      </c>
      <c r="S148" s="163">
        <f t="shared" si="45"/>
        <v>2074.8000000000002</v>
      </c>
      <c r="T148" s="164"/>
      <c r="U148" s="162"/>
      <c r="V148" s="162"/>
      <c r="W148" s="165"/>
      <c r="X148" s="289"/>
      <c r="Y148" s="162"/>
      <c r="Z148" s="166"/>
      <c r="AA148" s="301"/>
      <c r="AB148" s="186"/>
    </row>
    <row r="149" spans="1:34">
      <c r="A149" s="278">
        <v>43348</v>
      </c>
      <c r="B149" s="64" t="s">
        <v>77</v>
      </c>
      <c r="C149" s="49">
        <v>2057.16</v>
      </c>
      <c r="D149" s="49">
        <v>2044.81</v>
      </c>
      <c r="E149" s="49">
        <v>2038.17</v>
      </c>
      <c r="F149" s="49">
        <v>2033.33</v>
      </c>
      <c r="G149" s="49">
        <v>2032.25</v>
      </c>
      <c r="H149" s="49">
        <v>2034.57</v>
      </c>
      <c r="I149" s="49">
        <v>2038.77</v>
      </c>
      <c r="J149" s="49">
        <v>2046.94</v>
      </c>
      <c r="K149" s="49">
        <v>2057.5</v>
      </c>
      <c r="L149" s="49">
        <v>2051.16</v>
      </c>
      <c r="M149" s="49">
        <v>2044.23</v>
      </c>
      <c r="N149" s="49">
        <v>2038.73</v>
      </c>
      <c r="O149" s="49">
        <v>2033.09</v>
      </c>
      <c r="P149" s="49">
        <v>2033.54</v>
      </c>
      <c r="Q149" s="49">
        <v>2037.85</v>
      </c>
      <c r="R149" s="49">
        <v>2044.98</v>
      </c>
      <c r="S149" s="49">
        <v>2052.64</v>
      </c>
      <c r="T149" s="155">
        <f>IF((S150=""),"",MAX(C151:S151))</f>
        <v>2119.88</v>
      </c>
      <c r="U149" s="64">
        <f>IF(S150="","",MIN(C151:S151))</f>
        <v>1970.3199999999997</v>
      </c>
      <c r="V149" s="70">
        <f>IF((S151=""),"",AVERAGE(C151:S151))</f>
        <v>2057.0258823529412</v>
      </c>
      <c r="W149" s="156">
        <f>STDEV(C151:S151)</f>
        <v>37.154017793957024</v>
      </c>
      <c r="X149" s="98">
        <f>IF((S150=""),"",((T149-U149)/(T149+U149))*100)</f>
        <v>3.6565449122292404</v>
      </c>
      <c r="Y149" s="75" t="str">
        <f>IF(S150="","",IF(X149&lt;15,IF(V149&gt;1690,IF(V149&lt;2125,"Pass","Fail"),"Fail"),"Fail"))</f>
        <v>Pass</v>
      </c>
      <c r="Z149" s="157">
        <v>121</v>
      </c>
      <c r="AA149" s="301"/>
      <c r="AC149" s="132">
        <v>1600</v>
      </c>
      <c r="AD149" s="132">
        <v>2600</v>
      </c>
      <c r="AE149" s="158">
        <v>1690</v>
      </c>
      <c r="AF149" s="158">
        <v>2125</v>
      </c>
      <c r="AG149" s="154">
        <v>15</v>
      </c>
      <c r="AH149" s="154">
        <v>15</v>
      </c>
    </row>
    <row r="150" spans="1:34" ht="15.75">
      <c r="A150"/>
      <c r="B150" s="64" t="s">
        <v>78</v>
      </c>
      <c r="C150" s="49">
        <v>1072</v>
      </c>
      <c r="D150" s="49">
        <v>1038</v>
      </c>
      <c r="E150" s="49">
        <v>1024</v>
      </c>
      <c r="F150" s="49">
        <v>1013</v>
      </c>
      <c r="G150" s="49">
        <v>1001</v>
      </c>
      <c r="H150" s="49">
        <v>992</v>
      </c>
      <c r="I150" s="49">
        <v>986</v>
      </c>
      <c r="J150" s="49">
        <v>987</v>
      </c>
      <c r="K150" s="49">
        <v>1038</v>
      </c>
      <c r="L150" s="49">
        <v>1025</v>
      </c>
      <c r="M150" s="49">
        <v>1001</v>
      </c>
      <c r="N150" s="49">
        <v>999</v>
      </c>
      <c r="O150" s="49">
        <v>999</v>
      </c>
      <c r="P150" s="49">
        <v>1003</v>
      </c>
      <c r="Q150" s="49">
        <v>1003</v>
      </c>
      <c r="R150" s="49">
        <v>1007</v>
      </c>
      <c r="S150" s="49">
        <v>1047</v>
      </c>
      <c r="T150" s="160"/>
      <c r="U150" s="161"/>
      <c r="V150" s="161"/>
      <c r="W150" s="156"/>
      <c r="X150" s="288"/>
      <c r="Y150" s="161"/>
      <c r="Z150" s="157"/>
      <c r="AA150" s="301"/>
      <c r="AB150" s="186"/>
    </row>
    <row r="151" spans="1:34" ht="60.75" thickBot="1">
      <c r="A151"/>
      <c r="B151" s="77" t="s">
        <v>79</v>
      </c>
      <c r="C151" s="162">
        <f t="shared" ref="C151:S151" si="46">IF(((C149="")*AND(C150="")),"",(C149-C150)*2)</f>
        <v>1970.3199999999997</v>
      </c>
      <c r="D151" s="162">
        <f t="shared" si="46"/>
        <v>2013.62</v>
      </c>
      <c r="E151" s="162">
        <f t="shared" si="46"/>
        <v>2028.3400000000001</v>
      </c>
      <c r="F151" s="162">
        <f t="shared" si="46"/>
        <v>2040.6599999999999</v>
      </c>
      <c r="G151" s="162">
        <f t="shared" si="46"/>
        <v>2062.5</v>
      </c>
      <c r="H151" s="162">
        <f t="shared" si="46"/>
        <v>2085.14</v>
      </c>
      <c r="I151" s="162">
        <f t="shared" si="46"/>
        <v>2105.54</v>
      </c>
      <c r="J151" s="162">
        <f t="shared" si="46"/>
        <v>2119.88</v>
      </c>
      <c r="K151" s="162">
        <f t="shared" si="46"/>
        <v>2039</v>
      </c>
      <c r="L151" s="162">
        <f t="shared" si="46"/>
        <v>2052.3199999999997</v>
      </c>
      <c r="M151" s="162">
        <f t="shared" si="46"/>
        <v>2086.46</v>
      </c>
      <c r="N151" s="162">
        <f t="shared" si="46"/>
        <v>2079.46</v>
      </c>
      <c r="O151" s="162">
        <f t="shared" si="46"/>
        <v>2068.1799999999998</v>
      </c>
      <c r="P151" s="162">
        <f t="shared" si="46"/>
        <v>2061.08</v>
      </c>
      <c r="Q151" s="162">
        <f t="shared" si="46"/>
        <v>2069.6999999999998</v>
      </c>
      <c r="R151" s="162">
        <f t="shared" si="46"/>
        <v>2075.96</v>
      </c>
      <c r="S151" s="163">
        <f t="shared" si="46"/>
        <v>2011.2799999999997</v>
      </c>
      <c r="T151" s="164"/>
      <c r="U151" s="162"/>
      <c r="V151" s="162"/>
      <c r="W151" s="165"/>
      <c r="X151" s="289"/>
      <c r="Y151" s="162"/>
      <c r="Z151" s="166"/>
      <c r="AA151" s="301"/>
      <c r="AB151" s="186"/>
    </row>
    <row r="152" spans="1:34">
      <c r="A152" s="278">
        <v>43352</v>
      </c>
      <c r="B152" s="64" t="s">
        <v>77</v>
      </c>
      <c r="C152" s="49">
        <v>2040</v>
      </c>
      <c r="D152" s="49">
        <v>2028</v>
      </c>
      <c r="E152" s="49">
        <v>2022</v>
      </c>
      <c r="F152" s="49">
        <v>2019</v>
      </c>
      <c r="G152" s="49">
        <v>2015</v>
      </c>
      <c r="H152" s="49">
        <v>2017</v>
      </c>
      <c r="I152" s="49">
        <v>2019</v>
      </c>
      <c r="J152" s="49">
        <v>2023</v>
      </c>
      <c r="K152" s="49">
        <v>2031</v>
      </c>
      <c r="L152" s="49">
        <v>2024</v>
      </c>
      <c r="M152" s="49">
        <v>2023</v>
      </c>
      <c r="N152" s="49">
        <v>2019</v>
      </c>
      <c r="O152" s="49">
        <v>2017</v>
      </c>
      <c r="P152" s="49">
        <v>2017</v>
      </c>
      <c r="Q152" s="49">
        <v>2021</v>
      </c>
      <c r="R152" s="49">
        <v>2025</v>
      </c>
      <c r="S152" s="49">
        <v>2030</v>
      </c>
      <c r="T152" s="155">
        <f>IF((S153=""),"",MAX(C154:S154))</f>
        <v>1958</v>
      </c>
      <c r="U152" s="64">
        <f>IF(S153="","",MIN(C154:S154))</f>
        <v>1866</v>
      </c>
      <c r="V152" s="70">
        <f>IF((S154=""),"",AVERAGE(C154:S154))</f>
        <v>1915.7647058823529</v>
      </c>
      <c r="W152" s="156">
        <f>STDEV(C154:S154)</f>
        <v>23.998774478509713</v>
      </c>
      <c r="X152" s="98">
        <f>IF((S153=""),"",((T152-U152)/(T152+U152))*100)</f>
        <v>2.4058577405857742</v>
      </c>
      <c r="Y152" s="75" t="str">
        <f>IF(S153="","",IF(X152&lt;15,IF(V152&gt;1690,IF(V152&lt;2125,"Pass","Fail"),"Fail"),"Fail"))</f>
        <v>Pass</v>
      </c>
      <c r="Z152" s="157">
        <v>74</v>
      </c>
      <c r="AA152" s="301"/>
      <c r="AC152" s="132">
        <v>1600</v>
      </c>
      <c r="AD152" s="132">
        <v>2600</v>
      </c>
      <c r="AE152" s="158">
        <v>1690</v>
      </c>
      <c r="AF152" s="158">
        <v>2125</v>
      </c>
      <c r="AG152" s="154">
        <v>15</v>
      </c>
      <c r="AH152" s="154">
        <v>15</v>
      </c>
    </row>
    <row r="153" spans="1:34" ht="15.75">
      <c r="A153"/>
      <c r="B153" s="64" t="s">
        <v>78</v>
      </c>
      <c r="C153" s="49">
        <v>1099</v>
      </c>
      <c r="D153" s="49">
        <v>1077</v>
      </c>
      <c r="E153" s="49">
        <v>1072</v>
      </c>
      <c r="F153" s="49">
        <v>1068</v>
      </c>
      <c r="G153" s="49">
        <v>1062</v>
      </c>
      <c r="H153" s="49">
        <v>1054</v>
      </c>
      <c r="I153" s="49">
        <v>1047</v>
      </c>
      <c r="J153" s="49">
        <v>1044</v>
      </c>
      <c r="K153" s="49">
        <v>1082</v>
      </c>
      <c r="L153" s="49">
        <v>1061</v>
      </c>
      <c r="M153" s="49">
        <v>1048</v>
      </c>
      <c r="N153" s="49">
        <v>1051</v>
      </c>
      <c r="O153" s="49">
        <v>1058</v>
      </c>
      <c r="P153" s="49">
        <v>1063</v>
      </c>
      <c r="Q153" s="49">
        <v>1061</v>
      </c>
      <c r="R153" s="49">
        <v>1062</v>
      </c>
      <c r="S153" s="49">
        <v>1097</v>
      </c>
      <c r="T153" s="160"/>
      <c r="U153" s="161"/>
      <c r="V153" s="161"/>
      <c r="W153" s="156"/>
      <c r="X153" s="288"/>
      <c r="Y153" s="161"/>
      <c r="Z153" s="157"/>
      <c r="AA153" s="301"/>
      <c r="AB153" s="186"/>
    </row>
    <row r="154" spans="1:34" ht="60.75" thickBot="1">
      <c r="A154"/>
      <c r="B154" s="77" t="s">
        <v>79</v>
      </c>
      <c r="C154" s="162">
        <f t="shared" ref="C154:S154" si="47">IF(((C152="")*AND(C153="")),"",(C152-C153)*2)</f>
        <v>1882</v>
      </c>
      <c r="D154" s="162">
        <f t="shared" si="47"/>
        <v>1902</v>
      </c>
      <c r="E154" s="162">
        <f t="shared" si="47"/>
        <v>1900</v>
      </c>
      <c r="F154" s="162">
        <f t="shared" si="47"/>
        <v>1902</v>
      </c>
      <c r="G154" s="162">
        <f t="shared" si="47"/>
        <v>1906</v>
      </c>
      <c r="H154" s="162">
        <f t="shared" si="47"/>
        <v>1926</v>
      </c>
      <c r="I154" s="162">
        <f t="shared" si="47"/>
        <v>1944</v>
      </c>
      <c r="J154" s="162">
        <f t="shared" si="47"/>
        <v>1958</v>
      </c>
      <c r="K154" s="162">
        <f t="shared" si="47"/>
        <v>1898</v>
      </c>
      <c r="L154" s="162">
        <f t="shared" si="47"/>
        <v>1926</v>
      </c>
      <c r="M154" s="162">
        <f t="shared" si="47"/>
        <v>1950</v>
      </c>
      <c r="N154" s="162">
        <f t="shared" si="47"/>
        <v>1936</v>
      </c>
      <c r="O154" s="162">
        <f t="shared" si="47"/>
        <v>1918</v>
      </c>
      <c r="P154" s="162">
        <f t="shared" si="47"/>
        <v>1908</v>
      </c>
      <c r="Q154" s="162">
        <f t="shared" si="47"/>
        <v>1920</v>
      </c>
      <c r="R154" s="162">
        <f t="shared" si="47"/>
        <v>1926</v>
      </c>
      <c r="S154" s="163">
        <f t="shared" si="47"/>
        <v>1866</v>
      </c>
      <c r="T154" s="164"/>
      <c r="U154" s="162"/>
      <c r="V154" s="162"/>
      <c r="W154" s="165"/>
      <c r="X154" s="289"/>
      <c r="Y154" s="162"/>
      <c r="Z154" s="166"/>
      <c r="AA154" s="301"/>
      <c r="AB154" s="186"/>
    </row>
    <row r="155" spans="1:34">
      <c r="A155" s="278">
        <v>43357</v>
      </c>
      <c r="B155" s="64" t="s">
        <v>77</v>
      </c>
      <c r="C155" s="49">
        <v>2026.47</v>
      </c>
      <c r="D155" s="49">
        <v>2014.95</v>
      </c>
      <c r="E155" s="49">
        <v>2009.49</v>
      </c>
      <c r="F155" s="49">
        <v>2005.96</v>
      </c>
      <c r="G155" s="49">
        <v>2006.67</v>
      </c>
      <c r="H155" s="49">
        <v>2004.54</v>
      </c>
      <c r="I155" s="49">
        <v>2005.34</v>
      </c>
      <c r="J155" s="49">
        <v>2009.7</v>
      </c>
      <c r="K155" s="49">
        <v>2019.11</v>
      </c>
      <c r="L155" s="49">
        <v>2012.9</v>
      </c>
      <c r="M155" s="49">
        <v>2007.89</v>
      </c>
      <c r="N155" s="49">
        <v>2007.37</v>
      </c>
      <c r="O155" s="49">
        <v>2003.37</v>
      </c>
      <c r="P155" s="49">
        <v>2005.36</v>
      </c>
      <c r="Q155" s="49">
        <v>2006.98</v>
      </c>
      <c r="R155" s="49">
        <v>2013.75</v>
      </c>
      <c r="S155" s="49">
        <v>2021.56</v>
      </c>
      <c r="T155" s="155">
        <f>IF((S156=""),"",MAX(C157:S157))</f>
        <v>2032.2199999999998</v>
      </c>
      <c r="U155" s="64">
        <f>IF(S156="","",MIN(C157:S157))</f>
        <v>1938.62</v>
      </c>
      <c r="V155" s="70">
        <f>IF((S157=""),"",AVERAGE(C157:S157))</f>
        <v>1989.9400000000003</v>
      </c>
      <c r="W155" s="156">
        <f>STDEV(C157:S157)</f>
        <v>24.899310231380372</v>
      </c>
      <c r="X155" s="98">
        <f>IF((S156=""),"",((T155-U155)/(T155+U155))*100)</f>
        <v>2.3571838704153256</v>
      </c>
      <c r="Y155" s="75" t="str">
        <f>IF(S156="","",IF(X155&lt;15,IF(V155&gt;1690,IF(V155&lt;2125,"Pass","Fail"),"Fail"),"Fail"))</f>
        <v>Pass</v>
      </c>
      <c r="Z155" s="157">
        <v>1159</v>
      </c>
      <c r="AA155" s="186" t="s">
        <v>92</v>
      </c>
      <c r="AC155" s="132">
        <v>1600</v>
      </c>
      <c r="AD155" s="132">
        <v>2600</v>
      </c>
      <c r="AE155" s="158">
        <v>1690</v>
      </c>
      <c r="AF155" s="158">
        <v>2125</v>
      </c>
      <c r="AG155" s="154">
        <v>15</v>
      </c>
      <c r="AH155" s="154">
        <v>15</v>
      </c>
    </row>
    <row r="156" spans="1:34" ht="15.75">
      <c r="A156"/>
      <c r="B156" s="64" t="s">
        <v>78</v>
      </c>
      <c r="C156" s="49">
        <v>1035.23</v>
      </c>
      <c r="D156" s="49">
        <v>1018</v>
      </c>
      <c r="E156" s="49">
        <v>1010</v>
      </c>
      <c r="F156" s="49">
        <v>1003</v>
      </c>
      <c r="G156" s="49">
        <v>1005</v>
      </c>
      <c r="H156" s="49">
        <v>1035.23</v>
      </c>
      <c r="I156" s="49">
        <v>1018</v>
      </c>
      <c r="J156" s="49">
        <v>1010</v>
      </c>
      <c r="K156" s="49">
        <v>1003</v>
      </c>
      <c r="L156" s="49">
        <v>1005</v>
      </c>
      <c r="M156" s="49">
        <v>1035.23</v>
      </c>
      <c r="N156" s="49">
        <v>1018</v>
      </c>
      <c r="O156" s="49">
        <v>1010</v>
      </c>
      <c r="P156" s="49">
        <v>1003</v>
      </c>
      <c r="Q156" s="49">
        <v>1005</v>
      </c>
      <c r="R156" s="49">
        <v>1035.23</v>
      </c>
      <c r="S156" s="49">
        <v>1018</v>
      </c>
      <c r="T156" s="160"/>
      <c r="U156" s="161"/>
      <c r="V156" s="161"/>
      <c r="W156" s="156"/>
      <c r="X156" s="288"/>
      <c r="Y156" s="161"/>
      <c r="Z156" s="157"/>
      <c r="AA156" s="301"/>
      <c r="AB156" s="186"/>
    </row>
    <row r="157" spans="1:34" ht="60.75" thickBot="1">
      <c r="A157"/>
      <c r="B157" s="77" t="s">
        <v>79</v>
      </c>
      <c r="C157" s="162">
        <f t="shared" ref="C157:S157" si="48">IF(((C155="")*AND(C156="")),"",(C155-C156)*2)</f>
        <v>1982.48</v>
      </c>
      <c r="D157" s="162">
        <f t="shared" si="48"/>
        <v>1993.9</v>
      </c>
      <c r="E157" s="162">
        <f t="shared" si="48"/>
        <v>1998.98</v>
      </c>
      <c r="F157" s="162">
        <f t="shared" si="48"/>
        <v>2005.92</v>
      </c>
      <c r="G157" s="162">
        <f t="shared" si="48"/>
        <v>2003.3400000000001</v>
      </c>
      <c r="H157" s="162">
        <f t="shared" si="48"/>
        <v>1938.62</v>
      </c>
      <c r="I157" s="162">
        <f t="shared" si="48"/>
        <v>1974.6799999999998</v>
      </c>
      <c r="J157" s="162">
        <f t="shared" si="48"/>
        <v>1999.4</v>
      </c>
      <c r="K157" s="162">
        <f t="shared" si="48"/>
        <v>2032.2199999999998</v>
      </c>
      <c r="L157" s="162">
        <f t="shared" si="48"/>
        <v>2015.8000000000002</v>
      </c>
      <c r="M157" s="162">
        <f t="shared" si="48"/>
        <v>1945.3200000000002</v>
      </c>
      <c r="N157" s="162">
        <f t="shared" si="48"/>
        <v>1978.7399999999998</v>
      </c>
      <c r="O157" s="162">
        <f t="shared" si="48"/>
        <v>1986.7399999999998</v>
      </c>
      <c r="P157" s="162">
        <f t="shared" si="48"/>
        <v>2004.7199999999998</v>
      </c>
      <c r="Q157" s="162">
        <f t="shared" si="48"/>
        <v>2003.96</v>
      </c>
      <c r="R157" s="162">
        <f t="shared" si="48"/>
        <v>1957.04</v>
      </c>
      <c r="S157" s="163">
        <f t="shared" si="48"/>
        <v>2007.12</v>
      </c>
      <c r="T157" s="164"/>
      <c r="U157" s="162"/>
      <c r="V157" s="162"/>
      <c r="W157" s="165"/>
      <c r="X157" s="289"/>
      <c r="Y157" s="162"/>
      <c r="Z157" s="166"/>
      <c r="AA157" s="301"/>
      <c r="AB157" s="186"/>
    </row>
    <row r="158" spans="1:34">
      <c r="A158" s="278">
        <v>43362</v>
      </c>
      <c r="B158" s="64" t="s">
        <v>77</v>
      </c>
      <c r="C158" s="49">
        <v>2518.1999999999998</v>
      </c>
      <c r="D158" s="49">
        <v>2506.7199999999998</v>
      </c>
      <c r="E158" s="49">
        <v>2501.31</v>
      </c>
      <c r="F158" s="49">
        <v>2493.94</v>
      </c>
      <c r="G158" s="49">
        <v>2492.59</v>
      </c>
      <c r="H158" s="49">
        <v>2492.17</v>
      </c>
      <c r="I158" s="49">
        <v>2498.36</v>
      </c>
      <c r="J158" s="49">
        <v>2501.8000000000002</v>
      </c>
      <c r="K158" s="49">
        <v>2508.5300000000002</v>
      </c>
      <c r="L158" s="49">
        <v>2502.92</v>
      </c>
      <c r="M158" s="49">
        <v>2498.91</v>
      </c>
      <c r="N158" s="49">
        <v>2496.94</v>
      </c>
      <c r="O158" s="49">
        <v>2493.19</v>
      </c>
      <c r="P158" s="49">
        <v>2497.3200000000002</v>
      </c>
      <c r="Q158" s="49">
        <v>2498.67</v>
      </c>
      <c r="R158" s="49">
        <v>2504.87</v>
      </c>
      <c r="S158" s="49">
        <v>2510.46</v>
      </c>
      <c r="T158" s="155">
        <f>IF((S159=""),"",MAX(C160:S160))</f>
        <v>2183.1800000000003</v>
      </c>
      <c r="U158" s="64">
        <f>IF(S159="","",MIN(C160:S160))</f>
        <v>2007.8599999999997</v>
      </c>
      <c r="V158" s="70">
        <f>IF((S160=""),"",AVERAGE(C160:S160))</f>
        <v>2092.9964705882353</v>
      </c>
      <c r="W158" s="156">
        <f>STDEV(C160:S160)</f>
        <v>46.84243761553374</v>
      </c>
      <c r="X158" s="98">
        <f>IF((S159=""),"",((T158-U158)/(T158+U158))*100)</f>
        <v>4.1832098953959074</v>
      </c>
      <c r="Y158" s="75" t="str">
        <f>IF(S159="","",IF(X158&lt;15,IF(V158&gt;1690,IF(V158&lt;2125,"Pass","Fail"),"Fail"),"Fail"))</f>
        <v>Pass</v>
      </c>
      <c r="Z158" s="157">
        <v>1340</v>
      </c>
      <c r="AA158" s="301"/>
      <c r="AC158" s="132">
        <v>1600</v>
      </c>
      <c r="AD158" s="132">
        <v>2600</v>
      </c>
      <c r="AE158" s="158">
        <v>1690</v>
      </c>
      <c r="AF158" s="158">
        <v>2125</v>
      </c>
      <c r="AG158" s="154">
        <v>15</v>
      </c>
      <c r="AH158" s="154">
        <v>15</v>
      </c>
    </row>
    <row r="159" spans="1:34" ht="15.75">
      <c r="A159"/>
      <c r="B159" s="64" t="s">
        <v>78</v>
      </c>
      <c r="C159" s="49">
        <v>1514.27</v>
      </c>
      <c r="D159" s="49">
        <v>1491.69</v>
      </c>
      <c r="E159" s="49">
        <v>1480.7</v>
      </c>
      <c r="F159" s="49">
        <v>1471.87</v>
      </c>
      <c r="G159" s="49">
        <v>1458.04</v>
      </c>
      <c r="H159" s="49">
        <v>1441.35</v>
      </c>
      <c r="I159" s="49">
        <v>1425.55</v>
      </c>
      <c r="J159" s="49">
        <v>1417.02</v>
      </c>
      <c r="K159" s="49">
        <v>1416.94</v>
      </c>
      <c r="L159" s="49">
        <v>1451.11</v>
      </c>
      <c r="M159" s="49">
        <v>1447.33</v>
      </c>
      <c r="N159" s="49">
        <v>1450.21</v>
      </c>
      <c r="O159" s="49">
        <v>1455.19</v>
      </c>
      <c r="P159" s="49">
        <v>1454.28</v>
      </c>
      <c r="Q159" s="49">
        <v>1448.48</v>
      </c>
      <c r="R159" s="49">
        <v>1446.9</v>
      </c>
      <c r="S159" s="49">
        <v>1455.5</v>
      </c>
      <c r="T159" s="160"/>
      <c r="U159" s="161"/>
      <c r="V159" s="161"/>
      <c r="W159" s="156"/>
      <c r="X159" s="288"/>
      <c r="Y159" s="161"/>
      <c r="Z159" s="157"/>
      <c r="AA159" s="301"/>
      <c r="AB159" s="186"/>
    </row>
    <row r="160" spans="1:34" ht="60.75" thickBot="1">
      <c r="A160"/>
      <c r="B160" s="77" t="s">
        <v>79</v>
      </c>
      <c r="C160" s="162">
        <f t="shared" ref="C160:S160" si="49">IF(((C158="")*AND(C159="")),"",(C158-C159)*2)</f>
        <v>2007.8599999999997</v>
      </c>
      <c r="D160" s="162">
        <f t="shared" si="49"/>
        <v>2030.0599999999995</v>
      </c>
      <c r="E160" s="162">
        <f t="shared" si="49"/>
        <v>2041.2199999999998</v>
      </c>
      <c r="F160" s="162">
        <f t="shared" si="49"/>
        <v>2044.1400000000003</v>
      </c>
      <c r="G160" s="162">
        <f t="shared" si="49"/>
        <v>2069.1000000000004</v>
      </c>
      <c r="H160" s="162">
        <f t="shared" si="49"/>
        <v>2101.6400000000003</v>
      </c>
      <c r="I160" s="162">
        <f t="shared" si="49"/>
        <v>2145.6200000000003</v>
      </c>
      <c r="J160" s="162">
        <f t="shared" si="49"/>
        <v>2169.5600000000004</v>
      </c>
      <c r="K160" s="162">
        <f t="shared" si="49"/>
        <v>2183.1800000000003</v>
      </c>
      <c r="L160" s="162">
        <f t="shared" si="49"/>
        <v>2103.6200000000003</v>
      </c>
      <c r="M160" s="162">
        <f t="shared" si="49"/>
        <v>2103.16</v>
      </c>
      <c r="N160" s="162">
        <f t="shared" si="49"/>
        <v>2093.46</v>
      </c>
      <c r="O160" s="162">
        <f t="shared" si="49"/>
        <v>2076</v>
      </c>
      <c r="P160" s="162">
        <f t="shared" si="49"/>
        <v>2086.0800000000004</v>
      </c>
      <c r="Q160" s="162">
        <f t="shared" si="49"/>
        <v>2100.38</v>
      </c>
      <c r="R160" s="162">
        <f t="shared" si="49"/>
        <v>2115.9399999999996</v>
      </c>
      <c r="S160" s="163">
        <f t="shared" si="49"/>
        <v>2109.92</v>
      </c>
      <c r="T160" s="164"/>
      <c r="U160" s="162"/>
      <c r="V160" s="162"/>
      <c r="W160" s="165"/>
      <c r="X160" s="289"/>
      <c r="Y160" s="162"/>
      <c r="Z160" s="166"/>
      <c r="AA160" s="301"/>
      <c r="AB160" s="186"/>
    </row>
    <row r="161" spans="1:34">
      <c r="A161" s="278">
        <v>43367</v>
      </c>
      <c r="B161" s="64" t="s">
        <v>77</v>
      </c>
      <c r="C161" s="49">
        <v>4425.38</v>
      </c>
      <c r="D161" s="49">
        <v>4385.76</v>
      </c>
      <c r="E161" s="49">
        <v>4370.12</v>
      </c>
      <c r="F161" s="49">
        <v>4362.49</v>
      </c>
      <c r="G161" s="49">
        <v>4356.63</v>
      </c>
      <c r="H161" s="49">
        <v>4334.28</v>
      </c>
      <c r="I161" s="49">
        <v>4320.54</v>
      </c>
      <c r="J161" s="49">
        <v>4325.55</v>
      </c>
      <c r="K161" s="49">
        <v>4354.92</v>
      </c>
      <c r="L161" s="49">
        <v>4363.08</v>
      </c>
      <c r="M161" s="49">
        <v>4341.83</v>
      </c>
      <c r="N161" s="49">
        <v>4334.28</v>
      </c>
      <c r="O161" s="49">
        <v>4346.46</v>
      </c>
      <c r="P161" s="49">
        <v>4349.82</v>
      </c>
      <c r="Q161" s="49">
        <v>4341.62</v>
      </c>
      <c r="R161" s="49">
        <v>4343.91</v>
      </c>
      <c r="S161" s="49">
        <v>4370.8900000000003</v>
      </c>
      <c r="T161" s="155">
        <f>IF((S162=""),"",MAX(C163:S163))</f>
        <v>1843.1000000000004</v>
      </c>
      <c r="U161" s="64">
        <f>IF(S162="","",MIN(C163:S163))</f>
        <v>1710.9799999999996</v>
      </c>
      <c r="V161" s="70">
        <f>IF((S163=""),"",AVERAGE(C163:S163))</f>
        <v>1769.8305882352938</v>
      </c>
      <c r="W161" s="156">
        <f>STDEV(C163:S163)</f>
        <v>39.438156091312052</v>
      </c>
      <c r="X161" s="98">
        <f>IF((S162=""),"",((T161-U161)/(T161+U161))*100)</f>
        <v>3.7174177283572911</v>
      </c>
      <c r="Y161" s="75" t="str">
        <f>IF(S162="","",IF(X161&lt;15,IF(V161&gt;1690,IF(V161&lt;2125,"Pass","Fail"),"Fail"),"Fail"))</f>
        <v>Pass</v>
      </c>
      <c r="Z161" s="157">
        <v>1340</v>
      </c>
      <c r="AA161" s="301"/>
      <c r="AC161" s="132">
        <v>1600</v>
      </c>
      <c r="AD161" s="132">
        <v>2600</v>
      </c>
      <c r="AE161" s="158">
        <v>1690</v>
      </c>
      <c r="AF161" s="158">
        <v>2125</v>
      </c>
      <c r="AG161" s="154">
        <v>15</v>
      </c>
      <c r="AH161" s="154">
        <v>15</v>
      </c>
    </row>
    <row r="162" spans="1:34" ht="15.75">
      <c r="A162"/>
      <c r="B162" s="64" t="s">
        <v>78</v>
      </c>
      <c r="C162" s="49">
        <v>3550</v>
      </c>
      <c r="D162" s="49">
        <v>3521</v>
      </c>
      <c r="E162" s="49">
        <v>3509</v>
      </c>
      <c r="F162" s="49">
        <v>3507</v>
      </c>
      <c r="G162" s="49">
        <v>3495</v>
      </c>
      <c r="H162" s="49">
        <v>3452</v>
      </c>
      <c r="I162" s="49">
        <v>3421</v>
      </c>
      <c r="J162" s="49">
        <v>3404</v>
      </c>
      <c r="K162" s="49">
        <v>3442</v>
      </c>
      <c r="L162" s="49">
        <v>3452</v>
      </c>
      <c r="M162" s="49">
        <v>3437</v>
      </c>
      <c r="N162" s="49">
        <v>3453</v>
      </c>
      <c r="O162" s="49">
        <v>3474</v>
      </c>
      <c r="P162" s="49">
        <v>3472</v>
      </c>
      <c r="Q162" s="49">
        <v>3461</v>
      </c>
      <c r="R162" s="49">
        <v>3457</v>
      </c>
      <c r="S162" s="49">
        <v>3477</v>
      </c>
      <c r="T162" s="160"/>
      <c r="U162" s="161"/>
      <c r="V162" s="161"/>
      <c r="W162" s="156"/>
      <c r="X162" s="288"/>
      <c r="Y162" s="161"/>
      <c r="Z162" s="157"/>
      <c r="AA162" s="301"/>
      <c r="AB162" s="186"/>
    </row>
    <row r="163" spans="1:34" ht="60.75" thickBot="1">
      <c r="A163"/>
      <c r="B163" s="77" t="s">
        <v>79</v>
      </c>
      <c r="C163" s="162">
        <f t="shared" ref="C163:S163" si="50">IF(((C161="")*AND(C162="")),"",(C161-C162)*2)</f>
        <v>1750.7600000000002</v>
      </c>
      <c r="D163" s="162">
        <f t="shared" si="50"/>
        <v>1729.5200000000004</v>
      </c>
      <c r="E163" s="162">
        <f t="shared" si="50"/>
        <v>1722.2399999999998</v>
      </c>
      <c r="F163" s="162">
        <f t="shared" si="50"/>
        <v>1710.9799999999996</v>
      </c>
      <c r="G163" s="162">
        <f t="shared" si="50"/>
        <v>1723.2600000000002</v>
      </c>
      <c r="H163" s="162">
        <f t="shared" si="50"/>
        <v>1764.5599999999995</v>
      </c>
      <c r="I163" s="162">
        <f t="shared" si="50"/>
        <v>1799.08</v>
      </c>
      <c r="J163" s="162">
        <f t="shared" si="50"/>
        <v>1843.1000000000004</v>
      </c>
      <c r="K163" s="162">
        <f t="shared" si="50"/>
        <v>1825.8400000000001</v>
      </c>
      <c r="L163" s="162">
        <f t="shared" si="50"/>
        <v>1822.1599999999999</v>
      </c>
      <c r="M163" s="162">
        <f t="shared" si="50"/>
        <v>1809.6599999999999</v>
      </c>
      <c r="N163" s="162">
        <f t="shared" si="50"/>
        <v>1762.5599999999995</v>
      </c>
      <c r="O163" s="162">
        <f t="shared" si="50"/>
        <v>1744.92</v>
      </c>
      <c r="P163" s="162">
        <f t="shared" si="50"/>
        <v>1755.6399999999994</v>
      </c>
      <c r="Q163" s="162">
        <f t="shared" si="50"/>
        <v>1761.2399999999998</v>
      </c>
      <c r="R163" s="162">
        <f t="shared" si="50"/>
        <v>1773.8199999999997</v>
      </c>
      <c r="S163" s="163">
        <f t="shared" si="50"/>
        <v>1787.7800000000007</v>
      </c>
      <c r="T163" s="164"/>
      <c r="U163" s="162"/>
      <c r="V163" s="162"/>
      <c r="W163" s="165"/>
      <c r="X163" s="289"/>
      <c r="Y163" s="162"/>
      <c r="Z163" s="166"/>
      <c r="AA163" s="301"/>
      <c r="AB163" s="186"/>
    </row>
    <row r="164" spans="1:34">
      <c r="A164" s="278">
        <v>43367</v>
      </c>
      <c r="B164" s="64" t="s">
        <v>77</v>
      </c>
      <c r="C164" s="49">
        <v>3930.55</v>
      </c>
      <c r="D164" s="49">
        <v>3857.58</v>
      </c>
      <c r="E164" s="49">
        <v>3811.75</v>
      </c>
      <c r="F164" s="49">
        <v>3782.68</v>
      </c>
      <c r="G164" s="49">
        <v>3780.11</v>
      </c>
      <c r="H164" s="49">
        <v>3796.93</v>
      </c>
      <c r="I164" s="49">
        <v>3832.78</v>
      </c>
      <c r="J164" s="49">
        <v>3883.87</v>
      </c>
      <c r="K164" s="49">
        <v>3954.96</v>
      </c>
      <c r="L164" s="49">
        <v>3860.69</v>
      </c>
      <c r="M164" s="49">
        <v>3847.39</v>
      </c>
      <c r="N164" s="49">
        <v>3812.43</v>
      </c>
      <c r="O164" s="49">
        <v>3788.98</v>
      </c>
      <c r="P164" s="49">
        <v>3787.08</v>
      </c>
      <c r="Q164" s="49">
        <v>3810.8</v>
      </c>
      <c r="R164" s="49">
        <v>3844.18</v>
      </c>
      <c r="S164" s="49">
        <v>3898.66</v>
      </c>
      <c r="T164" s="155">
        <f>IF((S165=""),"",MAX(C166:S166))</f>
        <v>2142.7600000000002</v>
      </c>
      <c r="U164" s="64">
        <f>IF(S165="","",MIN(C166:S166))</f>
        <v>2050.3600000000006</v>
      </c>
      <c r="V164" s="70">
        <f>IF((S166=""),"",AVERAGE(C166:S166))</f>
        <v>2090.9752941176471</v>
      </c>
      <c r="W164" s="156">
        <f>STDEV(C166:S166)</f>
        <v>27.686616378121727</v>
      </c>
      <c r="X164" s="98">
        <f>IF((S165=""),"",((T164-U164)/(T164+U164))*100)</f>
        <v>2.2036097225931912</v>
      </c>
      <c r="Y164" s="75" t="str">
        <f>IF(S165="","",IF(X164&lt;15,IF(V164&gt;1690,IF(V164&lt;2125,"Pass","Fail"),"Fail"),"Fail"))</f>
        <v>Pass</v>
      </c>
      <c r="Z164" s="157">
        <v>1428</v>
      </c>
      <c r="AA164" s="301"/>
      <c r="AB164" s="395" t="s">
        <v>116</v>
      </c>
      <c r="AC164" s="132">
        <v>1600</v>
      </c>
      <c r="AD164" s="132">
        <v>2600</v>
      </c>
      <c r="AE164" s="158">
        <v>1690</v>
      </c>
      <c r="AF164" s="158">
        <v>2125</v>
      </c>
      <c r="AG164" s="154">
        <v>15</v>
      </c>
      <c r="AH164" s="154">
        <v>15</v>
      </c>
    </row>
    <row r="165" spans="1:34" ht="15.75">
      <c r="A165"/>
      <c r="B165" s="64" t="s">
        <v>78</v>
      </c>
      <c r="C165" s="49">
        <v>2905.37</v>
      </c>
      <c r="D165" s="49">
        <v>2822.57</v>
      </c>
      <c r="E165" s="49">
        <v>2775.88</v>
      </c>
      <c r="F165" s="49">
        <v>2750.83</v>
      </c>
      <c r="G165" s="49">
        <v>2741.61</v>
      </c>
      <c r="H165" s="49">
        <v>2743.91</v>
      </c>
      <c r="I165" s="49">
        <v>2766.6</v>
      </c>
      <c r="J165" s="49">
        <v>2812.49</v>
      </c>
      <c r="K165" s="49">
        <v>2921.02</v>
      </c>
      <c r="L165" s="49">
        <v>2813.06</v>
      </c>
      <c r="M165" s="49">
        <v>2782.49</v>
      </c>
      <c r="N165" s="49">
        <v>2754.88</v>
      </c>
      <c r="O165" s="49">
        <v>2742.72</v>
      </c>
      <c r="P165" s="49">
        <v>2746.01</v>
      </c>
      <c r="Q165" s="49">
        <v>2761.98</v>
      </c>
      <c r="R165" s="49">
        <v>2794.72</v>
      </c>
      <c r="S165" s="49">
        <v>2871.99</v>
      </c>
      <c r="T165" s="160"/>
      <c r="U165" s="161"/>
      <c r="V165" s="161"/>
      <c r="W165" s="156"/>
      <c r="X165" s="288"/>
      <c r="Y165" s="161"/>
      <c r="Z165" s="157"/>
      <c r="AA165" s="301"/>
      <c r="AB165" s="186"/>
    </row>
    <row r="166" spans="1:34" ht="60.75" thickBot="1">
      <c r="A166"/>
      <c r="B166" s="77" t="s">
        <v>79</v>
      </c>
      <c r="C166" s="162">
        <f t="shared" ref="C166:S166" si="51">IF(((C164="")*AND(C165="")),"",(C164-C165)*2)</f>
        <v>2050.3600000000006</v>
      </c>
      <c r="D166" s="162">
        <f t="shared" si="51"/>
        <v>2070.0199999999995</v>
      </c>
      <c r="E166" s="162">
        <f t="shared" si="51"/>
        <v>2071.7399999999998</v>
      </c>
      <c r="F166" s="162">
        <f t="shared" si="51"/>
        <v>2063.6999999999998</v>
      </c>
      <c r="G166" s="162">
        <f t="shared" si="51"/>
        <v>2077</v>
      </c>
      <c r="H166" s="162">
        <f t="shared" si="51"/>
        <v>2106.04</v>
      </c>
      <c r="I166" s="162">
        <f t="shared" si="51"/>
        <v>2132.3600000000006</v>
      </c>
      <c r="J166" s="162">
        <f t="shared" si="51"/>
        <v>2142.7600000000002</v>
      </c>
      <c r="K166" s="162">
        <f t="shared" si="51"/>
        <v>2067.88</v>
      </c>
      <c r="L166" s="162">
        <f t="shared" si="51"/>
        <v>2095.2600000000002</v>
      </c>
      <c r="M166" s="162">
        <f t="shared" si="51"/>
        <v>2129.8000000000002</v>
      </c>
      <c r="N166" s="162">
        <f t="shared" si="51"/>
        <v>2115.0999999999995</v>
      </c>
      <c r="O166" s="162">
        <f t="shared" si="51"/>
        <v>2092.5200000000004</v>
      </c>
      <c r="P166" s="162">
        <f t="shared" si="51"/>
        <v>2082.1399999999994</v>
      </c>
      <c r="Q166" s="162">
        <f t="shared" si="51"/>
        <v>2097.6400000000003</v>
      </c>
      <c r="R166" s="162">
        <f t="shared" si="51"/>
        <v>2098.92</v>
      </c>
      <c r="S166" s="163">
        <f t="shared" si="51"/>
        <v>2053.34</v>
      </c>
      <c r="T166" s="164"/>
      <c r="U166" s="162"/>
      <c r="V166" s="162"/>
      <c r="W166" s="165"/>
      <c r="X166" s="289"/>
      <c r="Y166" s="162"/>
      <c r="Z166" s="166"/>
      <c r="AA166" s="301"/>
      <c r="AB166" s="186"/>
    </row>
    <row r="167" spans="1:34">
      <c r="A167" s="278">
        <v>43367</v>
      </c>
      <c r="B167" s="64" t="s">
        <v>77</v>
      </c>
      <c r="C167" s="49">
        <v>5450.75</v>
      </c>
      <c r="D167" s="49">
        <v>5415.78</v>
      </c>
      <c r="E167" s="49">
        <v>5396.82</v>
      </c>
      <c r="F167" s="49">
        <v>5389.73</v>
      </c>
      <c r="G167" s="49">
        <v>5385.12</v>
      </c>
      <c r="H167" s="49">
        <v>5388.68</v>
      </c>
      <c r="I167" s="49">
        <v>5396.49</v>
      </c>
      <c r="J167" s="49">
        <v>5411.96</v>
      </c>
      <c r="K167" s="49">
        <v>5455.36</v>
      </c>
      <c r="L167" s="49">
        <v>5428.57</v>
      </c>
      <c r="M167" s="49">
        <v>5404.86</v>
      </c>
      <c r="N167" s="49">
        <v>5388.85</v>
      </c>
      <c r="O167" s="49">
        <v>5385.31</v>
      </c>
      <c r="P167" s="49">
        <v>5379.78</v>
      </c>
      <c r="Q167" s="49">
        <v>5390.77</v>
      </c>
      <c r="R167" s="49">
        <v>5400.58</v>
      </c>
      <c r="S167" s="49">
        <v>5409.08</v>
      </c>
      <c r="T167" s="155">
        <f>IF((S168=""),"",MAX(C169:S169))</f>
        <v>2120.6799999999985</v>
      </c>
      <c r="U167" s="64">
        <f>IF(S168="","",MIN(C169:S169))</f>
        <v>1987.0200000000004</v>
      </c>
      <c r="V167" s="70">
        <f>IF((S169=""),"",AVERAGE(C169:S169))</f>
        <v>2061.9211764705883</v>
      </c>
      <c r="W167" s="156">
        <f>STDEV(C169:S169)</f>
        <v>37.225846176120463</v>
      </c>
      <c r="X167" s="98">
        <f>IF((S168=""),"",((T167-U167)/(T167+U167))*100)</f>
        <v>3.2538890376609313</v>
      </c>
      <c r="Y167" s="75" t="str">
        <f>IF(S168="","",IF(X167&lt;15,IF(V167&gt;1690,IF(V167&lt;2125,"Pass","Fail"),"Fail"),"Fail"))</f>
        <v>Pass</v>
      </c>
      <c r="Z167" s="157">
        <v>1428</v>
      </c>
      <c r="AA167" s="301"/>
      <c r="AB167" s="395" t="s">
        <v>117</v>
      </c>
      <c r="AC167" s="132">
        <v>1600</v>
      </c>
      <c r="AD167" s="132">
        <v>2600</v>
      </c>
      <c r="AE167" s="158">
        <v>1690</v>
      </c>
      <c r="AF167" s="158">
        <v>2125</v>
      </c>
      <c r="AG167" s="154">
        <v>15</v>
      </c>
      <c r="AH167" s="154">
        <v>15</v>
      </c>
    </row>
    <row r="168" spans="1:34" ht="15.75">
      <c r="A168"/>
      <c r="B168" s="64" t="s">
        <v>78</v>
      </c>
      <c r="C168" s="49">
        <v>4443.5</v>
      </c>
      <c r="D168" s="49">
        <v>4395.6499999999996</v>
      </c>
      <c r="E168" s="49">
        <v>4373.2</v>
      </c>
      <c r="F168" s="49">
        <v>4364.83</v>
      </c>
      <c r="G168" s="49">
        <v>4360.2299999999996</v>
      </c>
      <c r="H168" s="49">
        <v>4344.6400000000003</v>
      </c>
      <c r="I168" s="49">
        <v>4339.62</v>
      </c>
      <c r="J168" s="49">
        <v>4356.1400000000003</v>
      </c>
      <c r="K168" s="49">
        <v>4450.45</v>
      </c>
      <c r="L168" s="49">
        <v>4395.25</v>
      </c>
      <c r="M168" s="49">
        <v>4344.5200000000004</v>
      </c>
      <c r="N168" s="49">
        <v>4343.24</v>
      </c>
      <c r="O168" s="49">
        <v>4348.05</v>
      </c>
      <c r="P168" s="49">
        <v>4355.3100000000004</v>
      </c>
      <c r="Q168" s="49">
        <v>4356.95</v>
      </c>
      <c r="R168" s="49">
        <v>4365.01</v>
      </c>
      <c r="S168" s="49">
        <v>4415.57</v>
      </c>
      <c r="T168" s="160"/>
      <c r="U168" s="161"/>
      <c r="V168" s="161"/>
      <c r="W168" s="156"/>
      <c r="X168" s="288"/>
      <c r="Y168" s="161"/>
      <c r="Z168" s="157"/>
      <c r="AA168" s="301"/>
      <c r="AB168" s="186"/>
    </row>
    <row r="169" spans="1:34" ht="60.75" thickBot="1">
      <c r="A169"/>
      <c r="B169" s="77" t="s">
        <v>79</v>
      </c>
      <c r="C169" s="162">
        <f t="shared" ref="C169:S169" si="52">IF(((C167="")*AND(C168="")),"",(C167-C168)*2)</f>
        <v>2014.5</v>
      </c>
      <c r="D169" s="162">
        <f t="shared" si="52"/>
        <v>2040.2600000000002</v>
      </c>
      <c r="E169" s="162">
        <f t="shared" si="52"/>
        <v>2047.2399999999998</v>
      </c>
      <c r="F169" s="162">
        <f t="shared" si="52"/>
        <v>2049.7999999999993</v>
      </c>
      <c r="G169" s="162">
        <f t="shared" si="52"/>
        <v>2049.7800000000007</v>
      </c>
      <c r="H169" s="162">
        <f t="shared" si="52"/>
        <v>2088.08</v>
      </c>
      <c r="I169" s="162">
        <f t="shared" si="52"/>
        <v>2113.7399999999998</v>
      </c>
      <c r="J169" s="162">
        <f t="shared" si="52"/>
        <v>2111.6399999999994</v>
      </c>
      <c r="K169" s="162">
        <f t="shared" si="52"/>
        <v>2009.8199999999997</v>
      </c>
      <c r="L169" s="162">
        <f t="shared" si="52"/>
        <v>2066.6399999999994</v>
      </c>
      <c r="M169" s="162">
        <f t="shared" si="52"/>
        <v>2120.6799999999985</v>
      </c>
      <c r="N169" s="162">
        <f t="shared" si="52"/>
        <v>2091.2200000000012</v>
      </c>
      <c r="O169" s="162">
        <f t="shared" si="52"/>
        <v>2074.5200000000004</v>
      </c>
      <c r="P169" s="162">
        <f t="shared" si="52"/>
        <v>2048.9399999999987</v>
      </c>
      <c r="Q169" s="162">
        <f t="shared" si="52"/>
        <v>2067.6400000000012</v>
      </c>
      <c r="R169" s="162">
        <f t="shared" si="52"/>
        <v>2071.1399999999994</v>
      </c>
      <c r="S169" s="163">
        <f t="shared" si="52"/>
        <v>1987.0200000000004</v>
      </c>
      <c r="T169" s="164"/>
      <c r="U169" s="162"/>
      <c r="V169" s="162"/>
      <c r="W169" s="165"/>
      <c r="X169" s="289"/>
      <c r="Y169" s="162"/>
      <c r="Z169" s="166"/>
      <c r="AA169" s="301"/>
      <c r="AB169" s="186"/>
    </row>
    <row r="170" spans="1:34">
      <c r="A170" s="278">
        <v>43368</v>
      </c>
      <c r="B170" s="64" t="s">
        <v>77</v>
      </c>
      <c r="C170" s="49">
        <v>2002</v>
      </c>
      <c r="D170" s="49">
        <v>1984</v>
      </c>
      <c r="E170" s="49">
        <v>1979</v>
      </c>
      <c r="F170" s="49">
        <v>1976</v>
      </c>
      <c r="G170" s="49">
        <v>1975</v>
      </c>
      <c r="H170" s="49">
        <v>1974</v>
      </c>
      <c r="I170" s="49">
        <v>1975</v>
      </c>
      <c r="J170" s="49">
        <v>1979</v>
      </c>
      <c r="K170" s="49">
        <v>1993</v>
      </c>
      <c r="L170" s="49">
        <v>1987</v>
      </c>
      <c r="M170" s="49">
        <v>1978</v>
      </c>
      <c r="N170" s="49">
        <v>1976</v>
      </c>
      <c r="O170" s="49">
        <v>1975</v>
      </c>
      <c r="P170" s="49">
        <v>1975</v>
      </c>
      <c r="Q170" s="49">
        <v>1977</v>
      </c>
      <c r="R170" s="49">
        <v>1980</v>
      </c>
      <c r="S170" s="49">
        <v>1996</v>
      </c>
      <c r="T170" s="155">
        <f>IF((S171=""),"",MAX(C172:S172))</f>
        <v>2129.58</v>
      </c>
      <c r="U170" s="64">
        <f>IF(S171="","",MIN(C172:S172))</f>
        <v>2013.02</v>
      </c>
      <c r="V170" s="70">
        <f>IF((S172=""),"",AVERAGE(C172:S172))</f>
        <v>2098.3235294117644</v>
      </c>
      <c r="W170" s="156">
        <f>STDEV(C172:S172)</f>
        <v>31.25357598366373</v>
      </c>
      <c r="X170" s="98">
        <f>IF((S171=""),"",((T170-U170)/(T170+U170))*100)</f>
        <v>2.8136918843238532</v>
      </c>
      <c r="Y170" s="75" t="str">
        <f>IF(S171="","",IF(X170&lt;15,IF(V170&gt;1690,IF(V170&lt;2125,"Pass","Fail"),"Fail"),"Fail"))</f>
        <v>Pass</v>
      </c>
      <c r="Z170" s="157">
        <v>1340</v>
      </c>
      <c r="AA170" s="301"/>
      <c r="AC170" s="132">
        <v>1600</v>
      </c>
      <c r="AD170" s="132">
        <v>2600</v>
      </c>
      <c r="AE170" s="158">
        <v>1690</v>
      </c>
      <c r="AF170" s="158">
        <v>2125</v>
      </c>
      <c r="AG170" s="154">
        <v>15</v>
      </c>
      <c r="AH170" s="154">
        <v>15</v>
      </c>
    </row>
    <row r="171" spans="1:34" ht="15.75">
      <c r="A171"/>
      <c r="B171" s="64" t="s">
        <v>78</v>
      </c>
      <c r="C171" s="49">
        <v>995.49</v>
      </c>
      <c r="D171" s="49">
        <v>958.94</v>
      </c>
      <c r="E171" s="49">
        <v>934.83</v>
      </c>
      <c r="F171" s="49">
        <v>924.28</v>
      </c>
      <c r="G171" s="49">
        <v>918.33</v>
      </c>
      <c r="H171" s="49">
        <v>911.59</v>
      </c>
      <c r="I171" s="49">
        <v>911.7</v>
      </c>
      <c r="J171" s="49">
        <v>926.81</v>
      </c>
      <c r="K171" s="49">
        <v>958.19</v>
      </c>
      <c r="L171" s="49">
        <v>933.48</v>
      </c>
      <c r="M171" s="49">
        <v>919.4</v>
      </c>
      <c r="N171" s="49">
        <v>911.21</v>
      </c>
      <c r="O171" s="49">
        <v>913.2</v>
      </c>
      <c r="P171" s="49">
        <v>916.79</v>
      </c>
      <c r="Q171" s="49">
        <v>919.26</v>
      </c>
      <c r="R171" s="49">
        <v>932.3</v>
      </c>
      <c r="S171" s="49">
        <v>959.45</v>
      </c>
      <c r="T171" s="160"/>
      <c r="U171" s="161"/>
      <c r="V171" s="161"/>
      <c r="W171" s="156"/>
      <c r="X171" s="288"/>
      <c r="Y171" s="161"/>
      <c r="Z171" s="157"/>
      <c r="AA171" s="301"/>
      <c r="AB171" s="186"/>
    </row>
    <row r="172" spans="1:34" ht="60.75" thickBot="1">
      <c r="A172"/>
      <c r="B172" s="77" t="s">
        <v>79</v>
      </c>
      <c r="C172" s="162">
        <f t="shared" ref="C172:S172" si="53">IF(((C170="")*AND(C171="")),"",(C170-C171)*2)</f>
        <v>2013.02</v>
      </c>
      <c r="D172" s="162">
        <f t="shared" si="53"/>
        <v>2050.12</v>
      </c>
      <c r="E172" s="162">
        <f t="shared" si="53"/>
        <v>2088.34</v>
      </c>
      <c r="F172" s="162">
        <f t="shared" si="53"/>
        <v>2103.44</v>
      </c>
      <c r="G172" s="162">
        <f t="shared" si="53"/>
        <v>2113.34</v>
      </c>
      <c r="H172" s="162">
        <f t="shared" si="53"/>
        <v>2124.8199999999997</v>
      </c>
      <c r="I172" s="162">
        <f t="shared" si="53"/>
        <v>2126.6</v>
      </c>
      <c r="J172" s="162">
        <f t="shared" si="53"/>
        <v>2104.38</v>
      </c>
      <c r="K172" s="162">
        <f t="shared" si="53"/>
        <v>2069.62</v>
      </c>
      <c r="L172" s="162">
        <f t="shared" si="53"/>
        <v>2107.04</v>
      </c>
      <c r="M172" s="162">
        <f t="shared" si="53"/>
        <v>2117.1999999999998</v>
      </c>
      <c r="N172" s="162">
        <f t="shared" si="53"/>
        <v>2129.58</v>
      </c>
      <c r="O172" s="162">
        <f t="shared" si="53"/>
        <v>2123.6</v>
      </c>
      <c r="P172" s="162">
        <f t="shared" si="53"/>
        <v>2116.42</v>
      </c>
      <c r="Q172" s="162">
        <f t="shared" si="53"/>
        <v>2115.48</v>
      </c>
      <c r="R172" s="162">
        <f t="shared" si="53"/>
        <v>2095.4</v>
      </c>
      <c r="S172" s="163">
        <f t="shared" si="53"/>
        <v>2073.1</v>
      </c>
      <c r="T172" s="164"/>
      <c r="U172" s="162"/>
      <c r="V172" s="162"/>
      <c r="W172" s="165"/>
      <c r="X172" s="289"/>
      <c r="Y172" s="162"/>
      <c r="Z172" s="166"/>
      <c r="AA172" s="301"/>
      <c r="AB172" s="186"/>
    </row>
    <row r="173" spans="1:34">
      <c r="A173" s="278">
        <v>43370</v>
      </c>
      <c r="B173" s="64" t="s">
        <v>77</v>
      </c>
      <c r="C173" s="169">
        <v>5552</v>
      </c>
      <c r="D173" s="170">
        <v>5491</v>
      </c>
      <c r="E173" s="170">
        <v>5452</v>
      </c>
      <c r="F173" s="170">
        <v>5417</v>
      </c>
      <c r="G173" s="170">
        <v>5405</v>
      </c>
      <c r="H173" s="170">
        <v>5404</v>
      </c>
      <c r="I173" s="170">
        <v>5421</v>
      </c>
      <c r="J173" s="170">
        <v>5456</v>
      </c>
      <c r="K173" s="170">
        <v>5517</v>
      </c>
      <c r="L173" s="170">
        <v>5469</v>
      </c>
      <c r="M173" s="170">
        <v>5442</v>
      </c>
      <c r="N173" s="170">
        <v>5427</v>
      </c>
      <c r="O173" s="170">
        <v>5417</v>
      </c>
      <c r="P173" s="170">
        <v>5413</v>
      </c>
      <c r="Q173" s="170">
        <v>5428</v>
      </c>
      <c r="R173" s="170">
        <v>5443</v>
      </c>
      <c r="S173" s="170">
        <v>5434</v>
      </c>
      <c r="T173" s="155">
        <f>IF((S174=""),"",MAX(C175:S175))</f>
        <v>2166</v>
      </c>
      <c r="U173" s="64">
        <f>IF(S174="","",MIN(C175:S175))</f>
        <v>2002</v>
      </c>
      <c r="V173" s="70">
        <f>IF((S175=""),"",AVERAGE(C175:S175))</f>
        <v>2090.2352941176468</v>
      </c>
      <c r="W173" s="156">
        <f>STDEV(C175:S175)</f>
        <v>47.528319731191516</v>
      </c>
      <c r="X173" s="98">
        <f>IF((S174=""),"",((T173-U173)/(T173+U173))*100)</f>
        <v>3.9347408829174668</v>
      </c>
      <c r="Y173" s="75" t="str">
        <f>IF(S174="","",IF(X173&lt;15,IF(V173&gt;1690,IF(V173&lt;2125,"Pass","Fail"),"Fail"),"Fail"))</f>
        <v>Pass</v>
      </c>
      <c r="Z173" s="157">
        <v>1340</v>
      </c>
      <c r="AA173" s="301"/>
      <c r="AC173" s="132">
        <v>1600</v>
      </c>
      <c r="AD173" s="132">
        <v>2600</v>
      </c>
      <c r="AE173" s="158">
        <v>1690</v>
      </c>
      <c r="AF173" s="158">
        <v>2125</v>
      </c>
      <c r="AG173" s="154">
        <v>15</v>
      </c>
      <c r="AH173" s="154">
        <v>15</v>
      </c>
    </row>
    <row r="174" spans="1:34" ht="15.75">
      <c r="A174"/>
      <c r="B174" s="64" t="s">
        <v>78</v>
      </c>
      <c r="C174" s="169">
        <v>4551</v>
      </c>
      <c r="D174" s="170">
        <v>4467</v>
      </c>
      <c r="E174" s="170">
        <v>4425</v>
      </c>
      <c r="F174" s="170">
        <v>4400</v>
      </c>
      <c r="G174" s="170">
        <v>4378</v>
      </c>
      <c r="H174" s="170">
        <v>4356</v>
      </c>
      <c r="I174" s="170">
        <v>4347</v>
      </c>
      <c r="J174" s="170">
        <v>4373</v>
      </c>
      <c r="K174" s="170">
        <v>4454</v>
      </c>
      <c r="L174" s="170">
        <v>4442</v>
      </c>
      <c r="M174" s="170">
        <v>4377</v>
      </c>
      <c r="N174" s="170">
        <v>4365</v>
      </c>
      <c r="O174" s="170">
        <v>4368</v>
      </c>
      <c r="P174" s="170">
        <v>4337</v>
      </c>
      <c r="Q174" s="170">
        <v>4380</v>
      </c>
      <c r="R174" s="170">
        <v>4389</v>
      </c>
      <c r="S174" s="170">
        <v>4412</v>
      </c>
      <c r="T174" s="160"/>
      <c r="U174" s="161"/>
      <c r="V174" s="161"/>
      <c r="W174" s="156"/>
      <c r="X174" s="288"/>
      <c r="Y174" s="161"/>
      <c r="Z174" s="157"/>
      <c r="AA174" s="301"/>
      <c r="AB174" s="186"/>
      <c r="AE174" s="158"/>
      <c r="AF174" s="158"/>
      <c r="AG174" s="154"/>
      <c r="AH174" s="154"/>
    </row>
    <row r="175" spans="1:34" ht="60.75" thickBot="1">
      <c r="A175"/>
      <c r="B175" s="77" t="s">
        <v>79</v>
      </c>
      <c r="C175" s="162">
        <f t="shared" ref="C175:S175" si="54">IF(((C173="")*AND(C174="")),"",(C173-C174)*2)</f>
        <v>2002</v>
      </c>
      <c r="D175" s="162">
        <f t="shared" si="54"/>
        <v>2048</v>
      </c>
      <c r="E175" s="162">
        <f t="shared" si="54"/>
        <v>2054</v>
      </c>
      <c r="F175" s="162">
        <f t="shared" si="54"/>
        <v>2034</v>
      </c>
      <c r="G175" s="162">
        <f t="shared" si="54"/>
        <v>2054</v>
      </c>
      <c r="H175" s="162">
        <f t="shared" si="54"/>
        <v>2096</v>
      </c>
      <c r="I175" s="162">
        <f t="shared" si="54"/>
        <v>2148</v>
      </c>
      <c r="J175" s="162">
        <f t="shared" si="54"/>
        <v>2166</v>
      </c>
      <c r="K175" s="162">
        <f t="shared" si="54"/>
        <v>2126</v>
      </c>
      <c r="L175" s="162">
        <f t="shared" si="54"/>
        <v>2054</v>
      </c>
      <c r="M175" s="162">
        <f t="shared" si="54"/>
        <v>2130</v>
      </c>
      <c r="N175" s="162">
        <f t="shared" si="54"/>
        <v>2124</v>
      </c>
      <c r="O175" s="162">
        <f t="shared" si="54"/>
        <v>2098</v>
      </c>
      <c r="P175" s="162">
        <f t="shared" si="54"/>
        <v>2152</v>
      </c>
      <c r="Q175" s="162">
        <f t="shared" si="54"/>
        <v>2096</v>
      </c>
      <c r="R175" s="162">
        <f t="shared" si="54"/>
        <v>2108</v>
      </c>
      <c r="S175" s="163">
        <f t="shared" si="54"/>
        <v>2044</v>
      </c>
      <c r="T175" s="164"/>
      <c r="U175" s="162"/>
      <c r="V175" s="162"/>
      <c r="W175" s="165"/>
      <c r="X175" s="289"/>
      <c r="Y175" s="162"/>
      <c r="Z175" s="166"/>
      <c r="AA175" s="301"/>
      <c r="AB175" s="186"/>
      <c r="AE175" s="158"/>
      <c r="AF175" s="158"/>
      <c r="AG175" s="154"/>
      <c r="AH175" s="154"/>
    </row>
    <row r="176" spans="1:34">
      <c r="A176" s="278">
        <v>43375</v>
      </c>
      <c r="B176" s="64" t="s">
        <v>77</v>
      </c>
      <c r="C176" s="49">
        <v>4482.78</v>
      </c>
      <c r="D176" s="49">
        <v>4425.7</v>
      </c>
      <c r="E176" s="49">
        <v>4391.2</v>
      </c>
      <c r="F176" s="49">
        <v>4370.72</v>
      </c>
      <c r="G176" s="49">
        <v>4350.49</v>
      </c>
      <c r="H176" s="49">
        <v>4329.49</v>
      </c>
      <c r="I176" s="49">
        <v>4323.0600000000004</v>
      </c>
      <c r="J176" s="49">
        <v>4343.7299999999996</v>
      </c>
      <c r="K176" s="49">
        <v>4389.8</v>
      </c>
      <c r="L176" s="49">
        <v>4363.59</v>
      </c>
      <c r="M176" s="49">
        <v>4340.46</v>
      </c>
      <c r="N176" s="49">
        <v>4343.32</v>
      </c>
      <c r="O176" s="49">
        <v>4348.5200000000004</v>
      </c>
      <c r="P176" s="49">
        <v>4350.97</v>
      </c>
      <c r="Q176" s="49">
        <v>4341.57</v>
      </c>
      <c r="R176" s="49">
        <v>4355.51</v>
      </c>
      <c r="S176" s="49">
        <v>4368.84</v>
      </c>
      <c r="T176" s="155">
        <f>IF((S177=""),"",MAX(C178:S178))</f>
        <v>1873.3000000000002</v>
      </c>
      <c r="U176" s="64">
        <f>IF(S177="","",MIN(C178:S178))</f>
        <v>1693.9600000000009</v>
      </c>
      <c r="V176" s="70">
        <f>IF((S178=""),"",AVERAGE(C178:S178))</f>
        <v>1765.671764705882</v>
      </c>
      <c r="W176" s="156">
        <f>STDEV(C178:S178)</f>
        <v>45.729004504163761</v>
      </c>
      <c r="X176" s="98">
        <f>IF((S177=""),"",((T176-U176)/(T176+U176))*100)</f>
        <v>5.0273879672353337</v>
      </c>
      <c r="Y176" s="75" t="str">
        <f>IF(S177="","",IF(X176&lt;15,IF(V176&gt;1690,IF(V176&lt;2125,"Pass","Fail"),"Fail"),"Fail"))</f>
        <v>Pass</v>
      </c>
      <c r="Z176" s="157">
        <v>1340</v>
      </c>
      <c r="AA176" s="301"/>
      <c r="AC176" s="132">
        <v>1600</v>
      </c>
      <c r="AD176" s="132">
        <v>2600</v>
      </c>
      <c r="AE176" s="158">
        <v>1690</v>
      </c>
      <c r="AF176" s="158">
        <v>2125</v>
      </c>
      <c r="AG176" s="154">
        <v>15</v>
      </c>
      <c r="AH176" s="154">
        <v>15</v>
      </c>
    </row>
    <row r="177" spans="1:34" ht="15.75">
      <c r="A177"/>
      <c r="B177" s="64" t="s">
        <v>78</v>
      </c>
      <c r="C177" s="49">
        <v>3601.07</v>
      </c>
      <c r="D177" s="49">
        <v>3552.26</v>
      </c>
      <c r="E177" s="49">
        <v>3530.93</v>
      </c>
      <c r="F177" s="49">
        <v>3523.74</v>
      </c>
      <c r="G177" s="49">
        <v>3497.77</v>
      </c>
      <c r="H177" s="49">
        <v>3458.93</v>
      </c>
      <c r="I177" s="49">
        <v>3424.19</v>
      </c>
      <c r="J177" s="49">
        <v>3422.52</v>
      </c>
      <c r="K177" s="49">
        <v>3453.15</v>
      </c>
      <c r="L177" s="49">
        <v>3461.51</v>
      </c>
      <c r="M177" s="49">
        <v>3454.07</v>
      </c>
      <c r="N177" s="49">
        <v>3457.01</v>
      </c>
      <c r="O177" s="49">
        <v>3482.02</v>
      </c>
      <c r="P177" s="49">
        <v>3472.72</v>
      </c>
      <c r="Q177" s="49">
        <v>3467.85</v>
      </c>
      <c r="R177" s="49">
        <v>3471.13</v>
      </c>
      <c r="S177" s="49">
        <v>3480.67</v>
      </c>
      <c r="T177" s="160"/>
      <c r="U177" s="161"/>
      <c r="V177" s="161"/>
      <c r="W177" s="156"/>
      <c r="X177" s="288"/>
      <c r="Y177" s="161"/>
      <c r="Z177" s="157"/>
      <c r="AA177" s="301"/>
      <c r="AB177" s="186"/>
      <c r="AE177" s="158"/>
      <c r="AF177" s="158"/>
      <c r="AG177" s="154"/>
      <c r="AH177" s="154"/>
    </row>
    <row r="178" spans="1:34" ht="60.75" thickBot="1">
      <c r="A178"/>
      <c r="B178" s="77" t="s">
        <v>79</v>
      </c>
      <c r="C178" s="162">
        <f t="shared" ref="C178:S178" si="55">IF(((C176="")*AND(C177="")),"",(C176-C177)*2)</f>
        <v>1763.4199999999992</v>
      </c>
      <c r="D178" s="162">
        <f t="shared" si="55"/>
        <v>1746.8799999999992</v>
      </c>
      <c r="E178" s="162">
        <f t="shared" si="55"/>
        <v>1720.54</v>
      </c>
      <c r="F178" s="162">
        <f t="shared" si="55"/>
        <v>1693.9600000000009</v>
      </c>
      <c r="G178" s="162">
        <f t="shared" si="55"/>
        <v>1705.4399999999996</v>
      </c>
      <c r="H178" s="162">
        <f t="shared" si="55"/>
        <v>1741.12</v>
      </c>
      <c r="I178" s="162">
        <f t="shared" si="55"/>
        <v>1797.7400000000007</v>
      </c>
      <c r="J178" s="162">
        <f t="shared" si="55"/>
        <v>1842.4199999999992</v>
      </c>
      <c r="K178" s="162">
        <f t="shared" si="55"/>
        <v>1873.3000000000002</v>
      </c>
      <c r="L178" s="162">
        <f t="shared" si="55"/>
        <v>1804.1599999999999</v>
      </c>
      <c r="M178" s="162">
        <f t="shared" si="55"/>
        <v>1772.7799999999997</v>
      </c>
      <c r="N178" s="162">
        <f t="shared" si="55"/>
        <v>1772.619999999999</v>
      </c>
      <c r="O178" s="162">
        <f t="shared" si="55"/>
        <v>1733.0000000000009</v>
      </c>
      <c r="P178" s="162">
        <f t="shared" si="55"/>
        <v>1756.5000000000009</v>
      </c>
      <c r="Q178" s="162">
        <f t="shared" si="55"/>
        <v>1747.4399999999996</v>
      </c>
      <c r="R178" s="162">
        <f t="shared" si="55"/>
        <v>1768.7600000000002</v>
      </c>
      <c r="S178" s="163">
        <f t="shared" si="55"/>
        <v>1776.3400000000001</v>
      </c>
      <c r="T178" s="164"/>
      <c r="U178" s="162"/>
      <c r="V178" s="162"/>
      <c r="W178" s="165"/>
      <c r="X178" s="289"/>
      <c r="Y178" s="162"/>
      <c r="Z178" s="166"/>
      <c r="AA178" s="301"/>
      <c r="AB178" s="186"/>
      <c r="AE178" s="158"/>
      <c r="AF178" s="158"/>
      <c r="AG178" s="154"/>
      <c r="AH178" s="154"/>
    </row>
    <row r="179" spans="1:34">
      <c r="A179" s="278">
        <v>43378</v>
      </c>
      <c r="B179" s="64" t="s">
        <v>77</v>
      </c>
      <c r="C179" s="49">
        <v>4478.41</v>
      </c>
      <c r="D179" s="49">
        <v>4439.1099999999997</v>
      </c>
      <c r="E179" s="49">
        <v>4417.72</v>
      </c>
      <c r="F179" s="49">
        <v>4406.55</v>
      </c>
      <c r="G179" s="49">
        <v>4396.93</v>
      </c>
      <c r="H179" s="49">
        <v>4379.6000000000004</v>
      </c>
      <c r="I179" s="49">
        <v>4379.24</v>
      </c>
      <c r="J179" s="49">
        <v>4378.92</v>
      </c>
      <c r="K179" s="49">
        <v>4410.8900000000003</v>
      </c>
      <c r="L179" s="49">
        <v>4406.7299999999996</v>
      </c>
      <c r="M179" s="49">
        <v>4375.1400000000003</v>
      </c>
      <c r="N179" s="49">
        <v>4386.53</v>
      </c>
      <c r="O179" s="49">
        <v>4390.3900000000003</v>
      </c>
      <c r="P179" s="49">
        <v>4395.59</v>
      </c>
      <c r="Q179" s="49">
        <v>4394.8100000000004</v>
      </c>
      <c r="R179" s="49">
        <v>4404.8999999999996</v>
      </c>
      <c r="S179" s="49">
        <v>4428.97</v>
      </c>
      <c r="T179" s="155">
        <f>IF((S180=""),"",MAX(C181:S181))</f>
        <v>1922.5200000000004</v>
      </c>
      <c r="U179" s="64">
        <f>IF(S180="","",MIN(C181:S181))</f>
        <v>1754.0200000000004</v>
      </c>
      <c r="V179" s="70">
        <f>IF((S181=""),"",AVERAGE(C181:S181))</f>
        <v>1817.7200000000003</v>
      </c>
      <c r="W179" s="156">
        <f>STDEV(C181:S181)</f>
        <v>45.442804160815776</v>
      </c>
      <c r="X179" s="98">
        <f>IF((S180=""),"",((T179-U179)/(T179+U179))*100)</f>
        <v>4.5831134708176702</v>
      </c>
      <c r="Y179" s="75" t="str">
        <f>IF(S180="","",IF(X179&lt;15,IF(V179&gt;1690,IF(V179&lt;2125,"Pass","Fail"),"Fail"),"Fail"))</f>
        <v>Pass</v>
      </c>
      <c r="Z179" s="157">
        <v>1340</v>
      </c>
      <c r="AA179" s="301"/>
      <c r="AC179" s="132">
        <v>1600</v>
      </c>
      <c r="AD179" s="132">
        <v>2600</v>
      </c>
      <c r="AE179" s="158">
        <v>1690</v>
      </c>
      <c r="AF179" s="158">
        <v>2125</v>
      </c>
      <c r="AG179" s="154">
        <v>15</v>
      </c>
      <c r="AH179" s="154">
        <v>15</v>
      </c>
    </row>
    <row r="180" spans="1:34" ht="15.75">
      <c r="A180"/>
      <c r="B180" s="64" t="s">
        <v>78</v>
      </c>
      <c r="C180" s="49">
        <v>3579.59</v>
      </c>
      <c r="D180" s="49">
        <v>3550.23</v>
      </c>
      <c r="E180" s="49">
        <v>3540.71</v>
      </c>
      <c r="F180" s="49">
        <v>3526.16</v>
      </c>
      <c r="G180" s="49">
        <v>3499.83</v>
      </c>
      <c r="H180" s="49">
        <v>3477.29</v>
      </c>
      <c r="I180" s="49">
        <v>3451.28</v>
      </c>
      <c r="J180" s="49">
        <v>3434.59</v>
      </c>
      <c r="K180" s="49">
        <v>3449.63</v>
      </c>
      <c r="L180" s="49">
        <v>3478.76</v>
      </c>
      <c r="M180" s="49">
        <v>3464.19</v>
      </c>
      <c r="N180" s="49">
        <v>3482.54</v>
      </c>
      <c r="O180" s="49">
        <v>3501.26</v>
      </c>
      <c r="P180" s="49">
        <v>3500.28</v>
      </c>
      <c r="Q180" s="49">
        <v>3492.43</v>
      </c>
      <c r="R180" s="49">
        <v>3489.05</v>
      </c>
      <c r="S180" s="49">
        <v>3501.99</v>
      </c>
      <c r="T180" s="160"/>
      <c r="U180" s="161"/>
      <c r="V180" s="161"/>
      <c r="W180" s="156"/>
      <c r="X180" s="288"/>
      <c r="Y180" s="161"/>
      <c r="Z180" s="157"/>
      <c r="AA180" s="301"/>
      <c r="AB180" s="186"/>
      <c r="AE180" s="158"/>
      <c r="AF180" s="158"/>
      <c r="AG180" s="154"/>
      <c r="AH180" s="154"/>
    </row>
    <row r="181" spans="1:34" ht="60">
      <c r="A181"/>
      <c r="B181" s="171" t="s">
        <v>79</v>
      </c>
      <c r="C181" s="172">
        <f t="shared" ref="C181:S181" si="56">IF(((C179="")*AND(C180="")),"",(C179-C180)*2)</f>
        <v>1797.6399999999994</v>
      </c>
      <c r="D181" s="172">
        <f t="shared" si="56"/>
        <v>1777.7599999999993</v>
      </c>
      <c r="E181" s="172">
        <f t="shared" si="56"/>
        <v>1754.0200000000004</v>
      </c>
      <c r="F181" s="172">
        <f t="shared" si="56"/>
        <v>1760.7800000000007</v>
      </c>
      <c r="G181" s="172">
        <f t="shared" si="56"/>
        <v>1794.2000000000007</v>
      </c>
      <c r="H181" s="172">
        <f t="shared" si="56"/>
        <v>1804.6200000000008</v>
      </c>
      <c r="I181" s="172">
        <f t="shared" si="56"/>
        <v>1855.9199999999992</v>
      </c>
      <c r="J181" s="172">
        <f t="shared" si="56"/>
        <v>1888.6599999999999</v>
      </c>
      <c r="K181" s="172">
        <f t="shared" si="56"/>
        <v>1922.5200000000004</v>
      </c>
      <c r="L181" s="172">
        <f t="shared" si="56"/>
        <v>1855.9399999999987</v>
      </c>
      <c r="M181" s="172">
        <f t="shared" si="56"/>
        <v>1821.9000000000005</v>
      </c>
      <c r="N181" s="172">
        <f t="shared" si="56"/>
        <v>1807.9799999999996</v>
      </c>
      <c r="O181" s="172">
        <f t="shared" si="56"/>
        <v>1778.2600000000002</v>
      </c>
      <c r="P181" s="172">
        <f t="shared" si="56"/>
        <v>1790.62</v>
      </c>
      <c r="Q181" s="172">
        <f t="shared" si="56"/>
        <v>1804.7600000000011</v>
      </c>
      <c r="R181" s="172">
        <f t="shared" si="56"/>
        <v>1831.6999999999989</v>
      </c>
      <c r="S181" s="173">
        <f t="shared" si="56"/>
        <v>1853.9600000000009</v>
      </c>
      <c r="T181" s="174"/>
      <c r="U181" s="172"/>
      <c r="V181" s="172"/>
      <c r="W181" s="130"/>
      <c r="X181" s="290"/>
      <c r="Y181" s="172"/>
      <c r="Z181" s="175"/>
      <c r="AA181" s="301"/>
      <c r="AB181" s="186"/>
      <c r="AE181" s="158"/>
      <c r="AF181" s="158"/>
      <c r="AG181" s="154"/>
      <c r="AH181" s="154"/>
    </row>
    <row r="182" spans="1:34">
      <c r="A182" s="280">
        <v>43382</v>
      </c>
      <c r="B182" s="64" t="s">
        <v>77</v>
      </c>
      <c r="C182" s="161">
        <v>4466.09</v>
      </c>
      <c r="D182" s="161">
        <v>4436.43</v>
      </c>
      <c r="E182" s="161">
        <v>4418.18</v>
      </c>
      <c r="F182" s="161">
        <v>4410.8500000000004</v>
      </c>
      <c r="G182" s="161">
        <v>4407.16</v>
      </c>
      <c r="H182" s="161">
        <v>4375.6400000000003</v>
      </c>
      <c r="I182" s="161">
        <v>4363.46</v>
      </c>
      <c r="J182" s="161">
        <v>4362.91</v>
      </c>
      <c r="K182" s="161">
        <v>4399.8999999999996</v>
      </c>
      <c r="L182" s="161">
        <v>4399.28</v>
      </c>
      <c r="M182" s="161">
        <v>4380.17</v>
      </c>
      <c r="N182" s="161">
        <v>4374.3100000000004</v>
      </c>
      <c r="O182" s="161">
        <v>4384.51</v>
      </c>
      <c r="P182" s="161">
        <v>4383.16</v>
      </c>
      <c r="Q182" s="161">
        <v>4383.55</v>
      </c>
      <c r="R182" s="161">
        <v>4387.08</v>
      </c>
      <c r="S182" s="161">
        <v>4406.6899999999996</v>
      </c>
      <c r="T182" s="64">
        <f>IF((S183=""),"",MAX(C184:S184))</f>
        <v>1864.8599999999997</v>
      </c>
      <c r="U182" s="64">
        <f>IF(S183="","",MIN(C184:S184))</f>
        <v>1715.5200000000004</v>
      </c>
      <c r="V182" s="64">
        <f>IF((S184=""),"",AVERAGE(C184:S184))</f>
        <v>1781.541176470588</v>
      </c>
      <c r="W182" s="176">
        <f>STDEV(C184:S184)</f>
        <v>40.195906800695035</v>
      </c>
      <c r="X182" s="98">
        <f>IF((S183=""),"",((T182-U182)/(T182+U182))*100)</f>
        <v>4.1710656410771829</v>
      </c>
      <c r="Y182" s="75" t="str">
        <f>IF(S183="","",IF(X182&lt;15,IF(V182&gt;1690,IF(V182&lt;2125,"Pass","Fail"),"Fail"),"Fail"))</f>
        <v>Pass</v>
      </c>
      <c r="Z182" s="177">
        <v>1335</v>
      </c>
      <c r="AA182" s="301"/>
      <c r="AC182" s="132">
        <v>1600</v>
      </c>
      <c r="AD182" s="132">
        <v>2600</v>
      </c>
      <c r="AE182" s="158">
        <v>1690</v>
      </c>
      <c r="AF182" s="158">
        <v>2125</v>
      </c>
      <c r="AG182" s="154">
        <v>15</v>
      </c>
      <c r="AH182" s="154">
        <v>15</v>
      </c>
    </row>
    <row r="183" spans="1:34" ht="15.75">
      <c r="A183"/>
      <c r="B183" s="64" t="s">
        <v>78</v>
      </c>
      <c r="C183" s="161">
        <v>3586.92</v>
      </c>
      <c r="D183" s="161">
        <v>3560.9</v>
      </c>
      <c r="E183" s="161">
        <v>3547.02</v>
      </c>
      <c r="F183" s="161">
        <v>3553.09</v>
      </c>
      <c r="G183" s="161">
        <v>3544.64</v>
      </c>
      <c r="H183" s="161">
        <v>3485.15</v>
      </c>
      <c r="I183" s="161">
        <v>3455.58</v>
      </c>
      <c r="J183" s="161">
        <v>3447.92</v>
      </c>
      <c r="K183" s="161">
        <v>3467.47</v>
      </c>
      <c r="L183" s="161">
        <v>3488.25</v>
      </c>
      <c r="M183" s="161">
        <v>3471.02</v>
      </c>
      <c r="N183" s="161">
        <v>3485.77</v>
      </c>
      <c r="O183" s="161">
        <v>3504.22</v>
      </c>
      <c r="P183" s="161">
        <v>3508.09</v>
      </c>
      <c r="Q183" s="161">
        <v>3491.92</v>
      </c>
      <c r="R183" s="161">
        <v>3488.47</v>
      </c>
      <c r="S183" s="161">
        <v>3509.84</v>
      </c>
      <c r="T183" s="161"/>
      <c r="U183" s="161"/>
      <c r="V183" s="161"/>
      <c r="W183" s="176"/>
      <c r="X183" s="288"/>
      <c r="Y183" s="161"/>
      <c r="Z183" s="177"/>
      <c r="AA183" s="301"/>
      <c r="AB183" s="186"/>
      <c r="AE183" s="158"/>
      <c r="AF183" s="158"/>
      <c r="AG183" s="154"/>
      <c r="AH183" s="154"/>
    </row>
    <row r="184" spans="1:34" ht="60">
      <c r="A184"/>
      <c r="B184" s="171" t="s">
        <v>79</v>
      </c>
      <c r="C184" s="172">
        <f t="shared" ref="C184:S184" si="57">IF(((C182="")*AND(C183="")),"",(C182-C183)*2)</f>
        <v>1758.3400000000001</v>
      </c>
      <c r="D184" s="172">
        <f t="shared" si="57"/>
        <v>1751.0600000000004</v>
      </c>
      <c r="E184" s="172">
        <f t="shared" si="57"/>
        <v>1742.3200000000006</v>
      </c>
      <c r="F184" s="172">
        <f t="shared" si="57"/>
        <v>1715.5200000000004</v>
      </c>
      <c r="G184" s="172">
        <f t="shared" si="57"/>
        <v>1725.04</v>
      </c>
      <c r="H184" s="172">
        <f t="shared" si="57"/>
        <v>1780.9800000000005</v>
      </c>
      <c r="I184" s="172">
        <f t="shared" si="57"/>
        <v>1815.7600000000002</v>
      </c>
      <c r="J184" s="172">
        <f t="shared" si="57"/>
        <v>1829.9799999999996</v>
      </c>
      <c r="K184" s="172">
        <f t="shared" si="57"/>
        <v>1864.8599999999997</v>
      </c>
      <c r="L184" s="172">
        <f t="shared" si="57"/>
        <v>1822.0599999999995</v>
      </c>
      <c r="M184" s="172">
        <f t="shared" si="57"/>
        <v>1818.3000000000002</v>
      </c>
      <c r="N184" s="172">
        <f t="shared" si="57"/>
        <v>1777.0800000000008</v>
      </c>
      <c r="O184" s="172">
        <f t="shared" si="57"/>
        <v>1760.5800000000008</v>
      </c>
      <c r="P184" s="172">
        <f t="shared" si="57"/>
        <v>1750.1399999999994</v>
      </c>
      <c r="Q184" s="172">
        <f t="shared" si="57"/>
        <v>1783.2600000000002</v>
      </c>
      <c r="R184" s="172">
        <f t="shared" si="57"/>
        <v>1797.2200000000003</v>
      </c>
      <c r="S184" s="172">
        <f t="shared" si="57"/>
        <v>1793.6999999999989</v>
      </c>
      <c r="T184" s="172"/>
      <c r="U184" s="172"/>
      <c r="V184" s="172"/>
      <c r="W184" s="178"/>
      <c r="X184" s="290"/>
      <c r="Y184" s="172"/>
      <c r="Z184" s="179"/>
      <c r="AA184" s="301"/>
      <c r="AB184" s="186"/>
      <c r="AE184" s="158"/>
      <c r="AF184" s="158"/>
      <c r="AG184" s="154"/>
      <c r="AH184" s="154"/>
    </row>
    <row r="185" spans="1:34">
      <c r="A185" s="280">
        <v>43385</v>
      </c>
      <c r="B185" s="64" t="s">
        <v>77</v>
      </c>
      <c r="C185" s="161">
        <v>4442.01</v>
      </c>
      <c r="D185" s="161">
        <v>4404.62</v>
      </c>
      <c r="E185" s="161">
        <v>4387.8599999999997</v>
      </c>
      <c r="F185" s="161">
        <v>4386.71</v>
      </c>
      <c r="G185" s="161">
        <v>4380.57</v>
      </c>
      <c r="H185" s="161">
        <v>4355.84</v>
      </c>
      <c r="I185" s="161">
        <v>4349.3100000000004</v>
      </c>
      <c r="J185" s="161">
        <v>4354.45</v>
      </c>
      <c r="K185" s="161">
        <v>4388.1099999999997</v>
      </c>
      <c r="L185" s="161">
        <v>4376.62</v>
      </c>
      <c r="M185" s="161">
        <v>4348.8100000000004</v>
      </c>
      <c r="N185" s="161">
        <v>4347.71</v>
      </c>
      <c r="O185" s="161">
        <v>4360.59</v>
      </c>
      <c r="P185" s="161">
        <v>4363.2299999999996</v>
      </c>
      <c r="Q185" s="161">
        <v>4361.3500000000004</v>
      </c>
      <c r="R185" s="161">
        <v>4370.76</v>
      </c>
      <c r="S185" s="161">
        <v>4397.8999999999996</v>
      </c>
      <c r="T185" s="64">
        <f>IF((S186=""),"",MAX(C187:S187))</f>
        <v>1871.8999999999996</v>
      </c>
      <c r="U185" s="64">
        <f>IF(S186="","",MIN(C187:S187))</f>
        <v>1724.3199999999997</v>
      </c>
      <c r="V185" s="64">
        <f>IF((S187=""),"",AVERAGE(C187:S187))</f>
        <v>1785.3164705882355</v>
      </c>
      <c r="W185" s="176">
        <f>STDEV(C187:S187)</f>
        <v>46.219695604404606</v>
      </c>
      <c r="X185" s="98">
        <f>IF((S186=""),"",((T185-U185)/(T185+U185))*100)</f>
        <v>4.1037533854992176</v>
      </c>
      <c r="Y185" s="75" t="str">
        <f>IF(S186="","",IF(X185&lt;15,IF(V185&gt;1690,IF(V185&lt;2125,"Pass","Fail"),"Fail"),"Fail"))</f>
        <v>Pass</v>
      </c>
      <c r="Z185" s="177">
        <v>102</v>
      </c>
      <c r="AA185" s="186" t="s">
        <v>93</v>
      </c>
      <c r="AC185" s="132">
        <v>1600</v>
      </c>
      <c r="AD185" s="132">
        <v>2600</v>
      </c>
      <c r="AE185" s="158">
        <v>1690</v>
      </c>
      <c r="AF185" s="158">
        <v>2125</v>
      </c>
      <c r="AG185" s="154">
        <v>15</v>
      </c>
      <c r="AH185" s="154">
        <v>15</v>
      </c>
    </row>
    <row r="186" spans="1:34" ht="15.75">
      <c r="A186"/>
      <c r="B186" s="64" t="s">
        <v>78</v>
      </c>
      <c r="C186" s="49">
        <v>3560.54</v>
      </c>
      <c r="D186" s="49">
        <v>3533.7</v>
      </c>
      <c r="E186" s="49">
        <v>3523.92</v>
      </c>
      <c r="F186" s="49">
        <v>3524.55</v>
      </c>
      <c r="G186" s="49">
        <v>3517.15</v>
      </c>
      <c r="H186" s="49">
        <v>3464.79</v>
      </c>
      <c r="I186" s="49">
        <v>3435.84</v>
      </c>
      <c r="J186" s="49">
        <v>3418.5</v>
      </c>
      <c r="K186" s="49">
        <v>3457.54</v>
      </c>
      <c r="L186" s="49">
        <v>3463.46</v>
      </c>
      <c r="M186" s="49">
        <v>3447.36</v>
      </c>
      <c r="N186" s="49">
        <v>3460.86</v>
      </c>
      <c r="O186" s="49">
        <v>3490.75</v>
      </c>
      <c r="P186" s="49">
        <v>3478.75</v>
      </c>
      <c r="Q186" s="49">
        <v>3469.77</v>
      </c>
      <c r="R186" s="49">
        <v>3459.24</v>
      </c>
      <c r="S186" s="49">
        <v>3494.54</v>
      </c>
      <c r="T186" s="161"/>
      <c r="U186" s="161"/>
      <c r="V186" s="161"/>
      <c r="W186" s="176"/>
      <c r="X186" s="288"/>
      <c r="Y186" s="161"/>
      <c r="Z186" s="177"/>
      <c r="AA186" s="301"/>
      <c r="AB186" s="186"/>
      <c r="AE186" s="158"/>
      <c r="AF186" s="158"/>
      <c r="AG186" s="154"/>
      <c r="AH186" s="154"/>
    </row>
    <row r="187" spans="1:34" ht="60.75" thickBot="1">
      <c r="A187"/>
      <c r="B187" s="77" t="s">
        <v>79</v>
      </c>
      <c r="C187" s="162">
        <f t="shared" ref="C187:S187" si="58">IF(((C185="")*AND(C186="")),"",(C185-C186)*2)</f>
        <v>1762.9400000000005</v>
      </c>
      <c r="D187" s="162">
        <f t="shared" si="58"/>
        <v>1741.8400000000001</v>
      </c>
      <c r="E187" s="162">
        <f t="shared" si="58"/>
        <v>1727.8799999999992</v>
      </c>
      <c r="F187" s="162">
        <f t="shared" si="58"/>
        <v>1724.3199999999997</v>
      </c>
      <c r="G187" s="162">
        <f t="shared" si="58"/>
        <v>1726.8399999999992</v>
      </c>
      <c r="H187" s="162">
        <f t="shared" si="58"/>
        <v>1782.1000000000004</v>
      </c>
      <c r="I187" s="162">
        <f t="shared" si="58"/>
        <v>1826.9400000000005</v>
      </c>
      <c r="J187" s="162">
        <f t="shared" si="58"/>
        <v>1871.8999999999996</v>
      </c>
      <c r="K187" s="162">
        <f t="shared" si="58"/>
        <v>1861.1399999999994</v>
      </c>
      <c r="L187" s="162">
        <f t="shared" si="58"/>
        <v>1826.3199999999997</v>
      </c>
      <c r="M187" s="162">
        <f t="shared" si="58"/>
        <v>1802.9000000000005</v>
      </c>
      <c r="N187" s="162">
        <f t="shared" si="58"/>
        <v>1773.6999999999998</v>
      </c>
      <c r="O187" s="162">
        <f t="shared" si="58"/>
        <v>1739.6800000000003</v>
      </c>
      <c r="P187" s="162">
        <f t="shared" si="58"/>
        <v>1768.9599999999991</v>
      </c>
      <c r="Q187" s="162">
        <f t="shared" si="58"/>
        <v>1783.1600000000008</v>
      </c>
      <c r="R187" s="162">
        <f t="shared" si="58"/>
        <v>1823.0400000000009</v>
      </c>
      <c r="S187" s="162">
        <f t="shared" si="58"/>
        <v>1806.7199999999993</v>
      </c>
      <c r="T187" s="162"/>
      <c r="U187" s="162"/>
      <c r="V187" s="162"/>
      <c r="W187" s="180"/>
      <c r="X187" s="289"/>
      <c r="Y187" s="162"/>
      <c r="Z187" s="181"/>
      <c r="AA187" s="301"/>
      <c r="AB187" s="186"/>
      <c r="AE187" s="158"/>
      <c r="AF187" s="158"/>
      <c r="AG187" s="154"/>
      <c r="AH187" s="154"/>
    </row>
    <row r="188" spans="1:34">
      <c r="A188" s="278">
        <v>43388</v>
      </c>
      <c r="B188" s="64" t="s">
        <v>77</v>
      </c>
      <c r="C188" s="49">
        <v>5492</v>
      </c>
      <c r="D188" s="49">
        <v>5452</v>
      </c>
      <c r="E188" s="49">
        <v>5435</v>
      </c>
      <c r="F188" s="49">
        <v>5425</v>
      </c>
      <c r="G188" s="49">
        <v>5413</v>
      </c>
      <c r="H188" s="49">
        <v>5415</v>
      </c>
      <c r="I188" s="49">
        <v>5427</v>
      </c>
      <c r="J188" s="49">
        <v>5446</v>
      </c>
      <c r="K188" s="49">
        <v>5495</v>
      </c>
      <c r="L188" s="49">
        <v>5467</v>
      </c>
      <c r="M188" s="49">
        <v>5441</v>
      </c>
      <c r="N188" s="49">
        <v>5428</v>
      </c>
      <c r="O188" s="49">
        <v>5422</v>
      </c>
      <c r="P188" s="49">
        <v>5414</v>
      </c>
      <c r="Q188" s="49">
        <v>5421</v>
      </c>
      <c r="R188" s="49">
        <v>5431</v>
      </c>
      <c r="S188" s="49">
        <v>5443</v>
      </c>
      <c r="T188" s="155">
        <f>IF((S189=""),"",MAX(C190:S190))</f>
        <v>2152</v>
      </c>
      <c r="U188" s="64">
        <f>IF(S189="","",MIN(C190:S190))</f>
        <v>2014</v>
      </c>
      <c r="V188" s="70">
        <f>IF((S190=""),"",AVERAGE(C190:S190))</f>
        <v>2086.2352941176468</v>
      </c>
      <c r="W188" s="156">
        <f>STDEV(C190:S190)</f>
        <v>35.460417037456978</v>
      </c>
      <c r="X188" s="98">
        <f>IF((S189=""),"",((T188-U188)/(T188+U188))*100)</f>
        <v>3.3125300048007684</v>
      </c>
      <c r="Y188" s="75" t="str">
        <f>IF(S189="","",IF(X188&lt;15,IF(V188&gt;1690,IF(V188&lt;2125,"Pass","Fail"),"Fail"),"Fail"))</f>
        <v>Pass</v>
      </c>
      <c r="Z188" s="157">
        <v>1340</v>
      </c>
      <c r="AA188" s="301"/>
      <c r="AC188" s="132">
        <v>1600</v>
      </c>
      <c r="AD188" s="132">
        <v>2600</v>
      </c>
      <c r="AE188" s="158">
        <v>1690</v>
      </c>
      <c r="AF188" s="158">
        <v>2125</v>
      </c>
      <c r="AG188" s="154">
        <v>15</v>
      </c>
      <c r="AH188" s="154">
        <v>15</v>
      </c>
    </row>
    <row r="189" spans="1:34" ht="15.75">
      <c r="A189"/>
      <c r="B189" s="64" t="s">
        <v>78</v>
      </c>
      <c r="C189" s="49">
        <v>4485</v>
      </c>
      <c r="D189" s="49">
        <v>4426</v>
      </c>
      <c r="E189" s="49">
        <v>4408</v>
      </c>
      <c r="F189" s="49">
        <v>4392</v>
      </c>
      <c r="G189" s="49">
        <v>4380</v>
      </c>
      <c r="H189" s="49">
        <v>4368</v>
      </c>
      <c r="I189" s="49">
        <v>4358</v>
      </c>
      <c r="J189" s="49">
        <v>4370</v>
      </c>
      <c r="K189" s="49">
        <v>4448</v>
      </c>
      <c r="L189" s="49">
        <v>4421</v>
      </c>
      <c r="M189" s="49">
        <v>4376</v>
      </c>
      <c r="N189" s="49">
        <v>4371</v>
      </c>
      <c r="O189" s="49">
        <v>4374</v>
      </c>
      <c r="P189" s="49">
        <v>4378</v>
      </c>
      <c r="Q189" s="49">
        <v>4376</v>
      </c>
      <c r="R189" s="49">
        <v>4383</v>
      </c>
      <c r="S189" s="49">
        <v>4420</v>
      </c>
      <c r="T189" s="160"/>
      <c r="U189" s="161"/>
      <c r="V189" s="161"/>
      <c r="W189" s="156"/>
      <c r="X189" s="288"/>
      <c r="Y189" s="161"/>
      <c r="Z189" s="157"/>
      <c r="AA189" s="301"/>
      <c r="AB189" s="186"/>
      <c r="AE189" s="158"/>
      <c r="AF189" s="158"/>
      <c r="AG189" s="154"/>
      <c r="AH189" s="154"/>
    </row>
    <row r="190" spans="1:34" ht="60">
      <c r="A190"/>
      <c r="B190" s="171" t="s">
        <v>79</v>
      </c>
      <c r="C190" s="172">
        <f t="shared" ref="C190:S190" si="59">IF(((C188="")*AND(C189="")),"",(C188-C189)*2)</f>
        <v>2014</v>
      </c>
      <c r="D190" s="172">
        <f t="shared" si="59"/>
        <v>2052</v>
      </c>
      <c r="E190" s="172">
        <f t="shared" si="59"/>
        <v>2054</v>
      </c>
      <c r="F190" s="172">
        <f t="shared" si="59"/>
        <v>2066</v>
      </c>
      <c r="G190" s="172">
        <f t="shared" si="59"/>
        <v>2066</v>
      </c>
      <c r="H190" s="172">
        <f t="shared" si="59"/>
        <v>2094</v>
      </c>
      <c r="I190" s="172">
        <f t="shared" si="59"/>
        <v>2138</v>
      </c>
      <c r="J190" s="172">
        <f t="shared" si="59"/>
        <v>2152</v>
      </c>
      <c r="K190" s="172">
        <f t="shared" si="59"/>
        <v>2094</v>
      </c>
      <c r="L190" s="172">
        <f t="shared" si="59"/>
        <v>2092</v>
      </c>
      <c r="M190" s="172">
        <f t="shared" si="59"/>
        <v>2130</v>
      </c>
      <c r="N190" s="172">
        <f t="shared" si="59"/>
        <v>2114</v>
      </c>
      <c r="O190" s="172">
        <f t="shared" si="59"/>
        <v>2096</v>
      </c>
      <c r="P190" s="172">
        <f t="shared" si="59"/>
        <v>2072</v>
      </c>
      <c r="Q190" s="172">
        <f t="shared" si="59"/>
        <v>2090</v>
      </c>
      <c r="R190" s="172">
        <f t="shared" si="59"/>
        <v>2096</v>
      </c>
      <c r="S190" s="173">
        <f t="shared" si="59"/>
        <v>2046</v>
      </c>
      <c r="T190" s="174"/>
      <c r="U190" s="172"/>
      <c r="V190" s="172"/>
      <c r="W190" s="130"/>
      <c r="X190" s="290"/>
      <c r="Y190" s="172"/>
      <c r="Z190" s="175"/>
      <c r="AA190" s="301"/>
      <c r="AB190" s="186"/>
      <c r="AE190" s="158"/>
      <c r="AF190" s="158"/>
      <c r="AG190" s="154"/>
      <c r="AH190" s="154"/>
    </row>
    <row r="191" spans="1:34">
      <c r="A191" s="279">
        <v>43391</v>
      </c>
      <c r="B191" s="64" t="s">
        <v>77</v>
      </c>
      <c r="C191" s="49">
        <v>5518.23</v>
      </c>
      <c r="D191" s="49">
        <v>5495.63</v>
      </c>
      <c r="E191" s="49">
        <v>5477.54</v>
      </c>
      <c r="F191" s="49">
        <v>5467.55</v>
      </c>
      <c r="G191" s="49">
        <v>5453.99</v>
      </c>
      <c r="H191" s="49">
        <v>5460.56</v>
      </c>
      <c r="I191" s="49">
        <v>5464.92</v>
      </c>
      <c r="J191" s="49">
        <v>5478.17</v>
      </c>
      <c r="K191" s="49">
        <v>5504.34</v>
      </c>
      <c r="L191" s="49">
        <v>5486.92</v>
      </c>
      <c r="M191" s="49">
        <v>5476.74</v>
      </c>
      <c r="N191" s="49">
        <v>5472.96</v>
      </c>
      <c r="O191" s="49">
        <v>5464.77</v>
      </c>
      <c r="P191" s="49">
        <v>5456.21</v>
      </c>
      <c r="Q191" s="49">
        <v>5469.24</v>
      </c>
      <c r="R191" s="49">
        <v>5478.64</v>
      </c>
      <c r="S191" s="49">
        <v>5483.86</v>
      </c>
      <c r="T191" s="64">
        <f>IF((S192=""),"",MAX(C193:S193))</f>
        <v>2157.9799999999996</v>
      </c>
      <c r="U191" s="64">
        <f>IF(S192="","",MIN(C193:S193))</f>
        <v>2052.5</v>
      </c>
      <c r="V191" s="64">
        <f>IF((S193=""),"",AVERAGE(C193:S193))</f>
        <v>2102.5705882352941</v>
      </c>
      <c r="W191" s="176">
        <f>STDEV(C193:S193)</f>
        <v>35.282165549793895</v>
      </c>
      <c r="X191" s="98">
        <f>IF((S192=""),"",((T191-U191)/(T191+U191))*100)</f>
        <v>2.5051775569531163</v>
      </c>
      <c r="Y191" s="75" t="str">
        <f>IF(S192="","",IF(X191&lt;15,IF(V191&gt;1690,IF(V191&lt;2125,"Pass","Fail"),"Fail"),"Fail"))</f>
        <v>Pass</v>
      </c>
      <c r="Z191" s="177">
        <v>121</v>
      </c>
      <c r="AA191" s="186" t="s">
        <v>94</v>
      </c>
      <c r="AC191" s="132">
        <v>1600</v>
      </c>
      <c r="AD191" s="132">
        <v>2600</v>
      </c>
      <c r="AE191" s="158">
        <v>1690</v>
      </c>
      <c r="AF191" s="158">
        <v>2125</v>
      </c>
      <c r="AG191" s="154">
        <v>15</v>
      </c>
      <c r="AH191" s="154">
        <v>15</v>
      </c>
    </row>
    <row r="192" spans="1:34" ht="15.75">
      <c r="A192"/>
      <c r="B192" s="64" t="s">
        <v>78</v>
      </c>
      <c r="C192" s="49">
        <v>4491.62</v>
      </c>
      <c r="D192" s="49">
        <v>4464.3599999999997</v>
      </c>
      <c r="E192" s="49">
        <v>4451.29</v>
      </c>
      <c r="F192" s="49">
        <v>4433.71</v>
      </c>
      <c r="G192" s="49">
        <v>4420.5</v>
      </c>
      <c r="H192" s="49">
        <v>4410.3</v>
      </c>
      <c r="I192" s="49">
        <v>4398.38</v>
      </c>
      <c r="J192" s="49">
        <v>4399.21</v>
      </c>
      <c r="K192" s="49">
        <v>4425.3500000000004</v>
      </c>
      <c r="L192" s="49">
        <v>4419.17</v>
      </c>
      <c r="M192" s="49">
        <v>4403.47</v>
      </c>
      <c r="N192" s="49">
        <v>4415.2700000000004</v>
      </c>
      <c r="O192" s="49">
        <v>4416.07</v>
      </c>
      <c r="P192" s="49">
        <v>4416.7299999999996</v>
      </c>
      <c r="Q192" s="49">
        <v>4416.04</v>
      </c>
      <c r="R192" s="49">
        <v>4427.49</v>
      </c>
      <c r="S192" s="49">
        <v>4429.46</v>
      </c>
      <c r="T192" s="161"/>
      <c r="U192" s="161"/>
      <c r="V192" s="161"/>
      <c r="W192" s="176"/>
      <c r="X192" s="288"/>
      <c r="Y192" s="161"/>
      <c r="Z192" s="177"/>
      <c r="AA192" s="186"/>
      <c r="AB192" s="186"/>
      <c r="AE192" s="158"/>
      <c r="AF192" s="158"/>
      <c r="AG192" s="154"/>
      <c r="AH192" s="154"/>
    </row>
    <row r="193" spans="1:34" ht="60.75" thickBot="1">
      <c r="A193"/>
      <c r="B193" s="77" t="s">
        <v>79</v>
      </c>
      <c r="C193" s="162">
        <f t="shared" ref="C193:S193" si="60">IF(((C191="")*AND(C192="")),"",(C191-C192)*2)</f>
        <v>2053.2199999999993</v>
      </c>
      <c r="D193" s="162">
        <f t="shared" si="60"/>
        <v>2062.5400000000009</v>
      </c>
      <c r="E193" s="162">
        <f t="shared" si="60"/>
        <v>2052.5</v>
      </c>
      <c r="F193" s="162">
        <f t="shared" si="60"/>
        <v>2067.6800000000003</v>
      </c>
      <c r="G193" s="162">
        <f t="shared" si="60"/>
        <v>2066.9799999999996</v>
      </c>
      <c r="H193" s="162">
        <f t="shared" si="60"/>
        <v>2100.5200000000004</v>
      </c>
      <c r="I193" s="162">
        <f t="shared" si="60"/>
        <v>2133.08</v>
      </c>
      <c r="J193" s="162">
        <f t="shared" si="60"/>
        <v>2157.92</v>
      </c>
      <c r="K193" s="162">
        <f t="shared" si="60"/>
        <v>2157.9799999999996</v>
      </c>
      <c r="L193" s="162">
        <f t="shared" si="60"/>
        <v>2135.5</v>
      </c>
      <c r="M193" s="162">
        <f t="shared" si="60"/>
        <v>2146.5399999999991</v>
      </c>
      <c r="N193" s="162">
        <f t="shared" si="60"/>
        <v>2115.3799999999992</v>
      </c>
      <c r="O193" s="162">
        <f t="shared" si="60"/>
        <v>2097.4000000000015</v>
      </c>
      <c r="P193" s="162">
        <f t="shared" si="60"/>
        <v>2078.9600000000009</v>
      </c>
      <c r="Q193" s="162">
        <f t="shared" si="60"/>
        <v>2106.3999999999996</v>
      </c>
      <c r="R193" s="162">
        <f t="shared" si="60"/>
        <v>2102.3000000000011</v>
      </c>
      <c r="S193" s="162">
        <f t="shared" si="60"/>
        <v>2108.7999999999993</v>
      </c>
      <c r="T193" s="162"/>
      <c r="U193" s="162"/>
      <c r="V193" s="162"/>
      <c r="W193" s="180"/>
      <c r="X193" s="289"/>
      <c r="Y193" s="162"/>
      <c r="Z193" s="181"/>
      <c r="AA193" s="186"/>
      <c r="AB193" s="186"/>
      <c r="AE193" s="158"/>
      <c r="AF193" s="158"/>
      <c r="AG193" s="154"/>
      <c r="AH193" s="154"/>
    </row>
    <row r="194" spans="1:34">
      <c r="A194" s="279">
        <v>43395</v>
      </c>
      <c r="B194" s="64" t="s">
        <v>77</v>
      </c>
      <c r="C194" s="49">
        <v>4491.62</v>
      </c>
      <c r="D194" s="49">
        <v>4464.3599999999997</v>
      </c>
      <c r="E194" s="49">
        <v>4451.29</v>
      </c>
      <c r="F194" s="49">
        <v>4433.71</v>
      </c>
      <c r="G194" s="49">
        <v>4420.5</v>
      </c>
      <c r="H194" s="49">
        <v>4410.3</v>
      </c>
      <c r="I194" s="49">
        <v>4398.38</v>
      </c>
      <c r="J194" s="49">
        <v>4399.21</v>
      </c>
      <c r="K194" s="49">
        <v>4425.3500000000004</v>
      </c>
      <c r="L194" s="49">
        <v>4419.17</v>
      </c>
      <c r="M194" s="49">
        <v>4403.47</v>
      </c>
      <c r="N194" s="49">
        <v>4415.2700000000004</v>
      </c>
      <c r="O194" s="49">
        <v>4416.07</v>
      </c>
      <c r="P194" s="49">
        <v>4416.7299999999996</v>
      </c>
      <c r="Q194" s="49">
        <v>4416.04</v>
      </c>
      <c r="R194" s="49">
        <v>4427.49</v>
      </c>
      <c r="S194" s="49">
        <v>4429.46</v>
      </c>
      <c r="T194" s="64">
        <f>IF((S195=""),"",MAX(C196:S196))</f>
        <v>1902.6800000000003</v>
      </c>
      <c r="U194" s="64">
        <f>IF(S195="","",MIN(C196:S196))</f>
        <v>1747.8199999999997</v>
      </c>
      <c r="V194" s="64">
        <f>IF((S196=""),"",AVERAGE(C196:S196))</f>
        <v>1805.150588235294</v>
      </c>
      <c r="W194" s="176">
        <f>STDEV(C196:S196)</f>
        <v>45.920919044404137</v>
      </c>
      <c r="X194" s="98">
        <f>IF((S195=""),"",((T194-U194)/(T194+U194))*100)</f>
        <v>4.2421586084098228</v>
      </c>
      <c r="Y194" s="75" t="str">
        <f>IF(S195="","",IF(X194&lt;15,IF(V194&gt;1690,IF(V194&lt;2125,"Pass","Fail"),"Fail"),"Fail"))</f>
        <v>Pass</v>
      </c>
      <c r="Z194" s="177">
        <v>121</v>
      </c>
      <c r="AA194" s="186" t="s">
        <v>95</v>
      </c>
      <c r="AC194" s="132">
        <v>1600</v>
      </c>
      <c r="AD194" s="132">
        <v>2600</v>
      </c>
      <c r="AE194" s="158">
        <v>1690</v>
      </c>
      <c r="AF194" s="158">
        <v>2125</v>
      </c>
      <c r="AG194" s="154">
        <v>15</v>
      </c>
      <c r="AH194" s="154">
        <v>15</v>
      </c>
    </row>
    <row r="195" spans="1:34" ht="15.75">
      <c r="A195"/>
      <c r="B195" s="64" t="s">
        <v>78</v>
      </c>
      <c r="C195" s="49">
        <v>3615.46</v>
      </c>
      <c r="D195" s="49">
        <v>3583.25</v>
      </c>
      <c r="E195" s="49">
        <v>3566.19</v>
      </c>
      <c r="F195" s="49">
        <v>3559.8</v>
      </c>
      <c r="G195" s="49">
        <v>3539.87</v>
      </c>
      <c r="H195" s="49">
        <v>3507.86</v>
      </c>
      <c r="I195" s="49">
        <v>3472.15</v>
      </c>
      <c r="J195" s="49">
        <v>3463.6</v>
      </c>
      <c r="K195" s="49">
        <v>3474.01</v>
      </c>
      <c r="L195" s="49">
        <v>3500.74</v>
      </c>
      <c r="M195" s="49">
        <v>3497.93</v>
      </c>
      <c r="N195" s="49">
        <v>3510.78</v>
      </c>
      <c r="O195" s="49">
        <v>3534.98</v>
      </c>
      <c r="P195" s="49">
        <v>3530.76</v>
      </c>
      <c r="Q195" s="49">
        <v>3517.15</v>
      </c>
      <c r="R195" s="49">
        <v>3516.88</v>
      </c>
      <c r="S195" s="49">
        <v>3503.23</v>
      </c>
      <c r="T195" s="161"/>
      <c r="U195" s="161"/>
      <c r="V195" s="161"/>
      <c r="W195" s="176"/>
      <c r="X195" s="288"/>
      <c r="Y195" s="161"/>
      <c r="Z195" s="177"/>
      <c r="AA195" s="301"/>
      <c r="AB195" s="186"/>
      <c r="AE195" s="158"/>
      <c r="AF195" s="158"/>
      <c r="AG195" s="154"/>
      <c r="AH195" s="154"/>
    </row>
    <row r="196" spans="1:34" ht="60.75" thickBot="1">
      <c r="A196"/>
      <c r="B196" s="77" t="s">
        <v>79</v>
      </c>
      <c r="C196" s="162">
        <f t="shared" ref="C196:S196" si="61">IF(((C194="")*AND(C195="")),"",(C194-C195)*2)</f>
        <v>1752.3199999999997</v>
      </c>
      <c r="D196" s="162">
        <f t="shared" si="61"/>
        <v>1762.2199999999993</v>
      </c>
      <c r="E196" s="162">
        <f t="shared" si="61"/>
        <v>1770.1999999999998</v>
      </c>
      <c r="F196" s="162">
        <f t="shared" si="61"/>
        <v>1747.8199999999997</v>
      </c>
      <c r="G196" s="162">
        <f t="shared" si="61"/>
        <v>1761.2600000000002</v>
      </c>
      <c r="H196" s="162">
        <f t="shared" si="61"/>
        <v>1804.88</v>
      </c>
      <c r="I196" s="162">
        <f t="shared" si="61"/>
        <v>1852.46</v>
      </c>
      <c r="J196" s="162">
        <f t="shared" si="61"/>
        <v>1871.2200000000003</v>
      </c>
      <c r="K196" s="162">
        <f t="shared" si="61"/>
        <v>1902.6800000000003</v>
      </c>
      <c r="L196" s="162">
        <f t="shared" si="61"/>
        <v>1836.8600000000006</v>
      </c>
      <c r="M196" s="162">
        <f t="shared" si="61"/>
        <v>1811.0800000000008</v>
      </c>
      <c r="N196" s="162">
        <f t="shared" si="61"/>
        <v>1808.9800000000005</v>
      </c>
      <c r="O196" s="162">
        <f t="shared" si="61"/>
        <v>1762.1799999999994</v>
      </c>
      <c r="P196" s="162">
        <f t="shared" si="61"/>
        <v>1771.9399999999987</v>
      </c>
      <c r="Q196" s="162">
        <f t="shared" si="61"/>
        <v>1797.7799999999997</v>
      </c>
      <c r="R196" s="162">
        <f t="shared" si="61"/>
        <v>1821.2199999999993</v>
      </c>
      <c r="S196" s="162">
        <f t="shared" si="61"/>
        <v>1852.46</v>
      </c>
      <c r="T196" s="162"/>
      <c r="U196" s="162"/>
      <c r="V196" s="162"/>
      <c r="W196" s="180"/>
      <c r="X196" s="289"/>
      <c r="Y196" s="162"/>
      <c r="Z196" s="181"/>
      <c r="AA196" s="301"/>
      <c r="AB196" s="186"/>
      <c r="AE196" s="158"/>
      <c r="AF196" s="158"/>
      <c r="AG196" s="154"/>
      <c r="AH196" s="154"/>
    </row>
    <row r="197" spans="1:34">
      <c r="A197" s="279">
        <v>43398</v>
      </c>
      <c r="B197" s="64" t="s">
        <v>77</v>
      </c>
      <c r="C197" s="49">
        <v>5500.05</v>
      </c>
      <c r="D197" s="49">
        <v>5480.57</v>
      </c>
      <c r="E197" s="49">
        <v>5460.37</v>
      </c>
      <c r="F197" s="49">
        <v>5436.08</v>
      </c>
      <c r="G197" s="49">
        <v>5434.28</v>
      </c>
      <c r="H197" s="49">
        <v>5438.46</v>
      </c>
      <c r="I197" s="49">
        <v>5445.17</v>
      </c>
      <c r="J197" s="49">
        <v>5461.34</v>
      </c>
      <c r="K197" s="49">
        <v>5469.56</v>
      </c>
      <c r="L197" s="49">
        <v>5457.23</v>
      </c>
      <c r="M197" s="49">
        <v>5450.98</v>
      </c>
      <c r="N197" s="49">
        <v>5444.45</v>
      </c>
      <c r="O197" s="49">
        <v>5441.94</v>
      </c>
      <c r="P197" s="49">
        <v>5438.62</v>
      </c>
      <c r="Q197" s="49">
        <v>5447.85</v>
      </c>
      <c r="R197" s="49">
        <v>5446.6</v>
      </c>
      <c r="S197" s="49">
        <v>5454.82</v>
      </c>
      <c r="T197" s="64">
        <f>IF((S198=""),"",MAX(C199:S199))</f>
        <v>2203.16</v>
      </c>
      <c r="U197" s="64">
        <f>IF(S198="","",MIN(C199:S199))</f>
        <v>2057.58</v>
      </c>
      <c r="V197" s="64">
        <f>IF((S199=""),"",AVERAGE(C199:S199))</f>
        <v>2145.276470588235</v>
      </c>
      <c r="W197" s="176">
        <f>STDEV(C199:S199)</f>
        <v>39.714053706008016</v>
      </c>
      <c r="X197" s="98">
        <f>IF((S198=""),"",((T197-U197)/(T197+U197))*100)</f>
        <v>3.4167773673117803</v>
      </c>
      <c r="Y197" s="75" t="str">
        <f>IF(S198="","",IF(X197&lt;15,IF(V197&gt;1690,IF(V197&lt;2125,"Pass","Fail"),"Fail"),"Fail"))</f>
        <v>Fail</v>
      </c>
      <c r="Z197" s="177">
        <v>121</v>
      </c>
      <c r="AA197" s="301"/>
      <c r="AC197" s="132">
        <v>1600</v>
      </c>
      <c r="AD197" s="132">
        <v>2600</v>
      </c>
      <c r="AE197" s="158">
        <v>1690</v>
      </c>
      <c r="AF197" s="158">
        <v>2125</v>
      </c>
      <c r="AG197" s="154">
        <v>15</v>
      </c>
      <c r="AH197" s="154">
        <v>15</v>
      </c>
    </row>
    <row r="198" spans="1:34" ht="15.75">
      <c r="A198"/>
      <c r="B198" s="64" t="s">
        <v>78</v>
      </c>
      <c r="C198" s="49">
        <v>4471.26</v>
      </c>
      <c r="D198" s="49">
        <v>4434.62</v>
      </c>
      <c r="E198" s="49">
        <v>4408.55</v>
      </c>
      <c r="F198" s="49">
        <v>4388.71</v>
      </c>
      <c r="G198" s="49">
        <v>4368.59</v>
      </c>
      <c r="H198" s="49">
        <v>4348.74</v>
      </c>
      <c r="I198" s="49">
        <v>4343.59</v>
      </c>
      <c r="J198" s="49">
        <v>4359.8900000000003</v>
      </c>
      <c r="K198" s="49">
        <v>4379.8900000000003</v>
      </c>
      <c r="L198" s="49">
        <v>4379.82</v>
      </c>
      <c r="M198" s="49">
        <v>4368.34</v>
      </c>
      <c r="N198" s="49">
        <v>4361.04</v>
      </c>
      <c r="O198" s="49">
        <v>4365.51</v>
      </c>
      <c r="P198" s="49">
        <v>4359.62</v>
      </c>
      <c r="Q198" s="49">
        <v>4375.13</v>
      </c>
      <c r="R198" s="49">
        <v>4374.97</v>
      </c>
      <c r="S198" s="49">
        <v>4385.25</v>
      </c>
      <c r="T198" s="161"/>
      <c r="U198" s="161"/>
      <c r="V198" s="161"/>
      <c r="W198" s="176"/>
      <c r="X198" s="288"/>
      <c r="Y198" s="161"/>
      <c r="Z198" s="177"/>
      <c r="AA198" s="301"/>
      <c r="AB198" s="186"/>
      <c r="AE198" s="158"/>
      <c r="AF198" s="158"/>
      <c r="AG198" s="154"/>
      <c r="AH198" s="154"/>
    </row>
    <row r="199" spans="1:34" ht="60.75" thickBot="1">
      <c r="A199"/>
      <c r="B199" s="77" t="s">
        <v>79</v>
      </c>
      <c r="C199" s="162">
        <f t="shared" ref="C199:S199" si="62">IF(((C197="")*AND(C198="")),"",(C197-C198)*2)</f>
        <v>2057.58</v>
      </c>
      <c r="D199" s="162">
        <f t="shared" si="62"/>
        <v>2091.8999999999996</v>
      </c>
      <c r="E199" s="162">
        <f t="shared" si="62"/>
        <v>2103.6399999999994</v>
      </c>
      <c r="F199" s="162">
        <f t="shared" si="62"/>
        <v>2094.7399999999998</v>
      </c>
      <c r="G199" s="162">
        <f t="shared" si="62"/>
        <v>2131.3799999999992</v>
      </c>
      <c r="H199" s="162">
        <f t="shared" si="62"/>
        <v>2179.4400000000005</v>
      </c>
      <c r="I199" s="162">
        <f t="shared" si="62"/>
        <v>2203.16</v>
      </c>
      <c r="J199" s="162">
        <f t="shared" si="62"/>
        <v>2202.8999999999996</v>
      </c>
      <c r="K199" s="162">
        <f t="shared" si="62"/>
        <v>2179.34</v>
      </c>
      <c r="L199" s="162">
        <f t="shared" si="62"/>
        <v>2154.8199999999997</v>
      </c>
      <c r="M199" s="162">
        <f t="shared" si="62"/>
        <v>2165.2799999999988</v>
      </c>
      <c r="N199" s="162">
        <f t="shared" si="62"/>
        <v>2166.8199999999997</v>
      </c>
      <c r="O199" s="162">
        <f t="shared" si="62"/>
        <v>2152.8599999999988</v>
      </c>
      <c r="P199" s="162">
        <f t="shared" si="62"/>
        <v>2158</v>
      </c>
      <c r="Q199" s="162">
        <f t="shared" si="62"/>
        <v>2145.4400000000005</v>
      </c>
      <c r="R199" s="162">
        <f t="shared" si="62"/>
        <v>2143.2600000000002</v>
      </c>
      <c r="S199" s="162">
        <f t="shared" si="62"/>
        <v>2139.1399999999994</v>
      </c>
      <c r="T199" s="162"/>
      <c r="U199" s="162"/>
      <c r="V199" s="162"/>
      <c r="W199" s="180"/>
      <c r="X199" s="289"/>
      <c r="Y199" s="162"/>
      <c r="Z199" s="181"/>
      <c r="AA199" s="301"/>
      <c r="AB199" s="186"/>
      <c r="AE199" s="158"/>
      <c r="AF199" s="158"/>
      <c r="AG199" s="154"/>
      <c r="AH199" s="154"/>
    </row>
    <row r="200" spans="1:34">
      <c r="A200" s="278">
        <v>43401</v>
      </c>
      <c r="B200" s="64" t="s">
        <v>77</v>
      </c>
      <c r="C200" s="169">
        <v>4542</v>
      </c>
      <c r="D200" s="170">
        <v>4483</v>
      </c>
      <c r="E200" s="170">
        <v>4449</v>
      </c>
      <c r="F200" s="170">
        <v>4421</v>
      </c>
      <c r="G200" s="170">
        <v>4397</v>
      </c>
      <c r="H200" s="170">
        <v>4383</v>
      </c>
      <c r="I200" s="170">
        <v>4380</v>
      </c>
      <c r="J200" s="170">
        <v>4397</v>
      </c>
      <c r="K200" s="170">
        <v>4481</v>
      </c>
      <c r="L200" s="170">
        <v>4443</v>
      </c>
      <c r="M200" s="170">
        <v>4401</v>
      </c>
      <c r="N200" s="170">
        <v>4394</v>
      </c>
      <c r="O200" s="170">
        <v>4394</v>
      </c>
      <c r="P200" s="170">
        <v>4397</v>
      </c>
      <c r="Q200" s="170">
        <v>4404</v>
      </c>
      <c r="R200" s="170">
        <v>4414</v>
      </c>
      <c r="S200" s="182">
        <v>4437</v>
      </c>
      <c r="T200" s="155">
        <f>IF((S201=""),"",MAX(C202:S202))</f>
        <v>1914</v>
      </c>
      <c r="U200" s="64">
        <f>IF(S201="","",MIN(C202:S202))</f>
        <v>1754</v>
      </c>
      <c r="V200" s="70">
        <f>IF((S202=""),"",AVERAGE(C202:S202))</f>
        <v>1807.5294117647059</v>
      </c>
      <c r="W200" s="156">
        <f>STDEV(C202:S202)</f>
        <v>43.090192687923867</v>
      </c>
      <c r="X200" s="98">
        <f>IF((S201=""),"",((T200-U200)/(T200+U200))*100)</f>
        <v>4.3620501635768809</v>
      </c>
      <c r="Y200" s="75" t="str">
        <f>IF(S201="","",IF(X200&lt;15,IF(V200&gt;1690,IF(V200&lt;2125,"Pass","Fail"),"Fail"),"Fail"))</f>
        <v>Pass</v>
      </c>
      <c r="Z200" s="157">
        <v>1340</v>
      </c>
      <c r="AA200" s="301"/>
      <c r="AC200" s="132">
        <v>1600</v>
      </c>
      <c r="AD200" s="132">
        <v>2600</v>
      </c>
      <c r="AE200" s="158">
        <v>1690</v>
      </c>
      <c r="AF200" s="158">
        <v>2125</v>
      </c>
      <c r="AG200" s="154">
        <v>15</v>
      </c>
      <c r="AH200" s="154">
        <v>15</v>
      </c>
    </row>
    <row r="201" spans="1:34" ht="15.75">
      <c r="A201"/>
      <c r="B201" s="64" t="s">
        <v>78</v>
      </c>
      <c r="C201" s="169">
        <v>3644</v>
      </c>
      <c r="D201" s="170">
        <v>3595</v>
      </c>
      <c r="E201" s="170">
        <v>3569</v>
      </c>
      <c r="F201" s="170">
        <v>3544</v>
      </c>
      <c r="G201" s="170">
        <v>3513</v>
      </c>
      <c r="H201" s="170">
        <v>3488</v>
      </c>
      <c r="I201" s="170">
        <v>3465</v>
      </c>
      <c r="J201" s="170">
        <v>3459</v>
      </c>
      <c r="K201" s="170">
        <v>3524</v>
      </c>
      <c r="L201" s="170">
        <v>3526</v>
      </c>
      <c r="M201" s="170">
        <v>3486</v>
      </c>
      <c r="N201" s="170">
        <v>3495</v>
      </c>
      <c r="O201" s="170">
        <v>3504</v>
      </c>
      <c r="P201" s="170">
        <v>3513</v>
      </c>
      <c r="Q201" s="170">
        <v>3508</v>
      </c>
      <c r="R201" s="170">
        <v>3502</v>
      </c>
      <c r="S201" s="170">
        <v>3518</v>
      </c>
      <c r="T201" s="160"/>
      <c r="U201" s="161"/>
      <c r="V201" s="161"/>
      <c r="W201" s="156"/>
      <c r="X201" s="288"/>
      <c r="Y201" s="161"/>
      <c r="Z201" s="157"/>
      <c r="AA201" s="301"/>
      <c r="AB201" s="186"/>
      <c r="AE201" s="158"/>
      <c r="AF201" s="158"/>
      <c r="AG201" s="154"/>
      <c r="AH201" s="154"/>
    </row>
    <row r="202" spans="1:34" ht="60">
      <c r="A202"/>
      <c r="B202" s="171" t="s">
        <v>79</v>
      </c>
      <c r="C202" s="172">
        <f t="shared" ref="C202:S202" si="63">IF(((C200="")*AND(C201="")),"",(C200-C201)*2)</f>
        <v>1796</v>
      </c>
      <c r="D202" s="172">
        <f t="shared" si="63"/>
        <v>1776</v>
      </c>
      <c r="E202" s="172">
        <f t="shared" si="63"/>
        <v>1760</v>
      </c>
      <c r="F202" s="172">
        <f t="shared" si="63"/>
        <v>1754</v>
      </c>
      <c r="G202" s="172">
        <f t="shared" si="63"/>
        <v>1768</v>
      </c>
      <c r="H202" s="172">
        <f t="shared" si="63"/>
        <v>1790</v>
      </c>
      <c r="I202" s="172">
        <f t="shared" si="63"/>
        <v>1830</v>
      </c>
      <c r="J202" s="172">
        <f t="shared" si="63"/>
        <v>1876</v>
      </c>
      <c r="K202" s="172">
        <f t="shared" si="63"/>
        <v>1914</v>
      </c>
      <c r="L202" s="172">
        <f t="shared" si="63"/>
        <v>1834</v>
      </c>
      <c r="M202" s="172">
        <f t="shared" si="63"/>
        <v>1830</v>
      </c>
      <c r="N202" s="172">
        <f t="shared" si="63"/>
        <v>1798</v>
      </c>
      <c r="O202" s="172">
        <f t="shared" si="63"/>
        <v>1780</v>
      </c>
      <c r="P202" s="172">
        <f t="shared" si="63"/>
        <v>1768</v>
      </c>
      <c r="Q202" s="172">
        <f t="shared" si="63"/>
        <v>1792</v>
      </c>
      <c r="R202" s="172">
        <f t="shared" si="63"/>
        <v>1824</v>
      </c>
      <c r="S202" s="173">
        <f t="shared" si="63"/>
        <v>1838</v>
      </c>
      <c r="T202" s="174"/>
      <c r="U202" s="172"/>
      <c r="V202" s="172"/>
      <c r="W202" s="130"/>
      <c r="X202" s="290"/>
      <c r="Y202" s="172"/>
      <c r="Z202" s="175"/>
      <c r="AA202" s="301"/>
      <c r="AB202" s="186"/>
      <c r="AE202" s="158"/>
      <c r="AF202" s="158"/>
      <c r="AG202" s="154"/>
      <c r="AH202" s="154"/>
    </row>
    <row r="203" spans="1:34">
      <c r="A203" s="279">
        <v>43402</v>
      </c>
      <c r="B203" s="64" t="s">
        <v>77</v>
      </c>
      <c r="C203" s="49">
        <v>3587.35</v>
      </c>
      <c r="D203" s="49">
        <v>3566.26</v>
      </c>
      <c r="E203" s="49">
        <v>3530.51</v>
      </c>
      <c r="F203" s="49">
        <v>3520.28</v>
      </c>
      <c r="G203" s="49">
        <v>3492.5</v>
      </c>
      <c r="H203" s="49">
        <v>3467.64</v>
      </c>
      <c r="I203" s="49">
        <v>3440.4</v>
      </c>
      <c r="J203" s="49">
        <v>3436.84</v>
      </c>
      <c r="K203" s="49">
        <v>3449.81</v>
      </c>
      <c r="L203" s="49">
        <v>3462.1</v>
      </c>
      <c r="M203" s="49">
        <v>3466.43</v>
      </c>
      <c r="N203" s="49">
        <v>3478.05</v>
      </c>
      <c r="O203" s="49">
        <v>3485.77</v>
      </c>
      <c r="P203" s="49">
        <v>3492.65</v>
      </c>
      <c r="Q203" s="49">
        <v>3483.67</v>
      </c>
      <c r="R203" s="49">
        <v>3479.19</v>
      </c>
      <c r="S203" s="49">
        <v>3475.58</v>
      </c>
      <c r="T203" s="64">
        <f>IF((S204=""),"",MAX(C205:S205))</f>
        <v>1939.8000000000002</v>
      </c>
      <c r="U203" s="64">
        <f>IF(S204="","",MIN(C205:S205))</f>
        <v>1752.96</v>
      </c>
      <c r="V203" s="64">
        <f>IF((S205=""),"",AVERAGE(C205:S205))</f>
        <v>1821.3941176470587</v>
      </c>
      <c r="W203" s="176">
        <f>STDEV(C205:S205)</f>
        <v>51.840178319874553</v>
      </c>
      <c r="X203" s="98">
        <f>IF((S204=""),"",((T203-U203)/(T203+U203))*100)</f>
        <v>5.0596301953010787</v>
      </c>
      <c r="Y203" s="75" t="str">
        <f>IF(S204="","",IF(X203&lt;15,IF(V203&gt;1690,IF(V203&lt;2125,"Pass","Fail"),"Fail"),"Fail"))</f>
        <v>Pass</v>
      </c>
      <c r="Z203" s="177">
        <v>1428</v>
      </c>
      <c r="AA203" s="186" t="s">
        <v>118</v>
      </c>
      <c r="AC203" s="132">
        <v>1600</v>
      </c>
      <c r="AD203" s="132">
        <v>2600</v>
      </c>
      <c r="AE203" s="158">
        <v>1690</v>
      </c>
      <c r="AF203" s="158">
        <v>2125</v>
      </c>
      <c r="AG203" s="154">
        <v>15</v>
      </c>
      <c r="AH203" s="154">
        <v>15</v>
      </c>
    </row>
    <row r="204" spans="1:34" ht="15.75">
      <c r="A204"/>
      <c r="B204" s="64" t="s">
        <v>78</v>
      </c>
      <c r="C204" s="49">
        <v>2710.87</v>
      </c>
      <c r="D204" s="49">
        <v>2687.31</v>
      </c>
      <c r="E204" s="49">
        <v>2649.6</v>
      </c>
      <c r="F204" s="49">
        <v>2636.11</v>
      </c>
      <c r="G204" s="49">
        <v>2606.7600000000002</v>
      </c>
      <c r="H204" s="49">
        <v>2554.2600000000002</v>
      </c>
      <c r="I204" s="49">
        <v>2513.62</v>
      </c>
      <c r="J204" s="49">
        <v>2488.9899999999998</v>
      </c>
      <c r="K204" s="49">
        <v>2479.91</v>
      </c>
      <c r="L204" s="49">
        <v>2527.6</v>
      </c>
      <c r="M204" s="49">
        <v>2541.94</v>
      </c>
      <c r="N204" s="49">
        <v>2572.83</v>
      </c>
      <c r="O204" s="49">
        <v>2587.54</v>
      </c>
      <c r="P204" s="49">
        <v>2587.6799999999998</v>
      </c>
      <c r="Q204" s="49">
        <v>2574.62</v>
      </c>
      <c r="R204" s="49">
        <v>2562.54</v>
      </c>
      <c r="S204" s="49">
        <v>2551</v>
      </c>
      <c r="T204" s="161"/>
      <c r="U204" s="161"/>
      <c r="V204" s="161"/>
      <c r="W204" s="176"/>
      <c r="X204" s="288"/>
      <c r="Y204" s="161"/>
      <c r="Z204" s="177"/>
      <c r="AA204" s="301"/>
      <c r="AB204" s="186"/>
      <c r="AE204" s="158"/>
      <c r="AF204" s="158"/>
      <c r="AG204" s="154"/>
      <c r="AH204" s="154"/>
    </row>
    <row r="205" spans="1:34" ht="60.75" thickBot="1">
      <c r="A205"/>
      <c r="B205" s="77" t="s">
        <v>79</v>
      </c>
      <c r="C205" s="162">
        <f t="shared" ref="C205:S205" si="64">IF(((C203="")*AND(C204="")),"",(C203-C204)*2)</f>
        <v>1752.96</v>
      </c>
      <c r="D205" s="162">
        <f t="shared" si="64"/>
        <v>1757.9000000000005</v>
      </c>
      <c r="E205" s="162">
        <f t="shared" si="64"/>
        <v>1761.8200000000006</v>
      </c>
      <c r="F205" s="162">
        <f t="shared" si="64"/>
        <v>1768.3400000000001</v>
      </c>
      <c r="G205" s="162">
        <f t="shared" si="64"/>
        <v>1771.4799999999996</v>
      </c>
      <c r="H205" s="162">
        <f t="shared" si="64"/>
        <v>1826.7599999999993</v>
      </c>
      <c r="I205" s="162">
        <f t="shared" si="64"/>
        <v>1853.5600000000004</v>
      </c>
      <c r="J205" s="162">
        <f t="shared" si="64"/>
        <v>1895.7000000000007</v>
      </c>
      <c r="K205" s="162">
        <f t="shared" si="64"/>
        <v>1939.8000000000002</v>
      </c>
      <c r="L205" s="162">
        <f t="shared" si="64"/>
        <v>1869</v>
      </c>
      <c r="M205" s="162">
        <f t="shared" si="64"/>
        <v>1848.9799999999996</v>
      </c>
      <c r="N205" s="162">
        <f t="shared" si="64"/>
        <v>1810.4400000000005</v>
      </c>
      <c r="O205" s="162">
        <f t="shared" si="64"/>
        <v>1796.46</v>
      </c>
      <c r="P205" s="162">
        <f t="shared" si="64"/>
        <v>1809.9400000000005</v>
      </c>
      <c r="Q205" s="162">
        <f t="shared" si="64"/>
        <v>1818.1000000000004</v>
      </c>
      <c r="R205" s="162">
        <f t="shared" si="64"/>
        <v>1833.3000000000002</v>
      </c>
      <c r="S205" s="162">
        <f t="shared" si="64"/>
        <v>1849.1599999999999</v>
      </c>
      <c r="T205" s="162"/>
      <c r="U205" s="162"/>
      <c r="V205" s="162"/>
      <c r="W205" s="180"/>
      <c r="X205" s="289"/>
      <c r="Y205" s="162"/>
      <c r="Z205" s="181"/>
      <c r="AA205" s="301"/>
      <c r="AB205" s="186"/>
      <c r="AE205" s="158"/>
      <c r="AF205" s="158"/>
      <c r="AG205" s="154"/>
      <c r="AH205" s="154"/>
    </row>
    <row r="206" spans="1:34">
      <c r="A206" s="279">
        <v>43404</v>
      </c>
      <c r="B206" s="64" t="s">
        <v>77</v>
      </c>
      <c r="C206" s="49">
        <v>5514.22</v>
      </c>
      <c r="D206" s="49">
        <v>5481</v>
      </c>
      <c r="E206" s="49">
        <v>5464.62</v>
      </c>
      <c r="F206" s="49">
        <v>5437.1</v>
      </c>
      <c r="G206" s="49">
        <v>5437.38</v>
      </c>
      <c r="H206" s="49">
        <v>5432.73</v>
      </c>
      <c r="I206" s="49">
        <v>5434.39</v>
      </c>
      <c r="J206" s="49">
        <v>5459.38</v>
      </c>
      <c r="K206" s="49">
        <v>5483.84</v>
      </c>
      <c r="L206" s="49">
        <v>5463.62</v>
      </c>
      <c r="M206" s="49">
        <v>5451.74</v>
      </c>
      <c r="N206" s="49">
        <v>5443.12</v>
      </c>
      <c r="O206" s="49">
        <v>5430.65</v>
      </c>
      <c r="P206" s="49">
        <v>5427.98</v>
      </c>
      <c r="Q206" s="49">
        <v>5432.84</v>
      </c>
      <c r="R206" s="49">
        <v>5449.16</v>
      </c>
      <c r="S206" s="49">
        <v>5460.63</v>
      </c>
      <c r="T206" s="155">
        <f>IF((S207=""),"",MAX(C208:S208))</f>
        <v>2187.6399999999994</v>
      </c>
      <c r="U206" s="64">
        <f>IF(S207="","",MIN(C208:S208))</f>
        <v>2046.92</v>
      </c>
      <c r="V206" s="70">
        <f>IF((S208=""),"",AVERAGE(C208:S208))</f>
        <v>2114.9682352941172</v>
      </c>
      <c r="W206" s="156">
        <f>STDEV(C208:S208)</f>
        <v>42.847579312522797</v>
      </c>
      <c r="X206" s="98">
        <f>IF((S207=""),"",((T206-U206)/(T206+U206))*100)</f>
        <v>3.3231315650268121</v>
      </c>
      <c r="Y206" s="75" t="str">
        <f>IF(S207="","",IF(X206&lt;15,IF(V206&gt;1690,IF(V206&lt;2125,"Pass","Fail"),"Fail"),"Fail"))</f>
        <v>Pass</v>
      </c>
      <c r="Z206" s="157">
        <v>1335</v>
      </c>
      <c r="AA206" s="186" t="s">
        <v>96</v>
      </c>
      <c r="AC206" s="132">
        <v>1600</v>
      </c>
      <c r="AD206" s="132">
        <v>2600</v>
      </c>
      <c r="AE206" s="158">
        <v>1690</v>
      </c>
      <c r="AF206" s="158">
        <v>2125</v>
      </c>
      <c r="AG206" s="154">
        <v>15</v>
      </c>
      <c r="AH206" s="154">
        <v>15</v>
      </c>
    </row>
    <row r="207" spans="1:34" ht="15.75">
      <c r="A207"/>
      <c r="B207" s="64" t="s">
        <v>78</v>
      </c>
      <c r="C207" s="49">
        <v>4490.76</v>
      </c>
      <c r="D207" s="49">
        <v>4451.54</v>
      </c>
      <c r="E207" s="49">
        <v>4426.0200000000004</v>
      </c>
      <c r="F207" s="49">
        <v>4405.88</v>
      </c>
      <c r="G207" s="49">
        <v>4393.4399999999996</v>
      </c>
      <c r="H207" s="49">
        <v>4376.93</v>
      </c>
      <c r="I207" s="49">
        <v>4352.6499999999996</v>
      </c>
      <c r="J207" s="49">
        <v>4365.5600000000004</v>
      </c>
      <c r="K207" s="49">
        <v>4391.2299999999996</v>
      </c>
      <c r="L207" s="49">
        <v>4392.7299999999996</v>
      </c>
      <c r="M207" s="49">
        <v>4376.8500000000004</v>
      </c>
      <c r="N207" s="49">
        <v>4379.7</v>
      </c>
      <c r="O207" s="49">
        <v>4383.8500000000004</v>
      </c>
      <c r="P207" s="49">
        <v>4382.66</v>
      </c>
      <c r="Q207" s="49">
        <v>4381.67</v>
      </c>
      <c r="R207" s="49">
        <v>4378.74</v>
      </c>
      <c r="S207" s="49">
        <v>4396.96</v>
      </c>
      <c r="T207" s="160"/>
      <c r="U207" s="161"/>
      <c r="V207" s="161"/>
      <c r="W207" s="156"/>
      <c r="X207" s="288"/>
      <c r="Y207" s="161"/>
      <c r="Z207" s="157"/>
      <c r="AA207" s="301"/>
      <c r="AB207" s="186"/>
      <c r="AE207" s="158"/>
      <c r="AF207" s="158"/>
      <c r="AG207" s="154"/>
      <c r="AH207" s="154"/>
    </row>
    <row r="208" spans="1:34" ht="60.75" thickBot="1">
      <c r="A208"/>
      <c r="B208" s="171" t="s">
        <v>79</v>
      </c>
      <c r="C208" s="172">
        <f t="shared" ref="C208:S208" si="65">IF(((C206="")*AND(C207="")),"",(C206-C207)*2)</f>
        <v>2046.92</v>
      </c>
      <c r="D208" s="172">
        <f t="shared" si="65"/>
        <v>2058.92</v>
      </c>
      <c r="E208" s="172">
        <f t="shared" si="65"/>
        <v>2077.1999999999989</v>
      </c>
      <c r="F208" s="172">
        <f t="shared" si="65"/>
        <v>2062.4400000000005</v>
      </c>
      <c r="G208" s="172">
        <f t="shared" si="65"/>
        <v>2087.880000000001</v>
      </c>
      <c r="H208" s="172">
        <f t="shared" si="65"/>
        <v>2111.5999999999985</v>
      </c>
      <c r="I208" s="172">
        <f t="shared" si="65"/>
        <v>2163.4800000000014</v>
      </c>
      <c r="J208" s="172">
        <f t="shared" si="65"/>
        <v>2187.6399999999994</v>
      </c>
      <c r="K208" s="172">
        <f t="shared" si="65"/>
        <v>2185.2200000000012</v>
      </c>
      <c r="L208" s="172">
        <f t="shared" si="65"/>
        <v>2141.7800000000007</v>
      </c>
      <c r="M208" s="172">
        <f t="shared" si="65"/>
        <v>2149.7799999999988</v>
      </c>
      <c r="N208" s="172">
        <f t="shared" si="65"/>
        <v>2126.84</v>
      </c>
      <c r="O208" s="172">
        <f t="shared" si="65"/>
        <v>2093.5999999999985</v>
      </c>
      <c r="P208" s="172">
        <f t="shared" si="65"/>
        <v>2090.6399999999994</v>
      </c>
      <c r="Q208" s="172">
        <f t="shared" si="65"/>
        <v>2102.34</v>
      </c>
      <c r="R208" s="172">
        <f t="shared" si="65"/>
        <v>2140.84</v>
      </c>
      <c r="S208" s="173">
        <f t="shared" si="65"/>
        <v>2127.34</v>
      </c>
      <c r="T208" s="174"/>
      <c r="U208" s="172"/>
      <c r="V208" s="172"/>
      <c r="W208" s="130"/>
      <c r="X208" s="290"/>
      <c r="Y208" s="172"/>
      <c r="Z208" s="175"/>
      <c r="AA208" s="301"/>
      <c r="AB208" s="186"/>
      <c r="AE208" s="158"/>
      <c r="AF208" s="158"/>
      <c r="AG208" s="154"/>
      <c r="AH208" s="154"/>
    </row>
    <row r="209" spans="1:34">
      <c r="A209" s="279">
        <v>43409</v>
      </c>
      <c r="B209" s="64" t="s">
        <v>77</v>
      </c>
      <c r="C209" s="49">
        <v>5519.96</v>
      </c>
      <c r="D209" s="49">
        <v>5505.68</v>
      </c>
      <c r="E209" s="49">
        <v>5482.94</v>
      </c>
      <c r="F209" s="49">
        <v>5460.74</v>
      </c>
      <c r="G209" s="49">
        <v>5450.46</v>
      </c>
      <c r="H209" s="49">
        <v>5457.07</v>
      </c>
      <c r="I209" s="49">
        <v>5459.95</v>
      </c>
      <c r="J209" s="49">
        <v>5475.18</v>
      </c>
      <c r="K209" s="49">
        <v>5476</v>
      </c>
      <c r="L209" s="49">
        <v>5482.18</v>
      </c>
      <c r="M209" s="49">
        <v>5470.71</v>
      </c>
      <c r="N209" s="49">
        <v>5461.66</v>
      </c>
      <c r="O209" s="49">
        <v>5458.97</v>
      </c>
      <c r="P209" s="49">
        <v>5459.05</v>
      </c>
      <c r="Q209" s="49">
        <v>5460.91</v>
      </c>
      <c r="R209" s="49">
        <v>5475.29</v>
      </c>
      <c r="S209" s="49">
        <v>5475.77</v>
      </c>
      <c r="T209" s="155">
        <f>IF((S210=""),"",MAX(C211:S211))</f>
        <v>2205.6000000000004</v>
      </c>
      <c r="U209" s="64">
        <f>IF(S210="","",MIN(C211:S211))</f>
        <v>2033.08</v>
      </c>
      <c r="V209" s="70">
        <f>IF((S211=""),"",AVERAGE(C211:S211))</f>
        <v>2122.967058823529</v>
      </c>
      <c r="W209" s="156">
        <f>STDEV(C211:S211)</f>
        <v>43.033942383418697</v>
      </c>
      <c r="X209" s="98">
        <f>IF((S210=""),"",((T209-U209)/(T209+U209))*100)</f>
        <v>4.0701350420414002</v>
      </c>
      <c r="Y209" s="75" t="str">
        <f>IF(S210="","",IF(X209&lt;15,IF(V209&gt;1690,IF(V209&lt;2125,"Pass","Fail"),"Fail"),"Fail"))</f>
        <v>Pass</v>
      </c>
      <c r="Z209" s="157">
        <v>1335</v>
      </c>
      <c r="AA209" s="301"/>
      <c r="AC209" s="132">
        <v>1600</v>
      </c>
      <c r="AD209" s="132">
        <v>2600</v>
      </c>
      <c r="AE209" s="158">
        <v>1690</v>
      </c>
      <c r="AF209" s="158">
        <v>2125</v>
      </c>
      <c r="AG209" s="154">
        <v>15</v>
      </c>
      <c r="AH209" s="154">
        <v>15</v>
      </c>
    </row>
    <row r="210" spans="1:34" ht="15.75">
      <c r="A210"/>
      <c r="B210" s="64" t="s">
        <v>78</v>
      </c>
      <c r="C210" s="49">
        <v>4503.42</v>
      </c>
      <c r="D210" s="49">
        <v>4463.3999999999996</v>
      </c>
      <c r="E210" s="49">
        <v>4438.72</v>
      </c>
      <c r="F210" s="49">
        <v>4430.68</v>
      </c>
      <c r="G210" s="49">
        <v>4404.8900000000003</v>
      </c>
      <c r="H210" s="49">
        <v>4390.92</v>
      </c>
      <c r="I210" s="49">
        <v>4376.1099999999997</v>
      </c>
      <c r="J210" s="49">
        <v>4372.38</v>
      </c>
      <c r="K210" s="49">
        <v>4394.79</v>
      </c>
      <c r="L210" s="49">
        <v>4405.62</v>
      </c>
      <c r="M210" s="49">
        <v>4393.91</v>
      </c>
      <c r="N210" s="49">
        <v>4401.63</v>
      </c>
      <c r="O210" s="49">
        <v>4408.43</v>
      </c>
      <c r="P210" s="49">
        <v>4401.97</v>
      </c>
      <c r="Q210" s="49">
        <v>4393.42</v>
      </c>
      <c r="R210" s="49">
        <v>4402.55</v>
      </c>
      <c r="S210" s="49">
        <v>4404.46</v>
      </c>
      <c r="T210" s="160"/>
      <c r="U210" s="161"/>
      <c r="V210" s="161"/>
      <c r="W210" s="156"/>
      <c r="X210" s="288"/>
      <c r="Y210" s="161"/>
      <c r="Z210" s="157"/>
      <c r="AA210" s="301"/>
      <c r="AB210" s="186"/>
      <c r="AE210" s="158"/>
      <c r="AF210" s="158"/>
      <c r="AG210" s="154"/>
      <c r="AH210" s="154"/>
    </row>
    <row r="211" spans="1:34" ht="60.75" thickBot="1">
      <c r="A211"/>
      <c r="B211" s="171" t="s">
        <v>79</v>
      </c>
      <c r="C211" s="172">
        <f t="shared" ref="C211:S211" si="66">IF(((C209="")*AND(C210="")),"",(C209-C210)*2)</f>
        <v>2033.08</v>
      </c>
      <c r="D211" s="172">
        <f t="shared" si="66"/>
        <v>2084.5600000000013</v>
      </c>
      <c r="E211" s="172">
        <f t="shared" si="66"/>
        <v>2088.4399999999987</v>
      </c>
      <c r="F211" s="172">
        <f t="shared" si="66"/>
        <v>2060.119999999999</v>
      </c>
      <c r="G211" s="172">
        <f t="shared" si="66"/>
        <v>2091.1399999999994</v>
      </c>
      <c r="H211" s="172">
        <f t="shared" si="66"/>
        <v>2132.2999999999993</v>
      </c>
      <c r="I211" s="172">
        <f t="shared" si="66"/>
        <v>2167.6800000000003</v>
      </c>
      <c r="J211" s="172">
        <f t="shared" si="66"/>
        <v>2205.6000000000004</v>
      </c>
      <c r="K211" s="172">
        <f t="shared" si="66"/>
        <v>2162.42</v>
      </c>
      <c r="L211" s="172">
        <f t="shared" si="66"/>
        <v>2153.1200000000008</v>
      </c>
      <c r="M211" s="172">
        <f t="shared" si="66"/>
        <v>2153.6000000000004</v>
      </c>
      <c r="N211" s="172">
        <f t="shared" si="66"/>
        <v>2120.0599999999995</v>
      </c>
      <c r="O211" s="172">
        <f t="shared" si="66"/>
        <v>2101.08</v>
      </c>
      <c r="P211" s="172">
        <f t="shared" si="66"/>
        <v>2114.16</v>
      </c>
      <c r="Q211" s="172">
        <f t="shared" si="66"/>
        <v>2134.9799999999996</v>
      </c>
      <c r="R211" s="172">
        <f t="shared" si="66"/>
        <v>2145.4799999999996</v>
      </c>
      <c r="S211" s="173">
        <f t="shared" si="66"/>
        <v>2142.6200000000008</v>
      </c>
      <c r="T211" s="174"/>
      <c r="U211" s="172"/>
      <c r="V211" s="172"/>
      <c r="W211" s="130"/>
      <c r="X211" s="290"/>
      <c r="Y211" s="172"/>
      <c r="Z211" s="175"/>
      <c r="AA211" s="301"/>
      <c r="AB211" s="186"/>
      <c r="AE211" s="158"/>
      <c r="AF211" s="158"/>
      <c r="AG211" s="154"/>
      <c r="AH211" s="154"/>
    </row>
    <row r="212" spans="1:34">
      <c r="A212" s="279">
        <v>43413</v>
      </c>
      <c r="B212" s="64" t="s">
        <v>77</v>
      </c>
      <c r="C212" s="49">
        <v>3784.36</v>
      </c>
      <c r="D212" s="49">
        <v>3767.09</v>
      </c>
      <c r="E212" s="49">
        <v>3763.27</v>
      </c>
      <c r="F212" s="49">
        <v>3756.08</v>
      </c>
      <c r="G212" s="49">
        <v>3751.17</v>
      </c>
      <c r="H212" s="49">
        <v>3750.93</v>
      </c>
      <c r="I212" s="49">
        <v>3757.9</v>
      </c>
      <c r="J212" s="49">
        <v>3764.63</v>
      </c>
      <c r="K212" s="49">
        <v>3775.6</v>
      </c>
      <c r="L212" s="49">
        <v>3768.77</v>
      </c>
      <c r="M212" s="49">
        <v>3761.62</v>
      </c>
      <c r="N212" s="49">
        <v>3755.95</v>
      </c>
      <c r="O212" s="49">
        <v>3755.32</v>
      </c>
      <c r="P212" s="49">
        <v>3755.07</v>
      </c>
      <c r="Q212" s="49">
        <v>3759.73</v>
      </c>
      <c r="R212" s="49">
        <v>3767</v>
      </c>
      <c r="S212" s="49">
        <v>3774.98</v>
      </c>
      <c r="T212" s="155">
        <f>IF((S213=""),"",MAX(C214:S214))</f>
        <v>2182.66</v>
      </c>
      <c r="U212" s="64">
        <f>IF(S213="","",MIN(C214:S214))</f>
        <v>2031.3200000000006</v>
      </c>
      <c r="V212" s="70">
        <f>IF((S214=""),"",AVERAGE(C214:S214))</f>
        <v>2100.38</v>
      </c>
      <c r="W212" s="156">
        <f>STDEV(C214:S214)</f>
        <v>41.01981777140454</v>
      </c>
      <c r="X212" s="98">
        <f>IF((S213=""),"",((T212-U212)/(T212+U212))*100)</f>
        <v>3.5913791712347765</v>
      </c>
      <c r="Y212" s="75" t="str">
        <f>IF(S213="","",IF(X212&lt;15,IF(V212&gt;1690,IF(V212&lt;2125,"Pass","Fail"),"Fail"),"Fail"))</f>
        <v>Pass</v>
      </c>
      <c r="Z212" s="157">
        <v>1428</v>
      </c>
      <c r="AA212" s="301"/>
      <c r="AC212" s="132">
        <v>1600</v>
      </c>
      <c r="AD212" s="132">
        <v>2600</v>
      </c>
      <c r="AE212" s="158">
        <v>1690</v>
      </c>
      <c r="AF212" s="158">
        <v>2125</v>
      </c>
      <c r="AG212" s="154">
        <v>15</v>
      </c>
      <c r="AH212" s="154">
        <v>15</v>
      </c>
    </row>
    <row r="213" spans="1:34" ht="15.75">
      <c r="A213"/>
      <c r="B213" s="64" t="s">
        <v>78</v>
      </c>
      <c r="C213" s="49">
        <v>2768.7</v>
      </c>
      <c r="D213" s="49">
        <v>2746.63</v>
      </c>
      <c r="E213" s="49">
        <v>2735.14</v>
      </c>
      <c r="F213" s="49">
        <v>2724.09</v>
      </c>
      <c r="G213" s="49">
        <v>2713.98</v>
      </c>
      <c r="H213" s="49">
        <v>2699.11</v>
      </c>
      <c r="I213" s="49">
        <v>2688.31</v>
      </c>
      <c r="J213" s="49">
        <v>2679.7</v>
      </c>
      <c r="K213" s="49">
        <v>2684.27</v>
      </c>
      <c r="L213" s="49">
        <v>2709.62</v>
      </c>
      <c r="M213" s="49">
        <v>2702.89</v>
      </c>
      <c r="N213" s="49">
        <v>2706.78</v>
      </c>
      <c r="O213" s="49">
        <v>2711.8</v>
      </c>
      <c r="P213" s="49">
        <v>2711.36</v>
      </c>
      <c r="Q213" s="49">
        <v>2708.61</v>
      </c>
      <c r="R213" s="49">
        <v>2706.01</v>
      </c>
      <c r="S213" s="49">
        <v>2719.24</v>
      </c>
      <c r="T213" s="160"/>
      <c r="U213" s="161"/>
      <c r="V213" s="161"/>
      <c r="W213" s="156"/>
      <c r="X213" s="288"/>
      <c r="Y213" s="161"/>
      <c r="Z213" s="157"/>
      <c r="AA213" s="301"/>
      <c r="AB213" s="186"/>
      <c r="AE213" s="158"/>
      <c r="AF213" s="158"/>
      <c r="AG213" s="154"/>
      <c r="AH213" s="154"/>
    </row>
    <row r="214" spans="1:34" ht="60.75" thickBot="1">
      <c r="A214"/>
      <c r="B214" s="171" t="s">
        <v>79</v>
      </c>
      <c r="C214" s="172">
        <f t="shared" ref="C214:S214" si="67">IF(((C212="")*AND(C213="")),"",(C212-C213)*2)</f>
        <v>2031.3200000000006</v>
      </c>
      <c r="D214" s="172">
        <f t="shared" si="67"/>
        <v>2040.92</v>
      </c>
      <c r="E214" s="172">
        <f t="shared" si="67"/>
        <v>2056.2600000000002</v>
      </c>
      <c r="F214" s="172">
        <f t="shared" si="67"/>
        <v>2063.9799999999996</v>
      </c>
      <c r="G214" s="172">
        <f t="shared" si="67"/>
        <v>2074.38</v>
      </c>
      <c r="H214" s="172">
        <f t="shared" si="67"/>
        <v>2103.6399999999994</v>
      </c>
      <c r="I214" s="172">
        <f t="shared" si="67"/>
        <v>2139.1800000000003</v>
      </c>
      <c r="J214" s="172">
        <f t="shared" si="67"/>
        <v>2169.8600000000006</v>
      </c>
      <c r="K214" s="172">
        <f t="shared" si="67"/>
        <v>2182.66</v>
      </c>
      <c r="L214" s="172">
        <f t="shared" si="67"/>
        <v>2118.3000000000002</v>
      </c>
      <c r="M214" s="172">
        <f t="shared" si="67"/>
        <v>2117.46</v>
      </c>
      <c r="N214" s="172">
        <f t="shared" si="67"/>
        <v>2098.3399999999992</v>
      </c>
      <c r="O214" s="172">
        <f t="shared" si="67"/>
        <v>2087.04</v>
      </c>
      <c r="P214" s="172">
        <f t="shared" si="67"/>
        <v>2087.42</v>
      </c>
      <c r="Q214" s="172">
        <f t="shared" si="67"/>
        <v>2102.2399999999998</v>
      </c>
      <c r="R214" s="172">
        <f t="shared" si="67"/>
        <v>2121.9799999999996</v>
      </c>
      <c r="S214" s="173">
        <f t="shared" si="67"/>
        <v>2111.4800000000005</v>
      </c>
      <c r="T214" s="174"/>
      <c r="U214" s="172"/>
      <c r="V214" s="172"/>
      <c r="W214" s="130"/>
      <c r="X214" s="290"/>
      <c r="Y214" s="172"/>
      <c r="Z214" s="175"/>
      <c r="AA214" s="301"/>
      <c r="AB214" s="186"/>
      <c r="AE214" s="158"/>
      <c r="AF214" s="158"/>
      <c r="AG214" s="154"/>
      <c r="AH214" s="154"/>
    </row>
    <row r="215" spans="1:34">
      <c r="A215" s="279">
        <v>43420</v>
      </c>
      <c r="B215" s="64" t="s">
        <v>77</v>
      </c>
      <c r="C215" s="49">
        <v>4502.29</v>
      </c>
      <c r="D215" s="49">
        <v>4457.3599999999997</v>
      </c>
      <c r="E215" s="49">
        <v>4446.6400000000003</v>
      </c>
      <c r="F215" s="49">
        <v>4424.87</v>
      </c>
      <c r="G215" s="49">
        <v>4407.2700000000004</v>
      </c>
      <c r="H215" s="49">
        <v>4385.01</v>
      </c>
      <c r="I215" s="49">
        <v>4374.1499999999996</v>
      </c>
      <c r="J215" s="49">
        <v>4373.71</v>
      </c>
      <c r="K215" s="49">
        <v>4389.79</v>
      </c>
      <c r="L215" s="49">
        <v>4403.37</v>
      </c>
      <c r="M215" s="49">
        <v>4388.3599999999997</v>
      </c>
      <c r="N215" s="49">
        <v>4389.08</v>
      </c>
      <c r="O215" s="49">
        <v>4397.2700000000004</v>
      </c>
      <c r="P215" s="49">
        <v>4398.45</v>
      </c>
      <c r="Q215" s="49">
        <v>4389.16</v>
      </c>
      <c r="R215" s="49">
        <v>4395</v>
      </c>
      <c r="S215" s="49">
        <v>4402.4799999999996</v>
      </c>
      <c r="T215" s="155">
        <f>IF((S216=""),"",MAX(C217:S217))</f>
        <v>1875.4399999999996</v>
      </c>
      <c r="U215" s="64">
        <f>IF(S216="","",MIN(C217:S217))</f>
        <v>1726.9399999999996</v>
      </c>
      <c r="V215" s="70">
        <f>IF((S217=""),"",AVERAGE(C217:S217))</f>
        <v>1778.778823529412</v>
      </c>
      <c r="W215" s="156">
        <f>STDEV(C217:S217)</f>
        <v>44.504668558794158</v>
      </c>
      <c r="X215" s="98">
        <f>IF((S216=""),"",((T215-U215)/(T215+U215))*100)</f>
        <v>4.122274718380627</v>
      </c>
      <c r="Y215" s="75" t="str">
        <f>IF(S216="","",IF(X215&lt;15,IF(V215&gt;1690,IF(V215&lt;2125,"Pass","Fail"),"Fail"),"Fail"))</f>
        <v>Pass</v>
      </c>
      <c r="Z215" s="157">
        <v>1428</v>
      </c>
      <c r="AA215" s="301"/>
      <c r="AC215" s="132">
        <v>1600</v>
      </c>
      <c r="AD215" s="132">
        <v>2600</v>
      </c>
      <c r="AE215" s="158">
        <v>1690</v>
      </c>
      <c r="AF215" s="158">
        <v>2125</v>
      </c>
      <c r="AG215" s="154">
        <v>15</v>
      </c>
      <c r="AH215" s="154">
        <v>15</v>
      </c>
    </row>
    <row r="216" spans="1:34" ht="15.75">
      <c r="A216"/>
      <c r="B216" s="64" t="s">
        <v>78</v>
      </c>
      <c r="C216" s="49">
        <v>3621.81</v>
      </c>
      <c r="D216" s="49">
        <v>3593.87</v>
      </c>
      <c r="E216" s="49">
        <v>3573.59</v>
      </c>
      <c r="F216" s="49">
        <v>3561.4</v>
      </c>
      <c r="G216" s="49">
        <v>3543.59</v>
      </c>
      <c r="H216" s="49">
        <v>3499.51</v>
      </c>
      <c r="I216" s="49">
        <v>3461.5</v>
      </c>
      <c r="J216" s="49">
        <v>3445.26</v>
      </c>
      <c r="K216" s="49">
        <v>3452.07</v>
      </c>
      <c r="L216" s="49">
        <v>3499.21</v>
      </c>
      <c r="M216" s="49">
        <v>3490.26</v>
      </c>
      <c r="N216" s="49">
        <v>3505.16</v>
      </c>
      <c r="O216" s="49">
        <v>3523.2</v>
      </c>
      <c r="P216" s="49">
        <v>3527.55</v>
      </c>
      <c r="Q216" s="49">
        <v>3506.79</v>
      </c>
      <c r="R216" s="49">
        <v>3499.93</v>
      </c>
      <c r="S216" s="49">
        <v>3499.94</v>
      </c>
      <c r="T216" s="160"/>
      <c r="U216" s="161"/>
      <c r="V216" s="161"/>
      <c r="W216" s="156"/>
      <c r="X216" s="288"/>
      <c r="Y216" s="161"/>
      <c r="Z216" s="157"/>
      <c r="AA216" s="301"/>
      <c r="AB216" s="186"/>
      <c r="AE216" s="158"/>
      <c r="AF216" s="158"/>
      <c r="AG216" s="154"/>
      <c r="AH216" s="154"/>
    </row>
    <row r="217" spans="1:34" ht="60">
      <c r="A217"/>
      <c r="B217" s="171" t="s">
        <v>79</v>
      </c>
      <c r="C217" s="172">
        <f t="shared" ref="C217:S217" si="68">IF(((C215="")*AND(C216="")),"",(C215-C216)*2)</f>
        <v>1760.96</v>
      </c>
      <c r="D217" s="172">
        <f t="shared" si="68"/>
        <v>1726.9799999999996</v>
      </c>
      <c r="E217" s="172">
        <f t="shared" si="68"/>
        <v>1746.1000000000004</v>
      </c>
      <c r="F217" s="172">
        <f t="shared" si="68"/>
        <v>1726.9399999999996</v>
      </c>
      <c r="G217" s="172">
        <f t="shared" si="68"/>
        <v>1727.3600000000006</v>
      </c>
      <c r="H217" s="172">
        <f t="shared" si="68"/>
        <v>1771</v>
      </c>
      <c r="I217" s="172">
        <f t="shared" si="68"/>
        <v>1825.2999999999993</v>
      </c>
      <c r="J217" s="172">
        <f t="shared" si="68"/>
        <v>1856.8999999999996</v>
      </c>
      <c r="K217" s="172">
        <f t="shared" si="68"/>
        <v>1875.4399999999996</v>
      </c>
      <c r="L217" s="172">
        <f t="shared" si="68"/>
        <v>1808.3199999999997</v>
      </c>
      <c r="M217" s="172">
        <f t="shared" si="68"/>
        <v>1796.1999999999989</v>
      </c>
      <c r="N217" s="172">
        <f t="shared" si="68"/>
        <v>1767.8400000000001</v>
      </c>
      <c r="O217" s="172">
        <f t="shared" si="68"/>
        <v>1748.1400000000012</v>
      </c>
      <c r="P217" s="172">
        <f t="shared" si="68"/>
        <v>1741.7999999999993</v>
      </c>
      <c r="Q217" s="172">
        <f t="shared" si="68"/>
        <v>1764.7399999999998</v>
      </c>
      <c r="R217" s="172">
        <f t="shared" si="68"/>
        <v>1790.1400000000003</v>
      </c>
      <c r="S217" s="173">
        <f t="shared" si="68"/>
        <v>1805.079999999999</v>
      </c>
      <c r="T217" s="174"/>
      <c r="U217" s="172"/>
      <c r="V217" s="172"/>
      <c r="W217" s="130"/>
      <c r="X217" s="290"/>
      <c r="Y217" s="172"/>
      <c r="Z217" s="175"/>
      <c r="AA217" s="301"/>
      <c r="AB217" s="186"/>
      <c r="AE217" s="158"/>
      <c r="AF217" s="158"/>
      <c r="AG217" s="154"/>
      <c r="AH217" s="154"/>
    </row>
    <row r="218" spans="1:34">
      <c r="A218" s="279">
        <v>43424</v>
      </c>
      <c r="B218" s="64" t="s">
        <v>77</v>
      </c>
      <c r="C218" s="49">
        <v>2793.29</v>
      </c>
      <c r="D218" s="49">
        <v>2784.55</v>
      </c>
      <c r="E218" s="49">
        <v>2784.68</v>
      </c>
      <c r="F218" s="49">
        <v>2788.24</v>
      </c>
      <c r="G218" s="49">
        <v>2789.39</v>
      </c>
      <c r="H218" s="49">
        <v>2787.72</v>
      </c>
      <c r="I218" s="49">
        <v>2784.93</v>
      </c>
      <c r="J218" s="49">
        <v>2790.27</v>
      </c>
      <c r="K218" s="49">
        <v>2802.41</v>
      </c>
      <c r="L218" s="49">
        <v>2790.13</v>
      </c>
      <c r="M218" s="49">
        <v>2784.82</v>
      </c>
      <c r="N218" s="49">
        <v>2783.27</v>
      </c>
      <c r="O218" s="49">
        <v>2786.89</v>
      </c>
      <c r="P218" s="49">
        <v>2784.12</v>
      </c>
      <c r="Q218" s="49">
        <v>2780.76</v>
      </c>
      <c r="R218" s="49">
        <v>2783.46</v>
      </c>
      <c r="S218" s="49">
        <v>2794.27</v>
      </c>
      <c r="T218" s="64">
        <f>IF((S219=""),"",MAX(C220:S220))</f>
        <v>1890.54</v>
      </c>
      <c r="U218" s="64">
        <f>IF(S219="","",MIN(C220:S220))</f>
        <v>1674.58</v>
      </c>
      <c r="V218" s="64">
        <f>IF((S220=""),"",AVERAGE(C220:S220))</f>
        <v>1793.6705882352942</v>
      </c>
      <c r="W218" s="176">
        <f>STDEV(C220:S220)</f>
        <v>54.257793503614465</v>
      </c>
      <c r="X218" s="98">
        <f>IF((S219=""),"",((T218-U218)/(T218+U218))*100)</f>
        <v>6.057580109505432</v>
      </c>
      <c r="Y218" s="75" t="str">
        <f>IF(S219="","",IF(X218&lt;15,IF(V218&gt;1690,IF(V218&lt;2125,"Pass","Fail"),"Fail"),"Fail"))</f>
        <v>Pass</v>
      </c>
      <c r="Z218" s="157">
        <v>1335</v>
      </c>
      <c r="AA218" s="186" t="s">
        <v>97</v>
      </c>
      <c r="AC218" s="132">
        <v>1600</v>
      </c>
      <c r="AD218" s="132">
        <v>2600</v>
      </c>
      <c r="AE218" s="158">
        <v>1690</v>
      </c>
      <c r="AF218" s="158">
        <v>2125</v>
      </c>
      <c r="AG218" s="154">
        <v>15</v>
      </c>
      <c r="AH218" s="154">
        <v>15</v>
      </c>
    </row>
    <row r="219" spans="1:34" ht="15.75">
      <c r="A219"/>
      <c r="B219" s="64" t="s">
        <v>78</v>
      </c>
      <c r="C219" s="161">
        <v>1956</v>
      </c>
      <c r="D219" s="161">
        <v>1920</v>
      </c>
      <c r="E219" s="161">
        <v>1913</v>
      </c>
      <c r="F219" s="161">
        <v>1914</v>
      </c>
      <c r="G219" s="161">
        <v>1903</v>
      </c>
      <c r="H219" s="161">
        <v>1879</v>
      </c>
      <c r="I219" s="161">
        <v>1856</v>
      </c>
      <c r="J219" s="161">
        <v>1845</v>
      </c>
      <c r="K219" s="161">
        <v>1865</v>
      </c>
      <c r="L219" s="161">
        <v>1910</v>
      </c>
      <c r="M219" s="161">
        <v>1874</v>
      </c>
      <c r="N219" s="161">
        <v>1879</v>
      </c>
      <c r="O219" s="161">
        <v>1893</v>
      </c>
      <c r="P219" s="161">
        <v>1893</v>
      </c>
      <c r="Q219" s="161">
        <v>1878</v>
      </c>
      <c r="R219" s="161">
        <v>1874</v>
      </c>
      <c r="S219" s="161">
        <v>1895</v>
      </c>
      <c r="T219" s="161"/>
      <c r="U219" s="161"/>
      <c r="V219" s="161"/>
      <c r="W219" s="176"/>
      <c r="X219" s="288"/>
      <c r="Y219" s="161"/>
      <c r="Z219" s="157"/>
      <c r="AA219" s="301"/>
      <c r="AB219" s="186"/>
      <c r="AE219" s="158"/>
      <c r="AF219" s="158"/>
      <c r="AG219" s="154"/>
      <c r="AH219" s="154"/>
    </row>
    <row r="220" spans="1:34" ht="60">
      <c r="A220"/>
      <c r="B220" s="64" t="s">
        <v>79</v>
      </c>
      <c r="C220" s="161">
        <f t="shared" ref="C220:S220" si="69">IF(((C218="")*AND(C219="")),"",(C218-C219)*2)</f>
        <v>1674.58</v>
      </c>
      <c r="D220" s="161">
        <f t="shared" si="69"/>
        <v>1729.1000000000004</v>
      </c>
      <c r="E220" s="161">
        <f t="shared" si="69"/>
        <v>1743.3599999999997</v>
      </c>
      <c r="F220" s="161">
        <f t="shared" si="69"/>
        <v>1748.4799999999996</v>
      </c>
      <c r="G220" s="161">
        <f t="shared" si="69"/>
        <v>1772.7799999999997</v>
      </c>
      <c r="H220" s="161">
        <f t="shared" si="69"/>
        <v>1817.4399999999996</v>
      </c>
      <c r="I220" s="161">
        <f t="shared" si="69"/>
        <v>1857.8599999999997</v>
      </c>
      <c r="J220" s="161">
        <f t="shared" si="69"/>
        <v>1890.54</v>
      </c>
      <c r="K220" s="161">
        <f t="shared" si="69"/>
        <v>1874.8199999999997</v>
      </c>
      <c r="L220" s="161">
        <f t="shared" si="69"/>
        <v>1760.2600000000002</v>
      </c>
      <c r="M220" s="161">
        <f t="shared" si="69"/>
        <v>1821.6400000000003</v>
      </c>
      <c r="N220" s="161">
        <f t="shared" si="69"/>
        <v>1808.54</v>
      </c>
      <c r="O220" s="161">
        <f t="shared" si="69"/>
        <v>1787.7799999999997</v>
      </c>
      <c r="P220" s="161">
        <f t="shared" si="69"/>
        <v>1782.2399999999998</v>
      </c>
      <c r="Q220" s="161">
        <f t="shared" si="69"/>
        <v>1805.5200000000004</v>
      </c>
      <c r="R220" s="161">
        <f t="shared" si="69"/>
        <v>1818.92</v>
      </c>
      <c r="S220" s="161">
        <f t="shared" si="69"/>
        <v>1798.54</v>
      </c>
      <c r="T220" s="161"/>
      <c r="U220" s="161"/>
      <c r="V220" s="161"/>
      <c r="W220" s="183"/>
      <c r="X220" s="288"/>
      <c r="Y220" s="161"/>
      <c r="Z220" s="157"/>
      <c r="AA220" s="301"/>
      <c r="AB220" s="186"/>
      <c r="AE220" s="158"/>
      <c r="AF220" s="158"/>
      <c r="AG220" s="154"/>
      <c r="AH220" s="154"/>
    </row>
    <row r="221" spans="1:34">
      <c r="A221" s="279">
        <v>43430</v>
      </c>
      <c r="B221" s="64" t="s">
        <v>77</v>
      </c>
      <c r="C221" s="49">
        <v>5453.18</v>
      </c>
      <c r="D221" s="49">
        <v>5405.18</v>
      </c>
      <c r="E221" s="49">
        <v>5360.14</v>
      </c>
      <c r="F221" s="49">
        <v>5342.6</v>
      </c>
      <c r="G221" s="49">
        <v>5333.08</v>
      </c>
      <c r="H221" s="49">
        <v>5332.02</v>
      </c>
      <c r="I221" s="49">
        <v>5349.69</v>
      </c>
      <c r="J221" s="49">
        <v>5366.12</v>
      </c>
      <c r="K221" s="49">
        <v>5399.17</v>
      </c>
      <c r="L221" s="49">
        <v>5367.58</v>
      </c>
      <c r="M221" s="49">
        <v>5363.36</v>
      </c>
      <c r="N221" s="49">
        <v>5345.9</v>
      </c>
      <c r="O221" s="49">
        <v>5342.68</v>
      </c>
      <c r="P221" s="49">
        <v>5333.15</v>
      </c>
      <c r="Q221" s="49">
        <v>5345.15</v>
      </c>
      <c r="R221" s="49">
        <v>5370.78</v>
      </c>
      <c r="S221" s="49">
        <v>5388.9</v>
      </c>
      <c r="T221" s="64">
        <f>IF((S222=""),"",MAX(C223:S223))</f>
        <v>2197.2399999999998</v>
      </c>
      <c r="U221" s="64">
        <f>IF(S222="","",MIN(C223:S223))</f>
        <v>2041.1599999999999</v>
      </c>
      <c r="V221" s="64">
        <f>IF((S223=""),"",AVERAGE(C223:S223))</f>
        <v>2118.6552941176478</v>
      </c>
      <c r="W221" s="176">
        <f>STDEV(C223:S223)</f>
        <v>45.858000681093316</v>
      </c>
      <c r="X221" s="98">
        <f>IF((S222=""),"",((T221-U221)/(T221+U221))*100)</f>
        <v>3.6825217063042639</v>
      </c>
      <c r="Y221" s="75" t="str">
        <f>IF(S222="","",IF(X221&lt;15,IF(V221&gt;1690,IF(V221&lt;2125,"Pass","Fail"),"Fail"),"Fail"))</f>
        <v>Pass</v>
      </c>
      <c r="Z221" s="157">
        <v>74</v>
      </c>
      <c r="AA221" s="301"/>
      <c r="AC221" s="132">
        <v>1600</v>
      </c>
      <c r="AD221" s="132">
        <v>2600</v>
      </c>
      <c r="AE221" s="158">
        <v>1690</v>
      </c>
      <c r="AF221" s="158">
        <v>2125</v>
      </c>
      <c r="AG221" s="154">
        <v>15</v>
      </c>
      <c r="AH221" s="154">
        <v>15</v>
      </c>
    </row>
    <row r="222" spans="1:34" ht="15.75">
      <c r="A222"/>
      <c r="B222" s="64" t="s">
        <v>78</v>
      </c>
      <c r="C222" s="49">
        <v>4432.6000000000004</v>
      </c>
      <c r="D222" s="49">
        <v>4374.6899999999996</v>
      </c>
      <c r="E222" s="49">
        <v>4333.5</v>
      </c>
      <c r="F222" s="49">
        <v>4303.3599999999997</v>
      </c>
      <c r="G222" s="49">
        <v>4286.6899999999996</v>
      </c>
      <c r="H222" s="49">
        <v>4266.33</v>
      </c>
      <c r="I222" s="49">
        <v>4265.4399999999996</v>
      </c>
      <c r="J222" s="49">
        <v>4268.08</v>
      </c>
      <c r="K222" s="49">
        <v>4300.55</v>
      </c>
      <c r="L222" s="49">
        <v>4307.4799999999996</v>
      </c>
      <c r="M222" s="49">
        <v>4299.1499999999996</v>
      </c>
      <c r="N222" s="49">
        <v>4290.33</v>
      </c>
      <c r="O222" s="49">
        <v>4285.66</v>
      </c>
      <c r="P222" s="49">
        <v>4281.4799999999996</v>
      </c>
      <c r="Q222" s="49">
        <v>4289.03</v>
      </c>
      <c r="R222" s="49">
        <v>4293.76</v>
      </c>
      <c r="S222" s="49">
        <v>4311.9799999999996</v>
      </c>
      <c r="T222" s="161"/>
      <c r="U222" s="161"/>
      <c r="V222" s="161"/>
      <c r="W222" s="176"/>
      <c r="X222" s="288"/>
      <c r="Y222" s="161"/>
      <c r="Z222" s="157"/>
      <c r="AA222" s="301"/>
      <c r="AB222" s="186"/>
      <c r="AE222" s="158"/>
      <c r="AF222" s="158"/>
      <c r="AG222" s="154"/>
      <c r="AH222" s="154"/>
    </row>
    <row r="223" spans="1:34" ht="60.75" thickBot="1">
      <c r="A223"/>
      <c r="B223" s="64" t="s">
        <v>79</v>
      </c>
      <c r="C223" s="161">
        <f t="shared" ref="C223:S223" si="70">IF(((C221="")*AND(C222="")),"",(C221-C222)*2)</f>
        <v>2041.1599999999999</v>
      </c>
      <c r="D223" s="161">
        <f t="shared" si="70"/>
        <v>2060.9800000000014</v>
      </c>
      <c r="E223" s="161">
        <f t="shared" si="70"/>
        <v>2053.2800000000007</v>
      </c>
      <c r="F223" s="161">
        <f t="shared" si="70"/>
        <v>2078.4800000000014</v>
      </c>
      <c r="G223" s="161">
        <f t="shared" si="70"/>
        <v>2092.7800000000007</v>
      </c>
      <c r="H223" s="161">
        <f t="shared" si="70"/>
        <v>2131.380000000001</v>
      </c>
      <c r="I223" s="161">
        <f t="shared" si="70"/>
        <v>2168.5</v>
      </c>
      <c r="J223" s="161">
        <f t="shared" si="70"/>
        <v>2196.08</v>
      </c>
      <c r="K223" s="161">
        <f t="shared" si="70"/>
        <v>2197.2399999999998</v>
      </c>
      <c r="L223" s="161">
        <f t="shared" si="70"/>
        <v>2120.2000000000007</v>
      </c>
      <c r="M223" s="161">
        <f t="shared" si="70"/>
        <v>2128.42</v>
      </c>
      <c r="N223" s="161">
        <f t="shared" si="70"/>
        <v>2111.1399999999994</v>
      </c>
      <c r="O223" s="161">
        <f t="shared" si="70"/>
        <v>2114.0400000000009</v>
      </c>
      <c r="P223" s="161">
        <f t="shared" si="70"/>
        <v>2103.34</v>
      </c>
      <c r="Q223" s="161">
        <f t="shared" si="70"/>
        <v>2112.2399999999998</v>
      </c>
      <c r="R223" s="161">
        <f t="shared" si="70"/>
        <v>2154.0399999999991</v>
      </c>
      <c r="S223" s="161">
        <f t="shared" si="70"/>
        <v>2153.84</v>
      </c>
      <c r="T223" s="161"/>
      <c r="U223" s="161"/>
      <c r="V223" s="161"/>
      <c r="W223" s="183"/>
      <c r="X223" s="288"/>
      <c r="Y223" s="161"/>
      <c r="Z223" s="157"/>
      <c r="AA223" s="301"/>
      <c r="AB223" s="186"/>
      <c r="AE223" s="158"/>
      <c r="AF223" s="158"/>
      <c r="AG223" s="154"/>
      <c r="AH223" s="154"/>
    </row>
    <row r="224" spans="1:34">
      <c r="A224" s="278">
        <v>43438</v>
      </c>
      <c r="B224" s="64" t="s">
        <v>77</v>
      </c>
      <c r="C224" s="169">
        <v>5269</v>
      </c>
      <c r="D224" s="170">
        <v>5245</v>
      </c>
      <c r="E224" s="170">
        <v>5230</v>
      </c>
      <c r="F224" s="170">
        <v>5219</v>
      </c>
      <c r="G224" s="170">
        <v>5214</v>
      </c>
      <c r="H224" s="170">
        <v>5226</v>
      </c>
      <c r="I224" s="170">
        <v>5231</v>
      </c>
      <c r="J224" s="170">
        <v>5245</v>
      </c>
      <c r="K224" s="170">
        <v>5287</v>
      </c>
      <c r="L224" s="170">
        <v>5262</v>
      </c>
      <c r="M224" s="170">
        <v>5243</v>
      </c>
      <c r="N224" s="170">
        <v>5225</v>
      </c>
      <c r="O224" s="170">
        <v>5216</v>
      </c>
      <c r="P224" s="170">
        <v>5220</v>
      </c>
      <c r="Q224" s="170">
        <v>5226</v>
      </c>
      <c r="R224" s="170">
        <v>5232</v>
      </c>
      <c r="S224" s="182">
        <v>5253</v>
      </c>
      <c r="T224" s="155">
        <f>IF((S225=""),"",MAX(C226:S226))</f>
        <v>2184</v>
      </c>
      <c r="U224" s="64">
        <f>IF(S225="","",MIN(C226:S226))</f>
        <v>2026</v>
      </c>
      <c r="V224" s="70">
        <f>IF((S226=""),"",AVERAGE(C226:S226))</f>
        <v>2121.6470588235293</v>
      </c>
      <c r="W224" s="156">
        <f>STDEV(C226:S226)</f>
        <v>36.367810589300831</v>
      </c>
      <c r="X224" s="98">
        <f>IF((S225=""),"",((T224-U224)/(T224+U224))*100)</f>
        <v>3.7529691211401426</v>
      </c>
      <c r="Y224" s="75" t="str">
        <f>IF(S225="","",IF(X224&lt;15,IF(V224&gt;1690,IF(V224&lt;2125,"Pass","Fail"),"Fail"),"Fail"))</f>
        <v>Pass</v>
      </c>
      <c r="Z224" s="157">
        <v>1340</v>
      </c>
      <c r="AA224" s="301"/>
      <c r="AC224" s="132">
        <v>1600</v>
      </c>
      <c r="AD224" s="132">
        <v>2600</v>
      </c>
      <c r="AE224" s="158">
        <v>1690</v>
      </c>
      <c r="AF224" s="158">
        <v>2125</v>
      </c>
      <c r="AG224" s="154">
        <v>15</v>
      </c>
      <c r="AH224" s="154">
        <v>15</v>
      </c>
    </row>
    <row r="225" spans="1:34" ht="15.75">
      <c r="A225"/>
      <c r="B225" s="64" t="s">
        <v>78</v>
      </c>
      <c r="C225" s="169">
        <v>4256</v>
      </c>
      <c r="D225" s="170">
        <v>4195</v>
      </c>
      <c r="E225" s="170">
        <v>4175</v>
      </c>
      <c r="F225" s="170">
        <v>4164</v>
      </c>
      <c r="G225" s="170">
        <v>4161</v>
      </c>
      <c r="H225" s="170">
        <v>4153</v>
      </c>
      <c r="I225" s="170">
        <v>4151</v>
      </c>
      <c r="J225" s="170">
        <v>4153</v>
      </c>
      <c r="K225" s="170">
        <v>4228</v>
      </c>
      <c r="L225" s="170">
        <v>4221</v>
      </c>
      <c r="M225" s="170">
        <v>4160</v>
      </c>
      <c r="N225" s="170">
        <v>4156</v>
      </c>
      <c r="O225" s="170">
        <v>4158</v>
      </c>
      <c r="P225" s="170">
        <v>4158</v>
      </c>
      <c r="Q225" s="170">
        <v>4156</v>
      </c>
      <c r="R225" s="170">
        <v>4161</v>
      </c>
      <c r="S225" s="170">
        <v>4203</v>
      </c>
      <c r="T225" s="160"/>
      <c r="U225" s="161"/>
      <c r="V225" s="161"/>
      <c r="W225" s="156"/>
      <c r="X225" s="288"/>
      <c r="Y225" s="161"/>
      <c r="Z225" s="157"/>
      <c r="AA225" s="301"/>
      <c r="AB225" s="186"/>
      <c r="AE225" s="158"/>
      <c r="AF225" s="158"/>
      <c r="AG225" s="154"/>
      <c r="AH225" s="154"/>
    </row>
    <row r="226" spans="1:34" ht="60.75" thickBot="1">
      <c r="A226"/>
      <c r="B226" s="171" t="s">
        <v>79</v>
      </c>
      <c r="C226" s="172">
        <f t="shared" ref="C226:S226" si="71">IF(((C224="")*AND(C225="")),"",(C224-C225)*2)</f>
        <v>2026</v>
      </c>
      <c r="D226" s="172">
        <f t="shared" si="71"/>
        <v>2100</v>
      </c>
      <c r="E226" s="172">
        <f t="shared" si="71"/>
        <v>2110</v>
      </c>
      <c r="F226" s="172">
        <f t="shared" si="71"/>
        <v>2110</v>
      </c>
      <c r="G226" s="172">
        <f t="shared" si="71"/>
        <v>2106</v>
      </c>
      <c r="H226" s="172">
        <f t="shared" si="71"/>
        <v>2146</v>
      </c>
      <c r="I226" s="172">
        <f t="shared" si="71"/>
        <v>2160</v>
      </c>
      <c r="J226" s="172">
        <f t="shared" si="71"/>
        <v>2184</v>
      </c>
      <c r="K226" s="172">
        <f t="shared" si="71"/>
        <v>2118</v>
      </c>
      <c r="L226" s="172">
        <f t="shared" si="71"/>
        <v>2082</v>
      </c>
      <c r="M226" s="172">
        <f t="shared" si="71"/>
        <v>2166</v>
      </c>
      <c r="N226" s="172">
        <f t="shared" si="71"/>
        <v>2138</v>
      </c>
      <c r="O226" s="172">
        <f t="shared" si="71"/>
        <v>2116</v>
      </c>
      <c r="P226" s="172">
        <f t="shared" si="71"/>
        <v>2124</v>
      </c>
      <c r="Q226" s="172">
        <f t="shared" si="71"/>
        <v>2140</v>
      </c>
      <c r="R226" s="172">
        <f t="shared" si="71"/>
        <v>2142</v>
      </c>
      <c r="S226" s="173">
        <f t="shared" si="71"/>
        <v>2100</v>
      </c>
      <c r="T226" s="174"/>
      <c r="U226" s="172"/>
      <c r="V226" s="172"/>
      <c r="W226" s="130"/>
      <c r="X226" s="290"/>
      <c r="Y226" s="172"/>
      <c r="Z226" s="175"/>
      <c r="AA226" s="301"/>
      <c r="AB226" s="186"/>
      <c r="AE226" s="158"/>
      <c r="AF226" s="158"/>
      <c r="AG226" s="154"/>
      <c r="AH226" s="154"/>
    </row>
    <row r="227" spans="1:34">
      <c r="A227" s="278">
        <v>43452</v>
      </c>
      <c r="B227" s="64" t="s">
        <v>77</v>
      </c>
      <c r="C227" s="49">
        <v>4200.8900000000003</v>
      </c>
      <c r="D227" s="49">
        <v>4169.22</v>
      </c>
      <c r="E227" s="49">
        <v>4161.34</v>
      </c>
      <c r="F227" s="49">
        <v>4161.1400000000003</v>
      </c>
      <c r="G227" s="49">
        <v>4146.22</v>
      </c>
      <c r="H227" s="49">
        <v>4136.21</v>
      </c>
      <c r="I227" s="49">
        <v>4136.83</v>
      </c>
      <c r="J227" s="49">
        <v>4136.8</v>
      </c>
      <c r="K227" s="49">
        <v>4153.5600000000004</v>
      </c>
      <c r="L227" s="49">
        <v>4153.46</v>
      </c>
      <c r="M227" s="49">
        <v>4143.1899999999996</v>
      </c>
      <c r="N227" s="49">
        <v>4142.93</v>
      </c>
      <c r="O227" s="49">
        <v>4140.47</v>
      </c>
      <c r="P227" s="49">
        <v>4143.6099999999997</v>
      </c>
      <c r="Q227" s="49">
        <v>4133.29</v>
      </c>
      <c r="R227" s="49">
        <v>4142.8900000000003</v>
      </c>
      <c r="S227" s="49">
        <v>4158.54</v>
      </c>
      <c r="T227" s="155">
        <f>IF((S228=""),"",MAX(C229:S229))</f>
        <v>1961.0600000000004</v>
      </c>
      <c r="U227" s="64">
        <f>IF(S228="","",MIN(C229:S229))</f>
        <v>1453.0600000000004</v>
      </c>
      <c r="V227" s="70">
        <f>IF((S229=""),"",AVERAGE(C229:S229))</f>
        <v>1558.6141176470589</v>
      </c>
      <c r="W227" s="156">
        <f>STDEV(C229:S229)</f>
        <v>118.24932108995547</v>
      </c>
      <c r="X227" s="98">
        <f>IF((S228=""),"",((T227-U227)/(T227+U227))*100)</f>
        <v>14.87938326713765</v>
      </c>
      <c r="Y227" s="75" t="str">
        <f>IF(S228="","",IF(X227&lt;15,IF(V227&gt;1690,IF(V227&lt;2125,"Pass","Fail"),"Fail"),"Fail"))</f>
        <v>Fail</v>
      </c>
      <c r="Z227" s="157">
        <v>1340</v>
      </c>
      <c r="AA227" s="301"/>
      <c r="AC227" s="132">
        <v>1600</v>
      </c>
      <c r="AD227" s="132">
        <v>2600</v>
      </c>
      <c r="AE227" s="158">
        <v>1690</v>
      </c>
      <c r="AF227" s="158">
        <v>2125</v>
      </c>
      <c r="AG227" s="154">
        <v>15</v>
      </c>
      <c r="AH227" s="154">
        <v>15</v>
      </c>
    </row>
    <row r="228" spans="1:34" ht="15.75">
      <c r="A228"/>
      <c r="B228" s="64" t="s">
        <v>78</v>
      </c>
      <c r="C228" s="49">
        <v>3466.01</v>
      </c>
      <c r="D228" s="49">
        <v>3442.69</v>
      </c>
      <c r="E228" s="49">
        <v>3429.3</v>
      </c>
      <c r="F228" s="49">
        <v>3418.79</v>
      </c>
      <c r="G228" s="49">
        <v>3400.07</v>
      </c>
      <c r="H228" s="49">
        <v>3371.6</v>
      </c>
      <c r="I228" s="49">
        <v>3342.73</v>
      </c>
      <c r="J228" s="49">
        <v>3324.49</v>
      </c>
      <c r="K228" s="49">
        <v>3326.76</v>
      </c>
      <c r="L228" s="49">
        <v>3365.89</v>
      </c>
      <c r="M228" s="49">
        <v>3364.67</v>
      </c>
      <c r="N228" s="49">
        <v>3162.4</v>
      </c>
      <c r="O228" s="49">
        <v>3391.64</v>
      </c>
      <c r="P228" s="49">
        <v>3390.21</v>
      </c>
      <c r="Q228" s="49">
        <v>3375.86</v>
      </c>
      <c r="R228" s="49">
        <v>3366.75</v>
      </c>
      <c r="S228" s="49">
        <v>3372.51</v>
      </c>
      <c r="T228" s="160"/>
      <c r="U228" s="161"/>
      <c r="V228" s="161"/>
      <c r="W228" s="156"/>
      <c r="X228" s="288"/>
      <c r="Y228" s="161"/>
      <c r="Z228" s="157"/>
      <c r="AA228" s="301"/>
      <c r="AB228" s="186"/>
      <c r="AE228" s="158"/>
      <c r="AF228" s="158"/>
      <c r="AG228" s="154"/>
      <c r="AH228" s="154"/>
    </row>
    <row r="229" spans="1:34" ht="60.75" thickBot="1">
      <c r="A229"/>
      <c r="B229" s="171" t="s">
        <v>79</v>
      </c>
      <c r="C229" s="172">
        <f t="shared" ref="C229:S229" si="72">IF(((C227="")*AND(C228="")),"",(C227-C228)*2)</f>
        <v>1469.7600000000002</v>
      </c>
      <c r="D229" s="172">
        <f t="shared" si="72"/>
        <v>1453.0600000000004</v>
      </c>
      <c r="E229" s="172">
        <f t="shared" si="72"/>
        <v>1464.08</v>
      </c>
      <c r="F229" s="172">
        <f t="shared" si="72"/>
        <v>1484.7000000000007</v>
      </c>
      <c r="G229" s="172">
        <f t="shared" si="72"/>
        <v>1492.3000000000002</v>
      </c>
      <c r="H229" s="172">
        <f t="shared" si="72"/>
        <v>1529.2200000000003</v>
      </c>
      <c r="I229" s="172">
        <f t="shared" si="72"/>
        <v>1588.1999999999998</v>
      </c>
      <c r="J229" s="172">
        <f t="shared" si="72"/>
        <v>1624.6200000000008</v>
      </c>
      <c r="K229" s="172">
        <f t="shared" si="72"/>
        <v>1653.6000000000004</v>
      </c>
      <c r="L229" s="172">
        <f t="shared" si="72"/>
        <v>1575.1400000000003</v>
      </c>
      <c r="M229" s="172">
        <f t="shared" si="72"/>
        <v>1557.0399999999991</v>
      </c>
      <c r="N229" s="172">
        <f t="shared" si="72"/>
        <v>1961.0600000000004</v>
      </c>
      <c r="O229" s="172">
        <f t="shared" si="72"/>
        <v>1497.6600000000008</v>
      </c>
      <c r="P229" s="172">
        <f t="shared" si="72"/>
        <v>1506.7999999999993</v>
      </c>
      <c r="Q229" s="172">
        <f t="shared" si="72"/>
        <v>1514.8599999999997</v>
      </c>
      <c r="R229" s="172">
        <f t="shared" si="72"/>
        <v>1552.2800000000007</v>
      </c>
      <c r="S229" s="173">
        <f t="shared" si="72"/>
        <v>1572.0599999999995</v>
      </c>
      <c r="T229" s="174"/>
      <c r="U229" s="172"/>
      <c r="V229" s="172"/>
      <c r="W229" s="130"/>
      <c r="X229" s="290"/>
      <c r="Y229" s="172"/>
      <c r="Z229" s="175"/>
      <c r="AA229" s="301"/>
      <c r="AB229" s="186"/>
      <c r="AE229" s="158"/>
      <c r="AF229" s="158"/>
      <c r="AG229" s="154"/>
      <c r="AH229" s="154"/>
    </row>
    <row r="230" spans="1:34">
      <c r="A230" s="278">
        <v>43452</v>
      </c>
      <c r="B230" s="64" t="s">
        <v>77</v>
      </c>
      <c r="C230" s="49">
        <v>3466.96</v>
      </c>
      <c r="D230" s="49">
        <v>3440.71</v>
      </c>
      <c r="E230" s="49">
        <v>3427.86</v>
      </c>
      <c r="F230" s="49">
        <v>3417.67</v>
      </c>
      <c r="G230" s="49">
        <v>3399.1</v>
      </c>
      <c r="H230" s="49">
        <v>3370.92</v>
      </c>
      <c r="I230" s="49">
        <v>3343.3</v>
      </c>
      <c r="J230" s="49">
        <v>3325.73</v>
      </c>
      <c r="K230" s="49">
        <v>3327.01</v>
      </c>
      <c r="L230" s="49">
        <v>3367.87</v>
      </c>
      <c r="M230" s="49">
        <v>3364.86</v>
      </c>
      <c r="N230" s="49">
        <v>3375.84</v>
      </c>
      <c r="O230" s="49">
        <v>3390.67</v>
      </c>
      <c r="P230" s="49">
        <v>3390.87</v>
      </c>
      <c r="Q230" s="49">
        <v>3375.75</v>
      </c>
      <c r="R230" s="49">
        <v>3365.91</v>
      </c>
      <c r="S230" s="49">
        <v>3372.73</v>
      </c>
      <c r="T230" s="155">
        <f>IF((S231=""),"",MAX(C232:S232))</f>
        <v>1754.4000000000005</v>
      </c>
      <c r="U230" s="64">
        <f>IF(S231="","",MIN(C232:S232))</f>
        <v>1623.6000000000004</v>
      </c>
      <c r="V230" s="70">
        <f>IF((S232=""),"",AVERAGE(C232:S232))</f>
        <v>1688.8823529411766</v>
      </c>
      <c r="W230" s="156">
        <f>STDEV(C232:S232)</f>
        <v>41.022037907906387</v>
      </c>
      <c r="X230" s="98">
        <f>IF((S231=""),"",((T230-U230)/(T230+U230))*100)</f>
        <v>3.8721136767317983</v>
      </c>
      <c r="Y230" s="75" t="str">
        <f>IF(S231="","",IF(X230&lt;15,IF(V230&gt;1690,IF(V230&lt;2125,"Pass","Fail"),"Fail"),"Fail"))</f>
        <v>Fail</v>
      </c>
      <c r="Z230" s="157">
        <v>1428</v>
      </c>
      <c r="AA230" s="301"/>
      <c r="AC230" s="132">
        <v>1600</v>
      </c>
      <c r="AD230" s="132">
        <v>2600</v>
      </c>
      <c r="AE230" s="158">
        <v>1690</v>
      </c>
      <c r="AF230" s="158">
        <v>2125</v>
      </c>
      <c r="AG230" s="154">
        <v>15</v>
      </c>
      <c r="AH230" s="154">
        <v>15</v>
      </c>
    </row>
    <row r="231" spans="1:34" ht="15.75">
      <c r="A231"/>
      <c r="B231" s="64" t="s">
        <v>78</v>
      </c>
      <c r="C231" s="49">
        <v>2630.29</v>
      </c>
      <c r="D231" s="49">
        <v>2616.06</v>
      </c>
      <c r="E231" s="49">
        <v>2616.06</v>
      </c>
      <c r="F231" s="49">
        <v>2602.92</v>
      </c>
      <c r="G231" s="49">
        <v>2537.7800000000002</v>
      </c>
      <c r="H231" s="49">
        <v>2537.7800000000002</v>
      </c>
      <c r="I231" s="49">
        <v>2490.88</v>
      </c>
      <c r="J231" s="49">
        <v>2456.89</v>
      </c>
      <c r="K231" s="49">
        <v>2449.81</v>
      </c>
      <c r="L231" s="49">
        <v>2498.41</v>
      </c>
      <c r="M231" s="49">
        <v>2508.48</v>
      </c>
      <c r="N231" s="49">
        <v>2508.48</v>
      </c>
      <c r="O231" s="49">
        <v>2564.5300000000002</v>
      </c>
      <c r="P231" s="49">
        <v>2565.5700000000002</v>
      </c>
      <c r="Q231" s="49">
        <v>2542.21</v>
      </c>
      <c r="R231" s="49">
        <v>2522.35</v>
      </c>
      <c r="S231" s="49">
        <v>2519.7600000000002</v>
      </c>
      <c r="T231" s="160"/>
      <c r="U231" s="161"/>
      <c r="V231" s="161"/>
      <c r="W231" s="156"/>
      <c r="X231" s="288"/>
      <c r="Y231" s="161"/>
      <c r="Z231" s="157"/>
      <c r="AA231" s="301"/>
      <c r="AB231" s="186"/>
      <c r="AE231" s="158"/>
      <c r="AF231" s="158"/>
      <c r="AG231" s="154"/>
      <c r="AH231" s="154"/>
    </row>
    <row r="232" spans="1:34" ht="60.75" thickBot="1">
      <c r="A232"/>
      <c r="B232" s="171" t="s">
        <v>79</v>
      </c>
      <c r="C232" s="172">
        <f t="shared" ref="C232:S232" si="73">IF(((C230="")*AND(C231="")),"",(C230-C231)*2)</f>
        <v>1673.3400000000001</v>
      </c>
      <c r="D232" s="172">
        <f t="shared" si="73"/>
        <v>1649.3000000000002</v>
      </c>
      <c r="E232" s="172">
        <f t="shared" si="73"/>
        <v>1623.6000000000004</v>
      </c>
      <c r="F232" s="172">
        <f t="shared" si="73"/>
        <v>1629.5</v>
      </c>
      <c r="G232" s="172">
        <f t="shared" si="73"/>
        <v>1722.6399999999994</v>
      </c>
      <c r="H232" s="172">
        <f t="shared" si="73"/>
        <v>1666.2799999999997</v>
      </c>
      <c r="I232" s="172">
        <f t="shared" si="73"/>
        <v>1704.8400000000001</v>
      </c>
      <c r="J232" s="172">
        <f t="shared" si="73"/>
        <v>1737.6800000000003</v>
      </c>
      <c r="K232" s="172">
        <f t="shared" si="73"/>
        <v>1754.4000000000005</v>
      </c>
      <c r="L232" s="172">
        <f t="shared" si="73"/>
        <v>1738.92</v>
      </c>
      <c r="M232" s="172">
        <f t="shared" si="73"/>
        <v>1712.7600000000002</v>
      </c>
      <c r="N232" s="172">
        <f t="shared" si="73"/>
        <v>1734.7200000000003</v>
      </c>
      <c r="O232" s="172">
        <f t="shared" si="73"/>
        <v>1652.2799999999997</v>
      </c>
      <c r="P232" s="172">
        <f t="shared" si="73"/>
        <v>1650.5999999999995</v>
      </c>
      <c r="Q232" s="172">
        <f t="shared" si="73"/>
        <v>1667.08</v>
      </c>
      <c r="R232" s="172">
        <f t="shared" si="73"/>
        <v>1687.12</v>
      </c>
      <c r="S232" s="173">
        <f t="shared" si="73"/>
        <v>1705.9399999999996</v>
      </c>
      <c r="T232" s="174"/>
      <c r="U232" s="172"/>
      <c r="V232" s="172"/>
      <c r="W232" s="130"/>
      <c r="X232" s="290"/>
      <c r="Y232" s="172"/>
      <c r="Z232" s="175"/>
      <c r="AA232" s="301"/>
      <c r="AB232" s="186"/>
      <c r="AE232" s="158"/>
      <c r="AF232" s="158"/>
      <c r="AG232" s="154"/>
      <c r="AH232" s="154"/>
    </row>
    <row r="233" spans="1:34">
      <c r="A233" s="278">
        <v>43452</v>
      </c>
      <c r="B233" s="64" t="s">
        <v>77</v>
      </c>
      <c r="C233" s="49">
        <v>5330.88</v>
      </c>
      <c r="D233" s="49">
        <v>5314.71</v>
      </c>
      <c r="E233" s="49">
        <v>5302.81</v>
      </c>
      <c r="F233" s="49">
        <v>5296.44</v>
      </c>
      <c r="G233" s="49">
        <v>5284.67</v>
      </c>
      <c r="H233" s="49">
        <v>5297.27</v>
      </c>
      <c r="I233" s="49">
        <v>5295.76</v>
      </c>
      <c r="J233" s="49">
        <v>5314.36</v>
      </c>
      <c r="K233" s="49">
        <v>5336.86</v>
      </c>
      <c r="L233" s="49">
        <v>5320.97</v>
      </c>
      <c r="M233" s="49">
        <v>5312.01</v>
      </c>
      <c r="N233" s="49">
        <v>5302.94</v>
      </c>
      <c r="O233" s="49">
        <v>5297.7</v>
      </c>
      <c r="P233" s="49">
        <v>5296.57</v>
      </c>
      <c r="Q233" s="49">
        <v>5299.82</v>
      </c>
      <c r="R233" s="49">
        <v>5308.56</v>
      </c>
      <c r="S233" s="49">
        <v>5319.44</v>
      </c>
      <c r="T233" s="155">
        <f>IF((S234=""),"",MAX(C235:S235))</f>
        <v>2163.2199999999993</v>
      </c>
      <c r="U233" s="64">
        <f>IF(S234="","",MIN(C235:S235))</f>
        <v>2082.2000000000007</v>
      </c>
      <c r="V233" s="70">
        <f>IF((S235=""),"",AVERAGE(C235:S235))</f>
        <v>2120.6164705882352</v>
      </c>
      <c r="W233" s="156">
        <f>STDEV(C235:S235)</f>
        <v>21.513204358380765</v>
      </c>
      <c r="X233" s="98">
        <f>IF((S234=""),"",((T233-U233)/(T233+U233))*100)</f>
        <v>1.9084095330968105</v>
      </c>
      <c r="Y233" s="75" t="str">
        <f>IF(S234="","",IF(X233&lt;15,IF(V233&gt;1690,IF(V233&lt;2125,"Pass","Fail"),"Fail"),"Fail"))</f>
        <v>Pass</v>
      </c>
      <c r="Z233" s="157">
        <v>1428</v>
      </c>
      <c r="AA233" s="301"/>
      <c r="AC233" s="132">
        <v>1600</v>
      </c>
      <c r="AD233" s="132">
        <v>2600</v>
      </c>
      <c r="AE233" s="158">
        <v>1690</v>
      </c>
      <c r="AF233" s="158">
        <v>2125</v>
      </c>
      <c r="AG233" s="154">
        <v>15</v>
      </c>
      <c r="AH233" s="154">
        <v>15</v>
      </c>
    </row>
    <row r="234" spans="1:34" ht="15.75">
      <c r="A234"/>
      <c r="B234" s="64" t="s">
        <v>78</v>
      </c>
      <c r="C234" s="49">
        <v>4249.2700000000004</v>
      </c>
      <c r="D234" s="49">
        <v>4235.3900000000003</v>
      </c>
      <c r="E234" s="49">
        <v>4235.47</v>
      </c>
      <c r="F234" s="49">
        <v>4241.88</v>
      </c>
      <c r="G234" s="49">
        <v>4243.57</v>
      </c>
      <c r="H234" s="49">
        <v>4249.1899999999996</v>
      </c>
      <c r="I234" s="49">
        <v>4246.55</v>
      </c>
      <c r="J234" s="49">
        <v>4262.45</v>
      </c>
      <c r="K234" s="49">
        <v>4283.53</v>
      </c>
      <c r="L234" s="49">
        <v>4259.8900000000003</v>
      </c>
      <c r="M234" s="49">
        <v>4252.1400000000003</v>
      </c>
      <c r="N234" s="49">
        <v>4241.6499999999996</v>
      </c>
      <c r="O234" s="49">
        <v>4240.6400000000003</v>
      </c>
      <c r="P234" s="49">
        <v>4239.96</v>
      </c>
      <c r="Q234" s="49">
        <v>4231.41</v>
      </c>
      <c r="R234" s="49">
        <v>4239.71</v>
      </c>
      <c r="S234" s="49">
        <v>4253.83</v>
      </c>
      <c r="T234" s="160"/>
      <c r="U234" s="161"/>
      <c r="V234" s="161"/>
      <c r="W234" s="156"/>
      <c r="X234" s="288"/>
      <c r="Y234" s="161"/>
      <c r="Z234" s="157"/>
      <c r="AA234" s="301"/>
      <c r="AB234" s="186"/>
      <c r="AE234" s="158"/>
      <c r="AF234" s="158"/>
      <c r="AG234" s="154"/>
      <c r="AH234" s="154"/>
    </row>
    <row r="235" spans="1:34" ht="60.75" thickBot="1">
      <c r="A235"/>
      <c r="B235" s="171" t="s">
        <v>79</v>
      </c>
      <c r="C235" s="172">
        <f t="shared" ref="C235:S235" si="74">IF(((C233="")*AND(C234="")),"",(C233-C234)*2)</f>
        <v>2163.2199999999993</v>
      </c>
      <c r="D235" s="172">
        <f t="shared" si="74"/>
        <v>2158.6399999999994</v>
      </c>
      <c r="E235" s="172">
        <f t="shared" si="74"/>
        <v>2134.6800000000003</v>
      </c>
      <c r="F235" s="172">
        <f t="shared" si="74"/>
        <v>2109.119999999999</v>
      </c>
      <c r="G235" s="172">
        <f t="shared" si="74"/>
        <v>2082.2000000000007</v>
      </c>
      <c r="H235" s="172">
        <f t="shared" si="74"/>
        <v>2096.1600000000017</v>
      </c>
      <c r="I235" s="172">
        <f t="shared" si="74"/>
        <v>2098.42</v>
      </c>
      <c r="J235" s="172">
        <f t="shared" si="74"/>
        <v>2103.8199999999997</v>
      </c>
      <c r="K235" s="172">
        <f t="shared" si="74"/>
        <v>2106.66</v>
      </c>
      <c r="L235" s="172">
        <f t="shared" si="74"/>
        <v>2122.16</v>
      </c>
      <c r="M235" s="172">
        <f t="shared" si="74"/>
        <v>2119.7399999999998</v>
      </c>
      <c r="N235" s="172">
        <f t="shared" si="74"/>
        <v>2122.58</v>
      </c>
      <c r="O235" s="172">
        <f t="shared" si="74"/>
        <v>2114.119999999999</v>
      </c>
      <c r="P235" s="172">
        <f t="shared" si="74"/>
        <v>2113.2199999999993</v>
      </c>
      <c r="Q235" s="172">
        <f t="shared" si="74"/>
        <v>2136.8199999999997</v>
      </c>
      <c r="R235" s="172">
        <f t="shared" si="74"/>
        <v>2137.7000000000007</v>
      </c>
      <c r="S235" s="173">
        <f t="shared" si="74"/>
        <v>2131.2199999999993</v>
      </c>
      <c r="T235" s="174"/>
      <c r="U235" s="172"/>
      <c r="V235" s="172"/>
      <c r="W235" s="130"/>
      <c r="X235" s="290"/>
      <c r="Y235" s="172"/>
      <c r="Z235" s="175"/>
      <c r="AA235" s="301"/>
      <c r="AB235" s="186"/>
      <c r="AE235" s="158"/>
      <c r="AF235" s="158"/>
      <c r="AG235" s="154"/>
      <c r="AH235" s="154"/>
    </row>
    <row r="236" spans="1:34">
      <c r="A236" s="278">
        <v>43458</v>
      </c>
      <c r="B236" s="64" t="s">
        <v>77</v>
      </c>
      <c r="C236" s="169">
        <v>4369</v>
      </c>
      <c r="D236" s="170">
        <v>4306</v>
      </c>
      <c r="E236" s="170">
        <v>4285</v>
      </c>
      <c r="F236" s="170">
        <v>4268</v>
      </c>
      <c r="G236" s="170">
        <v>4260</v>
      </c>
      <c r="H236" s="170">
        <v>4240</v>
      </c>
      <c r="I236" s="170">
        <v>4224</v>
      </c>
      <c r="J236" s="170">
        <v>4227</v>
      </c>
      <c r="K236" s="170">
        <v>4293</v>
      </c>
      <c r="L236" s="170">
        <v>4306</v>
      </c>
      <c r="M236" s="170">
        <v>4251</v>
      </c>
      <c r="N236" s="170">
        <v>4249</v>
      </c>
      <c r="O236" s="170">
        <v>4250</v>
      </c>
      <c r="P236" s="170">
        <v>4253</v>
      </c>
      <c r="Q236" s="170">
        <v>4245</v>
      </c>
      <c r="R236" s="170">
        <v>4249</v>
      </c>
      <c r="S236" s="170">
        <v>4297</v>
      </c>
      <c r="T236" s="155">
        <f>IF((S237=""),"",MAX(C238:S238))</f>
        <v>1880</v>
      </c>
      <c r="U236" s="64">
        <f>IF(S237="","",MIN(C238:S238))</f>
        <v>1700</v>
      </c>
      <c r="V236" s="70">
        <f>IF((S238=""),"",AVERAGE(C238:S238))</f>
        <v>1772</v>
      </c>
      <c r="W236" s="156">
        <f>STDEV(C238:S238)</f>
        <v>51.249390240275055</v>
      </c>
      <c r="X236" s="98">
        <f>IF((S237=""),"",((T236-U236)/(T236+U236))*100)</f>
        <v>5.027932960893855</v>
      </c>
      <c r="Y236" s="75" t="str">
        <f>IF(S237="","",IF(X236&lt;15,IF(V236&gt;1690,IF(V236&lt;2125,"Pass","Fail"),"Fail"),"Fail"))</f>
        <v>Pass</v>
      </c>
      <c r="Z236" s="157">
        <v>1428</v>
      </c>
      <c r="AA236" s="301"/>
      <c r="AC236" s="132">
        <v>1600</v>
      </c>
      <c r="AD236" s="132">
        <v>2600</v>
      </c>
      <c r="AE236" s="158">
        <v>1690</v>
      </c>
      <c r="AF236" s="158">
        <v>2125</v>
      </c>
      <c r="AG236" s="154">
        <v>15</v>
      </c>
      <c r="AH236" s="154">
        <v>15</v>
      </c>
    </row>
    <row r="237" spans="1:34" ht="15.75">
      <c r="A237"/>
      <c r="B237" s="64" t="s">
        <v>78</v>
      </c>
      <c r="C237" s="169">
        <v>3509</v>
      </c>
      <c r="D237" s="170">
        <v>3448</v>
      </c>
      <c r="E237" s="170">
        <v>3428</v>
      </c>
      <c r="F237" s="170">
        <v>3418</v>
      </c>
      <c r="G237" s="170">
        <v>3396</v>
      </c>
      <c r="H237" s="170">
        <v>3355</v>
      </c>
      <c r="I237" s="170">
        <v>3310</v>
      </c>
      <c r="J237" s="170">
        <v>3287</v>
      </c>
      <c r="K237" s="170">
        <v>3366</v>
      </c>
      <c r="L237" s="170">
        <v>3406</v>
      </c>
      <c r="M237" s="170">
        <v>3350</v>
      </c>
      <c r="N237" s="170">
        <v>3359</v>
      </c>
      <c r="O237" s="170">
        <v>3381</v>
      </c>
      <c r="P237" s="170">
        <v>3379</v>
      </c>
      <c r="Q237" s="170">
        <v>3361</v>
      </c>
      <c r="R237" s="170">
        <v>3351</v>
      </c>
      <c r="S237" s="170">
        <v>3406</v>
      </c>
      <c r="T237" s="160"/>
      <c r="U237" s="161"/>
      <c r="V237" s="161"/>
      <c r="W237" s="156"/>
      <c r="X237" s="288"/>
      <c r="Y237" s="161"/>
      <c r="Z237" s="157"/>
      <c r="AA237" s="301"/>
      <c r="AB237" s="186"/>
      <c r="AE237" s="158"/>
      <c r="AF237" s="158"/>
      <c r="AG237" s="154"/>
      <c r="AH237" s="154"/>
    </row>
    <row r="238" spans="1:34" ht="60.75" thickBot="1">
      <c r="A238"/>
      <c r="B238" s="171" t="s">
        <v>79</v>
      </c>
      <c r="C238" s="172">
        <f t="shared" ref="C238:S238" si="75">IF(((C236="")*AND(C237="")),"",(C236-C237)*2)</f>
        <v>1720</v>
      </c>
      <c r="D238" s="172">
        <f t="shared" si="75"/>
        <v>1716</v>
      </c>
      <c r="E238" s="172">
        <f t="shared" si="75"/>
        <v>1714</v>
      </c>
      <c r="F238" s="172">
        <f t="shared" si="75"/>
        <v>1700</v>
      </c>
      <c r="G238" s="172">
        <f t="shared" si="75"/>
        <v>1728</v>
      </c>
      <c r="H238" s="172">
        <f t="shared" si="75"/>
        <v>1770</v>
      </c>
      <c r="I238" s="172">
        <f t="shared" si="75"/>
        <v>1828</v>
      </c>
      <c r="J238" s="172">
        <f t="shared" si="75"/>
        <v>1880</v>
      </c>
      <c r="K238" s="172">
        <f t="shared" si="75"/>
        <v>1854</v>
      </c>
      <c r="L238" s="172">
        <f t="shared" si="75"/>
        <v>1800</v>
      </c>
      <c r="M238" s="172">
        <f t="shared" si="75"/>
        <v>1802</v>
      </c>
      <c r="N238" s="172">
        <f t="shared" si="75"/>
        <v>1780</v>
      </c>
      <c r="O238" s="172">
        <f t="shared" si="75"/>
        <v>1738</v>
      </c>
      <c r="P238" s="172">
        <f t="shared" si="75"/>
        <v>1748</v>
      </c>
      <c r="Q238" s="172">
        <f t="shared" si="75"/>
        <v>1768</v>
      </c>
      <c r="R238" s="172">
        <f t="shared" si="75"/>
        <v>1796</v>
      </c>
      <c r="S238" s="173">
        <f t="shared" si="75"/>
        <v>1782</v>
      </c>
      <c r="T238" s="174"/>
      <c r="U238" s="172"/>
      <c r="V238" s="172"/>
      <c r="W238" s="130"/>
      <c r="X238" s="290"/>
      <c r="Y238" s="172"/>
      <c r="Z238" s="175"/>
      <c r="AA238" s="301"/>
      <c r="AB238" s="186"/>
      <c r="AE238" s="158"/>
      <c r="AF238" s="158"/>
      <c r="AG238" s="154"/>
      <c r="AH238" s="154"/>
    </row>
    <row r="239" spans="1:34">
      <c r="A239" s="278">
        <v>43460</v>
      </c>
      <c r="B239" s="64" t="s">
        <v>77</v>
      </c>
      <c r="C239" s="169">
        <v>5407</v>
      </c>
      <c r="D239" s="170">
        <v>5366</v>
      </c>
      <c r="E239" s="170">
        <v>5345</v>
      </c>
      <c r="F239" s="170">
        <v>5339</v>
      </c>
      <c r="G239" s="170">
        <v>5335</v>
      </c>
      <c r="H239" s="170">
        <v>5339</v>
      </c>
      <c r="I239" s="170">
        <v>5351</v>
      </c>
      <c r="J239" s="170">
        <v>5367</v>
      </c>
      <c r="K239" s="170">
        <v>5403</v>
      </c>
      <c r="L239" s="170">
        <v>5365</v>
      </c>
      <c r="M239" s="170">
        <v>5354</v>
      </c>
      <c r="N239" s="170">
        <v>5342</v>
      </c>
      <c r="O239" s="170">
        <v>5339</v>
      </c>
      <c r="P239" s="170">
        <v>5339</v>
      </c>
      <c r="Q239" s="170">
        <v>5345</v>
      </c>
      <c r="R239" s="170">
        <v>5359</v>
      </c>
      <c r="S239" s="182">
        <v>5365</v>
      </c>
      <c r="T239" s="155">
        <f>IF((S240=""),"",MAX(C241:S241))</f>
        <v>2176</v>
      </c>
      <c r="U239" s="64">
        <f>IF(S240="","",MIN(C241:S241))</f>
        <v>2022</v>
      </c>
      <c r="V239" s="70">
        <f>IF((S241=""),"",AVERAGE(C241:S241))</f>
        <v>2108.4705882352941</v>
      </c>
      <c r="W239" s="156">
        <f>STDEV(C241:S241)</f>
        <v>38.739704514650185</v>
      </c>
      <c r="X239" s="98">
        <f>IF((S240=""),"",((T239-U239)/(T239+U239))*100)</f>
        <v>3.6684135302525012</v>
      </c>
      <c r="Y239" s="75" t="str">
        <f>IF(S240="","",IF(X239&lt;15,IF(V239&gt;1690,IF(V239&lt;2125,"Pass","Fail"),"Fail"),"Fail"))</f>
        <v>Pass</v>
      </c>
      <c r="Z239" s="157">
        <v>1340</v>
      </c>
      <c r="AA239" s="301"/>
      <c r="AC239" s="132">
        <v>1600</v>
      </c>
      <c r="AD239" s="132">
        <v>2600</v>
      </c>
      <c r="AE239" s="158">
        <v>1690</v>
      </c>
      <c r="AF239" s="158">
        <v>2125</v>
      </c>
      <c r="AG239" s="154">
        <v>15</v>
      </c>
      <c r="AH239" s="154">
        <v>15</v>
      </c>
    </row>
    <row r="240" spans="1:34" ht="15.75">
      <c r="A240"/>
      <c r="B240" s="64" t="s">
        <v>78</v>
      </c>
      <c r="C240" s="169">
        <v>4396</v>
      </c>
      <c r="D240" s="170">
        <v>4321</v>
      </c>
      <c r="E240" s="170">
        <v>4307</v>
      </c>
      <c r="F240" s="170">
        <v>4289</v>
      </c>
      <c r="G240" s="170">
        <v>4285</v>
      </c>
      <c r="H240" s="170">
        <v>4283</v>
      </c>
      <c r="I240" s="170">
        <v>4273</v>
      </c>
      <c r="J240" s="170">
        <v>4279</v>
      </c>
      <c r="K240" s="170">
        <v>4336</v>
      </c>
      <c r="L240" s="170">
        <v>4316</v>
      </c>
      <c r="M240" s="170">
        <v>4275</v>
      </c>
      <c r="N240" s="170">
        <v>4275</v>
      </c>
      <c r="O240" s="170">
        <v>4283</v>
      </c>
      <c r="P240" s="170">
        <v>4288</v>
      </c>
      <c r="Q240" s="170">
        <v>4288</v>
      </c>
      <c r="R240" s="170">
        <v>4301</v>
      </c>
      <c r="S240" s="182">
        <v>4343</v>
      </c>
      <c r="T240" s="160"/>
      <c r="U240" s="161"/>
      <c r="V240" s="161"/>
      <c r="W240" s="156"/>
      <c r="X240" s="288"/>
      <c r="Y240" s="161"/>
      <c r="Z240" s="157"/>
      <c r="AA240" s="301"/>
      <c r="AB240" s="186"/>
      <c r="AE240" s="158"/>
      <c r="AF240" s="158"/>
      <c r="AG240" s="154"/>
      <c r="AH240" s="154"/>
    </row>
    <row r="241" spans="1:34" ht="60.75" thickBot="1">
      <c r="A241"/>
      <c r="B241" s="171" t="s">
        <v>79</v>
      </c>
      <c r="C241" s="172">
        <f t="shared" ref="C241:S241" si="76">IF(((C239="")*AND(C240="")),"",(C239-C240)*2)</f>
        <v>2022</v>
      </c>
      <c r="D241" s="172">
        <f t="shared" si="76"/>
        <v>2090</v>
      </c>
      <c r="E241" s="172">
        <f t="shared" si="76"/>
        <v>2076</v>
      </c>
      <c r="F241" s="172">
        <f t="shared" si="76"/>
        <v>2100</v>
      </c>
      <c r="G241" s="172">
        <f t="shared" si="76"/>
        <v>2100</v>
      </c>
      <c r="H241" s="172">
        <f t="shared" si="76"/>
        <v>2112</v>
      </c>
      <c r="I241" s="172">
        <f t="shared" si="76"/>
        <v>2156</v>
      </c>
      <c r="J241" s="172">
        <f t="shared" si="76"/>
        <v>2176</v>
      </c>
      <c r="K241" s="172">
        <f t="shared" si="76"/>
        <v>2134</v>
      </c>
      <c r="L241" s="172">
        <f t="shared" si="76"/>
        <v>2098</v>
      </c>
      <c r="M241" s="172">
        <f t="shared" si="76"/>
        <v>2158</v>
      </c>
      <c r="N241" s="172">
        <f t="shared" si="76"/>
        <v>2134</v>
      </c>
      <c r="O241" s="172">
        <f t="shared" si="76"/>
        <v>2112</v>
      </c>
      <c r="P241" s="172">
        <f t="shared" si="76"/>
        <v>2102</v>
      </c>
      <c r="Q241" s="172">
        <f t="shared" si="76"/>
        <v>2114</v>
      </c>
      <c r="R241" s="172">
        <f t="shared" si="76"/>
        <v>2116</v>
      </c>
      <c r="S241" s="173">
        <f t="shared" si="76"/>
        <v>2044</v>
      </c>
      <c r="T241" s="174"/>
      <c r="U241" s="172"/>
      <c r="V241" s="172"/>
      <c r="W241" s="130"/>
      <c r="X241" s="290"/>
      <c r="Y241" s="172"/>
      <c r="Z241" s="175"/>
      <c r="AA241" s="301"/>
      <c r="AB241" s="186"/>
      <c r="AE241" s="158"/>
      <c r="AF241" s="158"/>
      <c r="AG241" s="154"/>
      <c r="AH241" s="154"/>
    </row>
    <row r="242" spans="1:34">
      <c r="A242" s="278">
        <v>43466</v>
      </c>
      <c r="B242" s="64" t="s">
        <v>77</v>
      </c>
      <c r="C242" s="169">
        <v>5381</v>
      </c>
      <c r="D242" s="170">
        <v>5337</v>
      </c>
      <c r="E242" s="170">
        <v>5314</v>
      </c>
      <c r="F242" s="170">
        <v>5309</v>
      </c>
      <c r="G242" s="170">
        <v>5304</v>
      </c>
      <c r="H242" s="170">
        <v>5309</v>
      </c>
      <c r="I242" s="170">
        <v>5322</v>
      </c>
      <c r="J242" s="170">
        <v>5336</v>
      </c>
      <c r="K242" s="170">
        <v>5374</v>
      </c>
      <c r="L242" s="170">
        <v>5333</v>
      </c>
      <c r="M242" s="170">
        <v>5320</v>
      </c>
      <c r="N242" s="170">
        <v>5318</v>
      </c>
      <c r="O242" s="170">
        <v>5311</v>
      </c>
      <c r="P242" s="170">
        <v>5307</v>
      </c>
      <c r="Q242" s="170">
        <v>5322</v>
      </c>
      <c r="R242" s="170">
        <v>5338</v>
      </c>
      <c r="S242" s="182">
        <v>5358</v>
      </c>
      <c r="T242" s="155">
        <f>IF((S243=""),"",MAX(C244:S244))</f>
        <v>2190</v>
      </c>
      <c r="U242" s="64">
        <f>IF(S243="","",MIN(C244:S244))</f>
        <v>2024</v>
      </c>
      <c r="V242" s="70">
        <f>IF((S244=""),"",AVERAGE(C244:S244))</f>
        <v>2114.2352941176468</v>
      </c>
      <c r="W242" s="156">
        <f>STDEV(C244:S244)</f>
        <v>42.97605352368187</v>
      </c>
      <c r="X242" s="98">
        <f>IF((S243=""),"",((T242-U242)/(T242+U242))*100)</f>
        <v>3.9392501186521121</v>
      </c>
      <c r="Y242" s="75" t="str">
        <f>IF(S243="","",IF(X242&lt;15,IF(V242&gt;1690,IF(V242&lt;2125,"Pass","Fail"),"Fail"),"Fail"))</f>
        <v>Pass</v>
      </c>
      <c r="Z242" s="157" t="s">
        <v>98</v>
      </c>
      <c r="AA242" s="292" t="s">
        <v>99</v>
      </c>
      <c r="AC242" s="132">
        <v>1600</v>
      </c>
      <c r="AD242" s="132">
        <v>2600</v>
      </c>
      <c r="AE242" s="158">
        <v>1690</v>
      </c>
      <c r="AF242" s="158">
        <v>2125</v>
      </c>
      <c r="AG242" s="154">
        <v>15</v>
      </c>
      <c r="AH242" s="154">
        <v>15</v>
      </c>
    </row>
    <row r="243" spans="1:34" ht="15.75">
      <c r="A243"/>
      <c r="B243" s="64" t="s">
        <v>78</v>
      </c>
      <c r="C243" s="169">
        <v>4369</v>
      </c>
      <c r="D243" s="170">
        <v>4302</v>
      </c>
      <c r="E243" s="170">
        <v>4281</v>
      </c>
      <c r="F243" s="170">
        <v>4268</v>
      </c>
      <c r="G243" s="170">
        <v>4253</v>
      </c>
      <c r="H243" s="170">
        <v>4248</v>
      </c>
      <c r="I243" s="170">
        <v>4240</v>
      </c>
      <c r="J243" s="170">
        <v>4241</v>
      </c>
      <c r="K243" s="170">
        <v>4311</v>
      </c>
      <c r="L243" s="170">
        <v>4279</v>
      </c>
      <c r="M243" s="170">
        <v>4242</v>
      </c>
      <c r="N243" s="170">
        <v>4251</v>
      </c>
      <c r="O243" s="170">
        <v>4254</v>
      </c>
      <c r="P243" s="170">
        <v>4253</v>
      </c>
      <c r="Q243" s="170">
        <v>4246</v>
      </c>
      <c r="R243" s="170">
        <v>4260</v>
      </c>
      <c r="S243" s="182">
        <v>4324</v>
      </c>
      <c r="T243" s="160"/>
      <c r="U243" s="161"/>
      <c r="V243" s="161"/>
      <c r="W243" s="156"/>
      <c r="X243" s="288"/>
      <c r="Y243" s="161"/>
      <c r="Z243" s="157"/>
      <c r="AA243" s="301"/>
      <c r="AB243" s="186"/>
    </row>
    <row r="244" spans="1:34" ht="60">
      <c r="A244"/>
      <c r="B244" s="64" t="s">
        <v>79</v>
      </c>
      <c r="C244" s="161">
        <f t="shared" ref="C244:S244" si="77">IF(((C242="")*AND(C243="")),"",(C242-C243)*2)</f>
        <v>2024</v>
      </c>
      <c r="D244" s="161">
        <f t="shared" si="77"/>
        <v>2070</v>
      </c>
      <c r="E244" s="161">
        <f t="shared" si="77"/>
        <v>2066</v>
      </c>
      <c r="F244" s="161">
        <f t="shared" si="77"/>
        <v>2082</v>
      </c>
      <c r="G244" s="161">
        <f t="shared" si="77"/>
        <v>2102</v>
      </c>
      <c r="H244" s="161">
        <f t="shared" si="77"/>
        <v>2122</v>
      </c>
      <c r="I244" s="161">
        <f t="shared" si="77"/>
        <v>2164</v>
      </c>
      <c r="J244" s="161">
        <f t="shared" si="77"/>
        <v>2190</v>
      </c>
      <c r="K244" s="161">
        <f t="shared" si="77"/>
        <v>2126</v>
      </c>
      <c r="L244" s="161">
        <f t="shared" si="77"/>
        <v>2108</v>
      </c>
      <c r="M244" s="161">
        <f t="shared" si="77"/>
        <v>2156</v>
      </c>
      <c r="N244" s="161">
        <f t="shared" si="77"/>
        <v>2134</v>
      </c>
      <c r="O244" s="161">
        <f t="shared" si="77"/>
        <v>2114</v>
      </c>
      <c r="P244" s="161">
        <f t="shared" si="77"/>
        <v>2108</v>
      </c>
      <c r="Q244" s="161">
        <f t="shared" si="77"/>
        <v>2152</v>
      </c>
      <c r="R244" s="161">
        <f t="shared" si="77"/>
        <v>2156</v>
      </c>
      <c r="S244" s="281">
        <f t="shared" si="77"/>
        <v>2068</v>
      </c>
      <c r="T244" s="160"/>
      <c r="U244" s="161"/>
      <c r="V244" s="161"/>
      <c r="W244" s="282"/>
      <c r="X244" s="288"/>
      <c r="Y244" s="161"/>
      <c r="Z244" s="157"/>
      <c r="AA244" s="301"/>
      <c r="AB244" s="186"/>
    </row>
    <row r="245" spans="1:34" s="380" customFormat="1" ht="15.75">
      <c r="A245" s="382">
        <v>43476</v>
      </c>
      <c r="B245" s="64" t="s">
        <v>77</v>
      </c>
      <c r="C245" s="334">
        <v>5360</v>
      </c>
      <c r="D245" s="334">
        <v>5320</v>
      </c>
      <c r="E245" s="334">
        <v>5299</v>
      </c>
      <c r="F245" s="334">
        <v>5294</v>
      </c>
      <c r="G245" s="334">
        <v>5294</v>
      </c>
      <c r="H245" s="334">
        <v>5296</v>
      </c>
      <c r="I245" s="334">
        <v>5310</v>
      </c>
      <c r="J245" s="334">
        <v>5306</v>
      </c>
      <c r="K245" s="334">
        <v>5349</v>
      </c>
      <c r="L245" s="334">
        <v>5330</v>
      </c>
      <c r="M245" s="334">
        <v>5305</v>
      </c>
      <c r="N245" s="334">
        <v>5298</v>
      </c>
      <c r="O245" s="334">
        <v>5293</v>
      </c>
      <c r="P245" s="334">
        <v>5299</v>
      </c>
      <c r="Q245" s="334">
        <v>5301</v>
      </c>
      <c r="R245" s="334">
        <v>5314</v>
      </c>
      <c r="S245" s="334">
        <v>5345</v>
      </c>
      <c r="T245" s="64">
        <f>IF((S246=""),"",MAX(C247:S247))</f>
        <v>294</v>
      </c>
      <c r="U245" s="64">
        <f>IF(S246="","",MIN(C247:S247))</f>
        <v>202</v>
      </c>
      <c r="V245" s="64">
        <f>IF((S247=""),"",AVERAGE(C247:S247))</f>
        <v>264.58823529411762</v>
      </c>
      <c r="W245" s="383">
        <f>STDEV(C247:S247)</f>
        <v>29.109832581812881</v>
      </c>
      <c r="X245" s="64">
        <f>IF((S246=""),"",((T245-U245)/(T245+U245))*100)</f>
        <v>18.548387096774192</v>
      </c>
      <c r="Y245" s="75" t="str">
        <f>IF(S246="","",IF(X245&lt;15,IF(V245&gt;1680,IF(V245&lt;2200,"Pass","Fail"),"Fail"),"Fail"))</f>
        <v>Fail</v>
      </c>
      <c r="Z245" s="384">
        <v>1340</v>
      </c>
      <c r="AA245" s="368"/>
      <c r="AB245" s="392"/>
      <c r="AC245" s="132">
        <v>1600</v>
      </c>
      <c r="AD245" s="132">
        <v>2600</v>
      </c>
      <c r="AE245" s="158">
        <v>1690</v>
      </c>
      <c r="AF245" s="158">
        <v>2210</v>
      </c>
      <c r="AG245" s="154">
        <v>15</v>
      </c>
      <c r="AH245" s="154">
        <v>15</v>
      </c>
    </row>
    <row r="246" spans="1:34" s="380" customFormat="1" ht="15.75">
      <c r="A246" s="385"/>
      <c r="B246" s="64" t="s">
        <v>78</v>
      </c>
      <c r="C246" s="334">
        <v>5231</v>
      </c>
      <c r="D246" s="334">
        <v>5181</v>
      </c>
      <c r="E246" s="334">
        <v>5162</v>
      </c>
      <c r="F246" s="334">
        <v>5148</v>
      </c>
      <c r="G246" s="334">
        <v>5149</v>
      </c>
      <c r="H246" s="334">
        <v>5151</v>
      </c>
      <c r="I246" s="334">
        <v>5165</v>
      </c>
      <c r="J246" s="334">
        <v>5191</v>
      </c>
      <c r="K246" s="334">
        <v>5248</v>
      </c>
      <c r="L246" s="334">
        <v>5216</v>
      </c>
      <c r="M246" s="334">
        <v>5175</v>
      </c>
      <c r="N246" s="334">
        <v>5158</v>
      </c>
      <c r="O246" s="334">
        <v>5149</v>
      </c>
      <c r="P246" s="334">
        <v>5152</v>
      </c>
      <c r="Q246" s="334">
        <v>5166</v>
      </c>
      <c r="R246" s="334">
        <v>5185</v>
      </c>
      <c r="S246" s="334">
        <v>5237</v>
      </c>
      <c r="T246" s="332"/>
      <c r="U246" s="332"/>
      <c r="V246" s="332"/>
      <c r="W246" s="383"/>
      <c r="X246" s="332"/>
      <c r="Y246" s="332"/>
      <c r="Z246" s="384"/>
      <c r="AA246" s="368"/>
      <c r="AB246" s="348"/>
      <c r="AC246" s="381"/>
      <c r="AD246" s="381"/>
      <c r="AE246" s="381"/>
      <c r="AF246" s="381"/>
      <c r="AG246" s="379"/>
      <c r="AH246" s="379"/>
    </row>
    <row r="247" spans="1:34" s="380" customFormat="1" ht="60">
      <c r="A247" s="386"/>
      <c r="B247" s="64" t="s">
        <v>79</v>
      </c>
      <c r="C247" s="332">
        <f t="shared" ref="C247:S247" si="78">IF(((C245="")*AND(C246="")),"",(C245-C246)*2)</f>
        <v>258</v>
      </c>
      <c r="D247" s="332">
        <f t="shared" si="78"/>
        <v>278</v>
      </c>
      <c r="E247" s="332">
        <f t="shared" si="78"/>
        <v>274</v>
      </c>
      <c r="F247" s="332">
        <f t="shared" si="78"/>
        <v>292</v>
      </c>
      <c r="G247" s="332">
        <f t="shared" si="78"/>
        <v>290</v>
      </c>
      <c r="H247" s="332">
        <f t="shared" si="78"/>
        <v>290</v>
      </c>
      <c r="I247" s="332">
        <f t="shared" si="78"/>
        <v>290</v>
      </c>
      <c r="J247" s="332">
        <f t="shared" si="78"/>
        <v>230</v>
      </c>
      <c r="K247" s="332">
        <f t="shared" si="78"/>
        <v>202</v>
      </c>
      <c r="L247" s="332">
        <f t="shared" si="78"/>
        <v>228</v>
      </c>
      <c r="M247" s="332">
        <f t="shared" si="78"/>
        <v>260</v>
      </c>
      <c r="N247" s="332">
        <f t="shared" si="78"/>
        <v>280</v>
      </c>
      <c r="O247" s="332">
        <f t="shared" si="78"/>
        <v>288</v>
      </c>
      <c r="P247" s="332">
        <f t="shared" si="78"/>
        <v>294</v>
      </c>
      <c r="Q247" s="332">
        <f t="shared" si="78"/>
        <v>270</v>
      </c>
      <c r="R247" s="332">
        <f t="shared" si="78"/>
        <v>258</v>
      </c>
      <c r="S247" s="332">
        <f t="shared" si="78"/>
        <v>216</v>
      </c>
      <c r="T247" s="332"/>
      <c r="U247" s="332"/>
      <c r="V247" s="332"/>
      <c r="W247" s="333"/>
      <c r="X247" s="332"/>
      <c r="Y247" s="332"/>
      <c r="Z247" s="384"/>
      <c r="AA247" s="368"/>
      <c r="AB247" s="348"/>
      <c r="AC247" s="381"/>
      <c r="AD247" s="381"/>
      <c r="AE247" s="381"/>
      <c r="AF247" s="381"/>
      <c r="AG247" s="379"/>
      <c r="AH247" s="379"/>
    </row>
    <row r="248" spans="1:34" s="380" customFormat="1" ht="15.75">
      <c r="A248" s="382">
        <v>43480</v>
      </c>
      <c r="B248" s="64" t="s">
        <v>77</v>
      </c>
      <c r="C248" s="334">
        <v>5459</v>
      </c>
      <c r="D248" s="334">
        <v>5414</v>
      </c>
      <c r="E248" s="334">
        <v>5394</v>
      </c>
      <c r="F248" s="334">
        <v>5387</v>
      </c>
      <c r="G248" s="334">
        <v>5391</v>
      </c>
      <c r="H248" s="334">
        <v>5397</v>
      </c>
      <c r="I248" s="334">
        <v>5405</v>
      </c>
      <c r="J248" s="334">
        <v>5430</v>
      </c>
      <c r="K248" s="334">
        <v>5467</v>
      </c>
      <c r="L248" s="334">
        <v>5418</v>
      </c>
      <c r="M248" s="334">
        <v>5407</v>
      </c>
      <c r="N248" s="334">
        <v>5401</v>
      </c>
      <c r="O248" s="334">
        <v>5390</v>
      </c>
      <c r="P248" s="334">
        <v>5394</v>
      </c>
      <c r="Q248" s="334">
        <v>5399</v>
      </c>
      <c r="R248" s="334">
        <v>5406</v>
      </c>
      <c r="S248" s="334">
        <v>5444</v>
      </c>
      <c r="T248" s="64">
        <f>IF((S249=""),"",MAX(C250:S250))</f>
        <v>2162</v>
      </c>
      <c r="U248" s="64">
        <f>IF(S249="","",MIN(C250:S250))</f>
        <v>2028</v>
      </c>
      <c r="V248" s="64">
        <f>IF((S250=""),"",AVERAGE(C250:S250))</f>
        <v>2089.294117647059</v>
      </c>
      <c r="W248" s="383">
        <f>STDEV(C250:S250)</f>
        <v>34.618933955787611</v>
      </c>
      <c r="X248" s="64">
        <f>IF((S249=""),"",((T248-U248)/(T248+U248))*100)</f>
        <v>3.1980906921241052</v>
      </c>
      <c r="Y248" s="75" t="str">
        <f>IF(S249="","",IF(X248&lt;15,IF(V248&gt;1680,IF(V248&lt;2200,"Pass","Fail"),"Fail"),"Fail"))</f>
        <v>Pass</v>
      </c>
      <c r="Z248" s="384" t="s">
        <v>150</v>
      </c>
      <c r="AA248" s="368"/>
      <c r="AB248" s="392"/>
      <c r="AC248" s="132">
        <v>1600</v>
      </c>
      <c r="AD248" s="132">
        <v>2600</v>
      </c>
      <c r="AE248" s="158">
        <v>1690</v>
      </c>
      <c r="AF248" s="158">
        <v>2210</v>
      </c>
      <c r="AG248" s="154">
        <v>15</v>
      </c>
      <c r="AH248" s="154">
        <v>15</v>
      </c>
    </row>
    <row r="249" spans="1:34" s="380" customFormat="1" ht="15.75">
      <c r="A249" s="385"/>
      <c r="B249" s="64" t="s">
        <v>78</v>
      </c>
      <c r="C249" s="334">
        <v>4445</v>
      </c>
      <c r="D249" s="334">
        <v>4389</v>
      </c>
      <c r="E249" s="334">
        <v>4367</v>
      </c>
      <c r="F249" s="334">
        <v>4359</v>
      </c>
      <c r="G249" s="334">
        <v>4352</v>
      </c>
      <c r="H249" s="334">
        <v>4345</v>
      </c>
      <c r="I249" s="334">
        <v>4341</v>
      </c>
      <c r="J249" s="334">
        <v>4349</v>
      </c>
      <c r="K249" s="334">
        <v>4426</v>
      </c>
      <c r="L249" s="334">
        <v>4372</v>
      </c>
      <c r="M249" s="334">
        <v>4339</v>
      </c>
      <c r="N249" s="334">
        <v>4342</v>
      </c>
      <c r="O249" s="334">
        <v>4347</v>
      </c>
      <c r="P249" s="334">
        <v>4349</v>
      </c>
      <c r="Q249" s="334">
        <v>4348</v>
      </c>
      <c r="R249" s="334">
        <v>4358</v>
      </c>
      <c r="S249" s="334">
        <v>4416</v>
      </c>
      <c r="T249" s="332"/>
      <c r="U249" s="332"/>
      <c r="V249" s="332"/>
      <c r="W249" s="383"/>
      <c r="X249" s="332"/>
      <c r="Y249" s="332"/>
      <c r="Z249" s="384"/>
      <c r="AA249" s="368"/>
      <c r="AB249" s="348"/>
      <c r="AC249" s="381"/>
      <c r="AD249" s="381"/>
      <c r="AE249" s="381"/>
      <c r="AF249" s="381"/>
      <c r="AG249" s="379"/>
      <c r="AH249" s="379"/>
    </row>
    <row r="250" spans="1:34" s="380" customFormat="1" ht="60">
      <c r="A250" s="386"/>
      <c r="B250" s="64" t="s">
        <v>79</v>
      </c>
      <c r="C250" s="332">
        <f t="shared" ref="C250:S250" si="79">IF(((C248="")*AND(C249="")),"",(C248-C249)*2)</f>
        <v>2028</v>
      </c>
      <c r="D250" s="332">
        <f t="shared" si="79"/>
        <v>2050</v>
      </c>
      <c r="E250" s="332">
        <f t="shared" si="79"/>
        <v>2054</v>
      </c>
      <c r="F250" s="332">
        <f t="shared" si="79"/>
        <v>2056</v>
      </c>
      <c r="G250" s="332">
        <f t="shared" si="79"/>
        <v>2078</v>
      </c>
      <c r="H250" s="332">
        <f t="shared" si="79"/>
        <v>2104</v>
      </c>
      <c r="I250" s="332">
        <f t="shared" si="79"/>
        <v>2128</v>
      </c>
      <c r="J250" s="332">
        <f t="shared" si="79"/>
        <v>2162</v>
      </c>
      <c r="K250" s="332">
        <f t="shared" si="79"/>
        <v>2082</v>
      </c>
      <c r="L250" s="332">
        <f t="shared" si="79"/>
        <v>2092</v>
      </c>
      <c r="M250" s="332">
        <f t="shared" si="79"/>
        <v>2136</v>
      </c>
      <c r="N250" s="332">
        <f t="shared" si="79"/>
        <v>2118</v>
      </c>
      <c r="O250" s="332">
        <f t="shared" si="79"/>
        <v>2086</v>
      </c>
      <c r="P250" s="332">
        <f t="shared" si="79"/>
        <v>2090</v>
      </c>
      <c r="Q250" s="332">
        <f t="shared" si="79"/>
        <v>2102</v>
      </c>
      <c r="R250" s="332">
        <f t="shared" si="79"/>
        <v>2096</v>
      </c>
      <c r="S250" s="332">
        <f t="shared" si="79"/>
        <v>2056</v>
      </c>
      <c r="T250" s="332"/>
      <c r="U250" s="332"/>
      <c r="V250" s="332"/>
      <c r="W250" s="333"/>
      <c r="X250" s="332"/>
      <c r="Y250" s="332"/>
      <c r="Z250" s="384"/>
      <c r="AA250" s="368"/>
      <c r="AB250" s="348"/>
      <c r="AC250" s="381"/>
      <c r="AD250" s="381"/>
      <c r="AE250" s="381"/>
      <c r="AF250" s="381"/>
      <c r="AG250" s="379"/>
      <c r="AH250" s="379"/>
    </row>
    <row r="251" spans="1:34" s="380" customFormat="1" ht="15.75">
      <c r="A251" s="382">
        <v>43487</v>
      </c>
      <c r="B251" s="64" t="s">
        <v>77</v>
      </c>
      <c r="C251" s="348">
        <v>5371.37</v>
      </c>
      <c r="D251" s="348">
        <v>5356.65</v>
      </c>
      <c r="E251" s="348">
        <v>5343.26</v>
      </c>
      <c r="F251" s="348">
        <v>5334.38</v>
      </c>
      <c r="G251" s="348">
        <v>5344.82</v>
      </c>
      <c r="H251" s="348">
        <v>5350.4</v>
      </c>
      <c r="I251" s="348">
        <v>5345.67</v>
      </c>
      <c r="J251" s="348">
        <v>5356.68</v>
      </c>
      <c r="K251" s="348">
        <v>5380.77</v>
      </c>
      <c r="L251" s="348">
        <v>5355.85</v>
      </c>
      <c r="M251" s="348">
        <v>5340.27</v>
      </c>
      <c r="N251" s="348">
        <v>5343.11</v>
      </c>
      <c r="O251" s="348">
        <v>5331.62</v>
      </c>
      <c r="P251" s="348">
        <v>5339.21</v>
      </c>
      <c r="Q251" s="348">
        <v>5341.65</v>
      </c>
      <c r="R251" s="348">
        <v>5350.08</v>
      </c>
      <c r="S251" s="348">
        <v>5364.21</v>
      </c>
      <c r="T251" s="64">
        <f>IF((S252=""),"",MAX(C253:S253))</f>
        <v>2150.6399999999994</v>
      </c>
      <c r="U251" s="64">
        <f>IF(S252="","",MIN(C253:S253))</f>
        <v>2071.1999999999989</v>
      </c>
      <c r="V251" s="64">
        <f>IF((S253=""),"",AVERAGE(C253:S253))</f>
        <v>2102.2717647058826</v>
      </c>
      <c r="W251" s="383">
        <f>STDEV(C253:S253)</f>
        <v>20.173545869289747</v>
      </c>
      <c r="X251" s="64">
        <f>IF((S252=""),"",((T251-U251)/(T251+U251))*100)</f>
        <v>1.8816440225115243</v>
      </c>
      <c r="Y251" s="75" t="str">
        <f>IF(S252="","",IF(X251&lt;15,IF(V251&gt;1680,IF(V251&lt;2200,"Pass","Fail"),"Fail"),"Fail"))</f>
        <v>Pass</v>
      </c>
      <c r="Z251" s="384">
        <v>1335</v>
      </c>
      <c r="AA251" s="368" t="s">
        <v>160</v>
      </c>
      <c r="AB251" s="392"/>
      <c r="AC251" s="132">
        <v>1600</v>
      </c>
      <c r="AD251" s="132">
        <v>2600</v>
      </c>
      <c r="AE251" s="158">
        <v>1690</v>
      </c>
      <c r="AF251" s="158">
        <v>2210</v>
      </c>
      <c r="AG251" s="154">
        <v>15</v>
      </c>
      <c r="AH251" s="154">
        <v>15</v>
      </c>
    </row>
    <row r="252" spans="1:34" s="380" customFormat="1" ht="15.75">
      <c r="A252" s="385"/>
      <c r="B252" s="64" t="s">
        <v>78</v>
      </c>
      <c r="C252" s="348">
        <v>4296.05</v>
      </c>
      <c r="D252" s="348">
        <v>4285.32</v>
      </c>
      <c r="E252" s="348">
        <v>4287.38</v>
      </c>
      <c r="F252" s="348">
        <v>4287.49</v>
      </c>
      <c r="G252" s="348">
        <v>4294.6099999999997</v>
      </c>
      <c r="H252" s="348">
        <v>4294.1099999999997</v>
      </c>
      <c r="I252" s="348">
        <v>4300.68</v>
      </c>
      <c r="J252" s="348">
        <v>4314.99</v>
      </c>
      <c r="K252" s="348">
        <v>4335.82</v>
      </c>
      <c r="L252" s="348">
        <v>4305.96</v>
      </c>
      <c r="M252" s="348">
        <v>4297.63</v>
      </c>
      <c r="N252" s="348">
        <v>4292.6899999999996</v>
      </c>
      <c r="O252" s="348">
        <v>4296.0200000000004</v>
      </c>
      <c r="P252" s="348">
        <v>4294.29</v>
      </c>
      <c r="Q252" s="348">
        <v>4291.6499999999996</v>
      </c>
      <c r="R252" s="348">
        <v>4292.17</v>
      </c>
      <c r="S252" s="348">
        <v>4313.83</v>
      </c>
      <c r="T252" s="332"/>
      <c r="U252" s="332"/>
      <c r="V252" s="332"/>
      <c r="W252" s="383"/>
      <c r="X252" s="332"/>
      <c r="Y252" s="332"/>
      <c r="Z252" s="384"/>
      <c r="AA252" s="368"/>
      <c r="AB252" s="348"/>
      <c r="AC252" s="381"/>
      <c r="AD252" s="381"/>
      <c r="AE252" s="381"/>
      <c r="AF252" s="381"/>
      <c r="AG252" s="379"/>
      <c r="AH252" s="379"/>
    </row>
    <row r="253" spans="1:34" s="380" customFormat="1" ht="60">
      <c r="A253" s="386"/>
      <c r="B253" s="64" t="s">
        <v>79</v>
      </c>
      <c r="C253" s="332">
        <f t="shared" ref="C253:S253" si="80">IF(((C251="")*AND(C252="")),"",(C251-C252)*2)</f>
        <v>2150.6399999999994</v>
      </c>
      <c r="D253" s="332">
        <f t="shared" si="80"/>
        <v>2142.66</v>
      </c>
      <c r="E253" s="332">
        <f t="shared" si="80"/>
        <v>2111.7600000000002</v>
      </c>
      <c r="F253" s="332">
        <f t="shared" si="80"/>
        <v>2093.7800000000007</v>
      </c>
      <c r="G253" s="332">
        <f t="shared" si="80"/>
        <v>2100.42</v>
      </c>
      <c r="H253" s="332">
        <f t="shared" si="80"/>
        <v>2112.58</v>
      </c>
      <c r="I253" s="332">
        <f t="shared" si="80"/>
        <v>2089.9799999999996</v>
      </c>
      <c r="J253" s="332">
        <f t="shared" si="80"/>
        <v>2083.380000000001</v>
      </c>
      <c r="K253" s="332">
        <f t="shared" si="80"/>
        <v>2089.9000000000015</v>
      </c>
      <c r="L253" s="332">
        <f t="shared" si="80"/>
        <v>2099.7800000000007</v>
      </c>
      <c r="M253" s="332">
        <f t="shared" si="80"/>
        <v>2085.2800000000007</v>
      </c>
      <c r="N253" s="332">
        <f t="shared" si="80"/>
        <v>2100.84</v>
      </c>
      <c r="O253" s="332">
        <f t="shared" si="80"/>
        <v>2071.1999999999989</v>
      </c>
      <c r="P253" s="332">
        <f t="shared" si="80"/>
        <v>2089.84</v>
      </c>
      <c r="Q253" s="332">
        <f t="shared" si="80"/>
        <v>2100</v>
      </c>
      <c r="R253" s="332">
        <f t="shared" si="80"/>
        <v>2115.8199999999997</v>
      </c>
      <c r="S253" s="332">
        <f t="shared" si="80"/>
        <v>2100.7600000000002</v>
      </c>
      <c r="T253" s="332"/>
      <c r="U253" s="332"/>
      <c r="V253" s="332"/>
      <c r="W253" s="333"/>
      <c r="X253" s="332"/>
      <c r="Y253" s="332"/>
      <c r="Z253" s="384"/>
      <c r="AA253" s="368"/>
      <c r="AB253" s="348"/>
      <c r="AC253" s="381"/>
      <c r="AD253" s="381"/>
      <c r="AE253" s="381"/>
      <c r="AF253" s="381"/>
      <c r="AG253" s="379"/>
      <c r="AH253" s="379"/>
    </row>
    <row r="254" spans="1:34" s="380" customFormat="1" ht="15.75">
      <c r="A254" s="382">
        <v>43493</v>
      </c>
      <c r="B254" s="64" t="s">
        <v>77</v>
      </c>
      <c r="C254" s="366">
        <v>5280</v>
      </c>
      <c r="D254" s="367">
        <v>5252</v>
      </c>
      <c r="E254" s="367">
        <v>5238</v>
      </c>
      <c r="F254" s="367">
        <v>5230</v>
      </c>
      <c r="G254" s="367">
        <v>5232</v>
      </c>
      <c r="H254" s="367">
        <v>5233</v>
      </c>
      <c r="I254" s="367">
        <v>5246</v>
      </c>
      <c r="J254" s="367">
        <v>5258</v>
      </c>
      <c r="K254" s="367">
        <v>5301</v>
      </c>
      <c r="L254" s="367">
        <v>5275</v>
      </c>
      <c r="M254" s="367">
        <v>5256</v>
      </c>
      <c r="N254" s="367">
        <v>5243</v>
      </c>
      <c r="O254" s="367">
        <v>5238</v>
      </c>
      <c r="P254" s="367">
        <v>5233</v>
      </c>
      <c r="Q254" s="367">
        <v>5233</v>
      </c>
      <c r="R254" s="367">
        <v>5252</v>
      </c>
      <c r="S254" s="367">
        <v>5261</v>
      </c>
      <c r="T254" s="64">
        <f>IF((S255=""),"",MAX(C256:S256))</f>
        <v>2178</v>
      </c>
      <c r="U254" s="64">
        <f>IF(S255="","",MIN(C256:S256))</f>
        <v>2012</v>
      </c>
      <c r="V254" s="64">
        <f>IF((S256=""),"",AVERAGE(C256:S256))</f>
        <v>2108.4705882352941</v>
      </c>
      <c r="W254" s="383">
        <f>STDEV(C256:S256)</f>
        <v>42.25239290125954</v>
      </c>
      <c r="X254" s="64">
        <f>IF((S255=""),"",((T254-U254)/(T254+U254))*100)</f>
        <v>3.9618138424821003</v>
      </c>
      <c r="Y254" s="75" t="str">
        <f>IF(S255="","",IF(X254&lt;15,IF(V254&gt;1680,IF(V254&lt;2200,"Pass","Fail"),"Fail"),"Fail"))</f>
        <v>Pass</v>
      </c>
      <c r="Z254" s="387" t="s">
        <v>98</v>
      </c>
      <c r="AA254" s="368" t="s">
        <v>161</v>
      </c>
      <c r="AB254" s="392"/>
      <c r="AC254" s="132">
        <v>1600</v>
      </c>
      <c r="AD254" s="132">
        <v>2600</v>
      </c>
      <c r="AE254" s="158">
        <v>1690</v>
      </c>
      <c r="AF254" s="158">
        <v>2210</v>
      </c>
      <c r="AG254" s="154">
        <v>15</v>
      </c>
      <c r="AH254" s="154">
        <v>15</v>
      </c>
    </row>
    <row r="255" spans="1:34" s="380" customFormat="1" ht="15.75">
      <c r="A255" s="385"/>
      <c r="B255" s="64" t="s">
        <v>78</v>
      </c>
      <c r="C255" s="366">
        <v>4274</v>
      </c>
      <c r="D255" s="367">
        <v>4218</v>
      </c>
      <c r="E255" s="367">
        <v>4198</v>
      </c>
      <c r="F255" s="367">
        <v>4194</v>
      </c>
      <c r="G255" s="367">
        <v>4185</v>
      </c>
      <c r="H255" s="367">
        <v>4171</v>
      </c>
      <c r="I255" s="367">
        <v>4163</v>
      </c>
      <c r="J255" s="367">
        <v>4169</v>
      </c>
      <c r="K255" s="367">
        <v>4249</v>
      </c>
      <c r="L255" s="367">
        <v>4233</v>
      </c>
      <c r="M255" s="367">
        <v>4179</v>
      </c>
      <c r="N255" s="367">
        <v>4170</v>
      </c>
      <c r="O255" s="367">
        <v>4178</v>
      </c>
      <c r="P255" s="367">
        <v>4178</v>
      </c>
      <c r="Q255" s="367">
        <v>4175</v>
      </c>
      <c r="R255" s="367">
        <v>4180</v>
      </c>
      <c r="S255" s="367">
        <v>4225</v>
      </c>
      <c r="T255" s="332"/>
      <c r="U255" s="332"/>
      <c r="V255" s="332"/>
      <c r="W255" s="383"/>
      <c r="X255" s="332"/>
      <c r="Y255" s="332"/>
      <c r="Z255" s="384"/>
      <c r="AA255" s="368"/>
      <c r="AB255" s="348"/>
      <c r="AC255" s="381"/>
      <c r="AD255" s="381"/>
      <c r="AE255" s="381"/>
      <c r="AF255" s="381"/>
      <c r="AG255" s="379"/>
      <c r="AH255" s="379"/>
    </row>
    <row r="256" spans="1:34" s="380" customFormat="1" ht="60">
      <c r="A256" s="386"/>
      <c r="B256" s="64" t="s">
        <v>79</v>
      </c>
      <c r="C256" s="332">
        <f t="shared" ref="C256:S256" si="81">IF(((C254="")*AND(C255="")),"",(C254-C255)*2)</f>
        <v>2012</v>
      </c>
      <c r="D256" s="332">
        <f t="shared" si="81"/>
        <v>2068</v>
      </c>
      <c r="E256" s="332">
        <f t="shared" si="81"/>
        <v>2080</v>
      </c>
      <c r="F256" s="332">
        <f t="shared" si="81"/>
        <v>2072</v>
      </c>
      <c r="G256" s="332">
        <f t="shared" si="81"/>
        <v>2094</v>
      </c>
      <c r="H256" s="332">
        <f t="shared" si="81"/>
        <v>2124</v>
      </c>
      <c r="I256" s="332">
        <f t="shared" si="81"/>
        <v>2166</v>
      </c>
      <c r="J256" s="332">
        <f t="shared" si="81"/>
        <v>2178</v>
      </c>
      <c r="K256" s="332">
        <f t="shared" si="81"/>
        <v>2104</v>
      </c>
      <c r="L256" s="332">
        <f t="shared" si="81"/>
        <v>2084</v>
      </c>
      <c r="M256" s="332">
        <f t="shared" si="81"/>
        <v>2154</v>
      </c>
      <c r="N256" s="332">
        <f t="shared" si="81"/>
        <v>2146</v>
      </c>
      <c r="O256" s="332">
        <f t="shared" si="81"/>
        <v>2120</v>
      </c>
      <c r="P256" s="332">
        <f t="shared" si="81"/>
        <v>2110</v>
      </c>
      <c r="Q256" s="332">
        <f t="shared" si="81"/>
        <v>2116</v>
      </c>
      <c r="R256" s="332">
        <f t="shared" si="81"/>
        <v>2144</v>
      </c>
      <c r="S256" s="332">
        <f t="shared" si="81"/>
        <v>2072</v>
      </c>
      <c r="T256" s="332"/>
      <c r="U256" s="332"/>
      <c r="V256" s="332"/>
      <c r="W256" s="333"/>
      <c r="X256" s="332"/>
      <c r="Y256" s="332"/>
      <c r="Z256" s="384"/>
      <c r="AA256" s="368"/>
      <c r="AB256" s="348"/>
      <c r="AC256" s="381"/>
      <c r="AD256" s="381"/>
      <c r="AE256" s="381"/>
      <c r="AF256" s="381"/>
      <c r="AG256" s="379"/>
      <c r="AH256" s="379"/>
    </row>
    <row r="257" spans="1:34" s="380" customFormat="1" ht="15.75">
      <c r="A257" s="340">
        <v>43497</v>
      </c>
      <c r="B257" s="64" t="s">
        <v>77</v>
      </c>
      <c r="C257" s="348">
        <v>5271.28</v>
      </c>
      <c r="D257" s="348">
        <v>5248.98</v>
      </c>
      <c r="E257" s="348">
        <v>5247.16</v>
      </c>
      <c r="F257" s="348">
        <v>5243.01</v>
      </c>
      <c r="G257" s="348">
        <v>5239.08</v>
      </c>
      <c r="H257" s="348">
        <v>5234.54</v>
      </c>
      <c r="I257" s="348">
        <v>5251.87</v>
      </c>
      <c r="J257" s="348">
        <v>5262.49</v>
      </c>
      <c r="K257" s="348">
        <v>5277.7</v>
      </c>
      <c r="L257" s="348">
        <v>5261.55</v>
      </c>
      <c r="M257" s="348">
        <v>5249.58</v>
      </c>
      <c r="N257" s="348">
        <v>5246.85</v>
      </c>
      <c r="O257" s="348">
        <v>5236.34</v>
      </c>
      <c r="P257" s="348">
        <v>5237.46</v>
      </c>
      <c r="Q257" s="348">
        <v>5243.12</v>
      </c>
      <c r="R257" s="348">
        <v>5257.12</v>
      </c>
      <c r="S257" s="348">
        <v>5261.44</v>
      </c>
      <c r="T257" s="64">
        <f>IF((S258=""),"",MAX(C259:S259))</f>
        <v>2158.1800000000003</v>
      </c>
      <c r="U257" s="64">
        <f>IF(S258="","",MIN(C259:S259))</f>
        <v>2045.5199999999986</v>
      </c>
      <c r="V257" s="64">
        <f>IF((S259=""),"",AVERAGE(C259:S259))</f>
        <v>2096.9588235294113</v>
      </c>
      <c r="W257" s="383">
        <f>STDEV(C259:S259)</f>
        <v>33.208341174015246</v>
      </c>
      <c r="X257" s="64">
        <f>IF((S258=""),"",((T257-U257)/(T257+U257))*100)</f>
        <v>2.6800199823965007</v>
      </c>
      <c r="Y257" s="75" t="str">
        <f>IF(S258="","",IF(X257&lt;15,IF(V257&gt;1680,IF(V257&lt;2200,"Pass","Fail"),"Fail"),"Fail"))</f>
        <v>Pass</v>
      </c>
      <c r="Z257" s="387">
        <v>121</v>
      </c>
      <c r="AA257" s="368" t="s">
        <v>162</v>
      </c>
      <c r="AB257" s="392"/>
      <c r="AC257" s="132">
        <v>1600</v>
      </c>
      <c r="AD257" s="132">
        <v>2600</v>
      </c>
      <c r="AE257" s="158">
        <v>1690</v>
      </c>
      <c r="AF257" s="158">
        <v>2210</v>
      </c>
      <c r="AG257" s="154">
        <v>15</v>
      </c>
      <c r="AH257" s="154">
        <v>15</v>
      </c>
    </row>
    <row r="258" spans="1:34" s="380" customFormat="1" ht="15.75">
      <c r="A258" s="385"/>
      <c r="B258" s="64" t="s">
        <v>78</v>
      </c>
      <c r="C258" s="348">
        <v>4240.0600000000004</v>
      </c>
      <c r="D258" s="348">
        <v>4226.22</v>
      </c>
      <c r="E258" s="348">
        <v>4209.18</v>
      </c>
      <c r="F258" s="348">
        <v>4210.03</v>
      </c>
      <c r="G258" s="348">
        <v>4199.63</v>
      </c>
      <c r="H258" s="348">
        <v>4185.7700000000004</v>
      </c>
      <c r="I258" s="348">
        <v>4174.43</v>
      </c>
      <c r="J258" s="348">
        <v>4183.3999999999996</v>
      </c>
      <c r="K258" s="348">
        <v>4199.28</v>
      </c>
      <c r="L258" s="348">
        <v>4208.1400000000003</v>
      </c>
      <c r="M258" s="348">
        <v>4197.84</v>
      </c>
      <c r="N258" s="348">
        <v>4195.5600000000004</v>
      </c>
      <c r="O258" s="348">
        <v>4198.75</v>
      </c>
      <c r="P258" s="348">
        <v>4199.29</v>
      </c>
      <c r="Q258" s="348">
        <v>4191.4799999999996</v>
      </c>
      <c r="R258" s="348">
        <v>4205.6099999999997</v>
      </c>
      <c r="S258" s="348">
        <v>4220.75</v>
      </c>
      <c r="T258" s="332"/>
      <c r="U258" s="332"/>
      <c r="V258" s="332"/>
      <c r="W258" s="383"/>
      <c r="X258" s="332"/>
      <c r="Y258" s="332"/>
      <c r="Z258" s="384"/>
      <c r="AA258" s="368"/>
      <c r="AB258" s="348"/>
      <c r="AC258" s="381"/>
      <c r="AD258" s="381"/>
      <c r="AE258" s="381"/>
      <c r="AF258" s="381"/>
      <c r="AG258" s="379"/>
      <c r="AH258" s="379"/>
    </row>
    <row r="259" spans="1:34" s="380" customFormat="1" ht="60">
      <c r="A259" s="386"/>
      <c r="B259" s="64" t="s">
        <v>79</v>
      </c>
      <c r="C259" s="332">
        <f t="shared" ref="C259:S259" si="82">IF(((C257="")*AND(C258="")),"",(C257-C258)*2)</f>
        <v>2062.4399999999987</v>
      </c>
      <c r="D259" s="332">
        <f t="shared" si="82"/>
        <v>2045.5199999999986</v>
      </c>
      <c r="E259" s="332">
        <f t="shared" si="82"/>
        <v>2075.9599999999991</v>
      </c>
      <c r="F259" s="332">
        <f t="shared" si="82"/>
        <v>2065.9600000000009</v>
      </c>
      <c r="G259" s="332">
        <f t="shared" si="82"/>
        <v>2078.8999999999996</v>
      </c>
      <c r="H259" s="332">
        <f t="shared" si="82"/>
        <v>2097.5399999999991</v>
      </c>
      <c r="I259" s="332">
        <f t="shared" si="82"/>
        <v>2154.8799999999992</v>
      </c>
      <c r="J259" s="332">
        <f t="shared" si="82"/>
        <v>2158.1800000000003</v>
      </c>
      <c r="K259" s="332">
        <f t="shared" si="82"/>
        <v>2156.84</v>
      </c>
      <c r="L259" s="332">
        <f t="shared" si="82"/>
        <v>2106.8199999999997</v>
      </c>
      <c r="M259" s="332">
        <f t="shared" si="82"/>
        <v>2103.4799999999996</v>
      </c>
      <c r="N259" s="332">
        <f t="shared" si="82"/>
        <v>2102.58</v>
      </c>
      <c r="O259" s="332">
        <f t="shared" si="82"/>
        <v>2075.1800000000003</v>
      </c>
      <c r="P259" s="332">
        <f t="shared" si="82"/>
        <v>2076.34</v>
      </c>
      <c r="Q259" s="332">
        <f t="shared" si="82"/>
        <v>2103.2800000000007</v>
      </c>
      <c r="R259" s="332">
        <f t="shared" si="82"/>
        <v>2103.0200000000004</v>
      </c>
      <c r="S259" s="332">
        <f t="shared" si="82"/>
        <v>2081.3799999999992</v>
      </c>
      <c r="T259" s="332"/>
      <c r="U259" s="332"/>
      <c r="V259" s="332"/>
      <c r="W259" s="333"/>
      <c r="X259" s="332"/>
      <c r="Y259" s="332"/>
      <c r="Z259" s="384"/>
      <c r="AA259" s="368"/>
      <c r="AB259" s="348"/>
      <c r="AC259" s="381"/>
      <c r="AD259" s="381"/>
      <c r="AE259" s="381"/>
      <c r="AF259" s="381"/>
      <c r="AG259" s="379"/>
      <c r="AH259" s="379"/>
    </row>
    <row r="260" spans="1:34" s="380" customFormat="1" ht="15.75">
      <c r="A260" s="340">
        <v>43502</v>
      </c>
      <c r="B260" s="64" t="s">
        <v>77</v>
      </c>
      <c r="C260" s="366">
        <v>5342.85</v>
      </c>
      <c r="D260" s="367">
        <v>5306.3</v>
      </c>
      <c r="E260" s="367">
        <v>5287.58</v>
      </c>
      <c r="F260" s="367">
        <v>5270.74</v>
      </c>
      <c r="G260" s="367">
        <v>5281.25</v>
      </c>
      <c r="H260" s="367">
        <v>5281.25</v>
      </c>
      <c r="I260" s="367">
        <v>5293.92</v>
      </c>
      <c r="J260" s="367">
        <v>5308.26</v>
      </c>
      <c r="K260" s="367">
        <v>5344.48</v>
      </c>
      <c r="L260" s="367">
        <v>5311.73</v>
      </c>
      <c r="M260" s="367">
        <v>5295.65</v>
      </c>
      <c r="N260" s="367">
        <v>5285.11</v>
      </c>
      <c r="O260" s="367">
        <v>5281.43</v>
      </c>
      <c r="P260" s="367">
        <v>5279.67</v>
      </c>
      <c r="Q260" s="367">
        <v>5285.75</v>
      </c>
      <c r="R260" s="367">
        <v>5295.27</v>
      </c>
      <c r="S260" s="388">
        <v>5325.96</v>
      </c>
      <c r="T260" s="64">
        <f>IF((S261=""),"",MAX(C262:S262))</f>
        <v>2156.7600000000002</v>
      </c>
      <c r="U260" s="64">
        <f>IF(S261="","",MIN(C262:S262))</f>
        <v>1893.880000000001</v>
      </c>
      <c r="V260" s="64">
        <f>IF((S262=""),"",AVERAGE(C262:S262))</f>
        <v>2035.6282352941173</v>
      </c>
      <c r="W260" s="383">
        <f>STDEV(C262:S262)</f>
        <v>88.919646327140441</v>
      </c>
      <c r="X260" s="64">
        <f>IF((S261=""),"",((T260-U260)/(T260+U260))*100)</f>
        <v>6.4898386427823525</v>
      </c>
      <c r="Y260" s="75" t="str">
        <f>IF(S261="","",IF(X260&lt;15,IF(V260&gt;1680,IF(V260&lt;2200,"Pass","Fail"),"Fail"),"Fail"))</f>
        <v>Pass</v>
      </c>
      <c r="Z260" s="387">
        <v>102</v>
      </c>
      <c r="AA260" s="368" t="s">
        <v>163</v>
      </c>
      <c r="AB260" s="392"/>
      <c r="AC260" s="132">
        <v>1600</v>
      </c>
      <c r="AD260" s="132">
        <v>2600</v>
      </c>
      <c r="AE260" s="158">
        <v>1690</v>
      </c>
      <c r="AF260" s="158">
        <v>2210</v>
      </c>
      <c r="AG260" s="154">
        <v>15</v>
      </c>
      <c r="AH260" s="154">
        <v>15</v>
      </c>
    </row>
    <row r="261" spans="1:34" s="380" customFormat="1" ht="15.75">
      <c r="A261" s="385"/>
      <c r="B261" s="64" t="s">
        <v>78</v>
      </c>
      <c r="C261" s="366">
        <v>4395.91</v>
      </c>
      <c r="D261" s="367">
        <v>4335.45</v>
      </c>
      <c r="E261" s="367">
        <v>4317.5</v>
      </c>
      <c r="F261" s="367">
        <v>4308.16</v>
      </c>
      <c r="G261" s="367">
        <v>4252.45</v>
      </c>
      <c r="H261" s="367">
        <v>4233.2299999999996</v>
      </c>
      <c r="I261" s="367">
        <v>4221.88</v>
      </c>
      <c r="J261" s="367">
        <v>4229.88</v>
      </c>
      <c r="K261" s="367">
        <v>4357.05</v>
      </c>
      <c r="L261" s="367">
        <v>4337.8</v>
      </c>
      <c r="M261" s="367">
        <v>4235.6499999999996</v>
      </c>
      <c r="N261" s="367">
        <v>4229.45</v>
      </c>
      <c r="O261" s="367">
        <v>4235.3599999999997</v>
      </c>
      <c r="P261" s="367">
        <v>4239.3</v>
      </c>
      <c r="Q261" s="367">
        <v>4243.07</v>
      </c>
      <c r="R261" s="367">
        <v>4245.13</v>
      </c>
      <c r="S261" s="388">
        <v>4357.09</v>
      </c>
      <c r="T261" s="332"/>
      <c r="U261" s="332"/>
      <c r="V261" s="332"/>
      <c r="W261" s="383"/>
      <c r="X261" s="332"/>
      <c r="Y261" s="332"/>
      <c r="Z261" s="384"/>
      <c r="AA261" s="368"/>
      <c r="AB261" s="348"/>
      <c r="AC261" s="381"/>
      <c r="AD261" s="381"/>
      <c r="AE261" s="381"/>
      <c r="AF261" s="381"/>
      <c r="AG261" s="379"/>
      <c r="AH261" s="379"/>
    </row>
    <row r="262" spans="1:34" s="380" customFormat="1" ht="60">
      <c r="A262" s="386"/>
      <c r="B262" s="64" t="s">
        <v>79</v>
      </c>
      <c r="C262" s="332">
        <f t="shared" ref="C262:S262" si="83">IF(((C260="")*AND(C261="")),"",(C260-C261)*2)</f>
        <v>1893.880000000001</v>
      </c>
      <c r="D262" s="332">
        <f t="shared" si="83"/>
        <v>1941.7000000000007</v>
      </c>
      <c r="E262" s="332">
        <f t="shared" si="83"/>
        <v>1940.1599999999999</v>
      </c>
      <c r="F262" s="332">
        <f t="shared" si="83"/>
        <v>1925.1599999999999</v>
      </c>
      <c r="G262" s="332">
        <f t="shared" si="83"/>
        <v>2057.6000000000004</v>
      </c>
      <c r="H262" s="332">
        <f t="shared" si="83"/>
        <v>2096.0400000000009</v>
      </c>
      <c r="I262" s="332">
        <f>IF(((I260="")*AND(I261="")),"",(I260-I261)*2)</f>
        <v>2144.08</v>
      </c>
      <c r="J262" s="332">
        <f>IF(((J260="")*AND(J261="")),"",(J260-J261)*2)</f>
        <v>2156.7600000000002</v>
      </c>
      <c r="K262" s="332">
        <f>IF(((K260="")*AND(K261="")),"",(K260-K261)*2)</f>
        <v>1974.8599999999988</v>
      </c>
      <c r="L262" s="332">
        <f>IF(((L260="")*AND(L261="")),"",(L260-L261)*2)</f>
        <v>1947.8599999999988</v>
      </c>
      <c r="M262" s="332">
        <f t="shared" si="83"/>
        <v>2120</v>
      </c>
      <c r="N262" s="332">
        <f t="shared" si="83"/>
        <v>2111.3199999999997</v>
      </c>
      <c r="O262" s="332">
        <f t="shared" si="83"/>
        <v>2092.1400000000012</v>
      </c>
      <c r="P262" s="332">
        <f t="shared" si="83"/>
        <v>2080.7399999999998</v>
      </c>
      <c r="Q262" s="332">
        <f t="shared" si="83"/>
        <v>2085.3600000000006</v>
      </c>
      <c r="R262" s="332">
        <f t="shared" si="83"/>
        <v>2100.2800000000007</v>
      </c>
      <c r="S262" s="332">
        <f t="shared" si="83"/>
        <v>1937.7399999999998</v>
      </c>
      <c r="T262" s="332"/>
      <c r="U262" s="332"/>
      <c r="V262" s="332"/>
      <c r="W262" s="333"/>
      <c r="X262" s="332"/>
      <c r="Y262" s="332"/>
      <c r="Z262" s="384"/>
      <c r="AA262" s="368"/>
      <c r="AB262" s="348"/>
      <c r="AC262" s="381"/>
      <c r="AD262" s="381"/>
      <c r="AE262" s="381"/>
      <c r="AF262" s="381"/>
      <c r="AG262" s="379"/>
      <c r="AH262" s="379"/>
    </row>
    <row r="263" spans="1:34" s="380" customFormat="1" ht="15.75">
      <c r="A263" s="340">
        <v>43507</v>
      </c>
      <c r="B263" s="64" t="s">
        <v>77</v>
      </c>
      <c r="C263" s="348">
        <v>5253.28</v>
      </c>
      <c r="D263" s="348">
        <v>5234.1099999999997</v>
      </c>
      <c r="E263" s="348">
        <v>5231.09</v>
      </c>
      <c r="F263" s="348">
        <v>5218.1899999999996</v>
      </c>
      <c r="G263" s="348">
        <v>5225.75</v>
      </c>
      <c r="H263" s="348">
        <v>5229.09</v>
      </c>
      <c r="I263" s="348">
        <v>5230.16</v>
      </c>
      <c r="J263" s="348">
        <v>5248.25</v>
      </c>
      <c r="K263" s="348">
        <v>5259.26</v>
      </c>
      <c r="L263" s="348">
        <v>5254.72</v>
      </c>
      <c r="M263" s="348">
        <v>5236.34</v>
      </c>
      <c r="N263" s="348">
        <v>5230.6899999999996</v>
      </c>
      <c r="O263" s="348">
        <v>5225.6899999999996</v>
      </c>
      <c r="P263" s="348">
        <v>5223.22</v>
      </c>
      <c r="Q263" s="348">
        <v>5234.33</v>
      </c>
      <c r="R263" s="348">
        <v>5239.54</v>
      </c>
      <c r="S263" s="348">
        <v>5258.01</v>
      </c>
      <c r="T263" s="64">
        <f>IF((S264=""),"",MAX(C265:S265))</f>
        <v>2118.8199999999997</v>
      </c>
      <c r="U263" s="64">
        <f>IF(S264="","",MIN(C265:S265))</f>
        <v>1801.8400000000001</v>
      </c>
      <c r="V263" s="64">
        <f>IF((S265=""),"",AVERAGE(C265:S265))</f>
        <v>2064.1</v>
      </c>
      <c r="W263" s="383">
        <f>STDEV(C265:S265)</f>
        <v>70.515333084366873</v>
      </c>
      <c r="X263" s="64">
        <f>IF((S264=""),"",((T263-U263)/(T263+U263))*100)</f>
        <v>8.0848632628179846</v>
      </c>
      <c r="Y263" s="75" t="str">
        <f>IF(S264="","",IF(X263&lt;15,IF(V263&gt;1680,IF(V263&lt;2200,"Pass","Fail"),"Fail"),"Fail"))</f>
        <v>Pass</v>
      </c>
      <c r="Z263" s="387">
        <v>74</v>
      </c>
      <c r="AA263" s="368"/>
      <c r="AB263" s="392"/>
      <c r="AC263" s="132">
        <v>1600</v>
      </c>
      <c r="AD263" s="132">
        <v>2600</v>
      </c>
      <c r="AE263" s="158">
        <v>1690</v>
      </c>
      <c r="AF263" s="158">
        <v>2210</v>
      </c>
      <c r="AG263" s="154">
        <v>15</v>
      </c>
      <c r="AH263" s="154">
        <v>15</v>
      </c>
    </row>
    <row r="264" spans="1:34" s="380" customFormat="1" ht="15.75">
      <c r="A264" s="385"/>
      <c r="B264" s="64" t="s">
        <v>78</v>
      </c>
      <c r="C264" s="348">
        <v>4193.87</v>
      </c>
      <c r="D264" s="348">
        <v>4177.88</v>
      </c>
      <c r="E264" s="348">
        <v>4182.2700000000004</v>
      </c>
      <c r="F264" s="348">
        <v>4192.2</v>
      </c>
      <c r="G264" s="348">
        <v>4195.34</v>
      </c>
      <c r="H264" s="348">
        <v>4197.2700000000004</v>
      </c>
      <c r="I264" s="348">
        <v>4196.29</v>
      </c>
      <c r="J264" s="348">
        <v>4210.2299999999996</v>
      </c>
      <c r="K264" s="348">
        <v>4228.1400000000003</v>
      </c>
      <c r="L264" s="348">
        <v>4217.0200000000004</v>
      </c>
      <c r="M264" s="348">
        <v>4189.22</v>
      </c>
      <c r="N264" s="348">
        <v>4195.38</v>
      </c>
      <c r="O264" s="348">
        <v>4189.62</v>
      </c>
      <c r="P264" s="348">
        <v>4191.95</v>
      </c>
      <c r="Q264" s="348">
        <v>4179.3599999999997</v>
      </c>
      <c r="R264" s="348">
        <v>4193.74</v>
      </c>
      <c r="S264" s="388">
        <v>4357.09</v>
      </c>
      <c r="T264" s="332"/>
      <c r="U264" s="332"/>
      <c r="V264" s="332"/>
      <c r="W264" s="383"/>
      <c r="X264" s="332"/>
      <c r="Y264" s="332"/>
      <c r="Z264" s="384"/>
      <c r="AA264" s="368"/>
      <c r="AB264" s="348"/>
      <c r="AC264" s="381"/>
      <c r="AD264" s="381"/>
      <c r="AE264" s="381"/>
      <c r="AF264" s="381"/>
      <c r="AG264" s="379"/>
      <c r="AH264" s="379"/>
    </row>
    <row r="265" spans="1:34" s="380" customFormat="1" ht="60">
      <c r="A265" s="386"/>
      <c r="B265" s="64" t="s">
        <v>79</v>
      </c>
      <c r="C265" s="332">
        <f t="shared" ref="C265:H265" si="84">IF(((C263="")*AND(C264="")),"",(C263-C264)*2)</f>
        <v>2118.8199999999997</v>
      </c>
      <c r="D265" s="332">
        <f t="shared" si="84"/>
        <v>2112.4599999999991</v>
      </c>
      <c r="E265" s="332">
        <f t="shared" si="84"/>
        <v>2097.6399999999994</v>
      </c>
      <c r="F265" s="332">
        <f t="shared" si="84"/>
        <v>2051.9799999999996</v>
      </c>
      <c r="G265" s="332">
        <f t="shared" si="84"/>
        <v>2060.8199999999997</v>
      </c>
      <c r="H265" s="332">
        <f t="shared" si="84"/>
        <v>2063.6399999999994</v>
      </c>
      <c r="I265" s="332">
        <f>IF(((I263="")*AND(I264="")),"",(I263-I264)*2)</f>
        <v>2067.7399999999998</v>
      </c>
      <c r="J265" s="332">
        <f>IF(((J263="")*AND(J264="")),"",(J263-J264)*2)</f>
        <v>2076.0400000000009</v>
      </c>
      <c r="K265" s="332">
        <f>IF(((K263="")*AND(K264="")),"",(K263-K264)*2)</f>
        <v>2062.2399999999998</v>
      </c>
      <c r="L265" s="332">
        <f>IF(((L263="")*AND(L264="")),"",(L263-L264)*2)</f>
        <v>2075.3999999999996</v>
      </c>
      <c r="M265" s="332">
        <f t="shared" ref="M265:S265" si="85">IF(((M263="")*AND(M264="")),"",(M263-M264)*2)</f>
        <v>2094.2399999999998</v>
      </c>
      <c r="N265" s="332">
        <f t="shared" si="85"/>
        <v>2070.619999999999</v>
      </c>
      <c r="O265" s="332">
        <f t="shared" si="85"/>
        <v>2072.1399999999994</v>
      </c>
      <c r="P265" s="332">
        <f t="shared" si="85"/>
        <v>2062.5400000000009</v>
      </c>
      <c r="Q265" s="332">
        <f t="shared" si="85"/>
        <v>2109.9400000000005</v>
      </c>
      <c r="R265" s="332">
        <f t="shared" si="85"/>
        <v>2091.6000000000004</v>
      </c>
      <c r="S265" s="332">
        <f t="shared" si="85"/>
        <v>1801.8400000000001</v>
      </c>
      <c r="T265" s="332"/>
      <c r="U265" s="332"/>
      <c r="V265" s="332"/>
      <c r="W265" s="333"/>
      <c r="X265" s="332"/>
      <c r="Y265" s="332"/>
      <c r="Z265" s="384"/>
      <c r="AA265" s="368"/>
      <c r="AB265" s="348"/>
      <c r="AC265" s="381"/>
      <c r="AD265" s="381"/>
      <c r="AE265" s="381"/>
      <c r="AF265" s="381"/>
      <c r="AG265" s="379"/>
      <c r="AH265" s="379"/>
    </row>
    <row r="266" spans="1:34" s="380" customFormat="1" ht="15.75">
      <c r="A266" s="340">
        <v>43510</v>
      </c>
      <c r="B266" s="64" t="s">
        <v>77</v>
      </c>
      <c r="C266" s="348">
        <v>5254.46</v>
      </c>
      <c r="D266" s="348">
        <v>5233.12</v>
      </c>
      <c r="E266" s="348">
        <v>5227.3100000000004</v>
      </c>
      <c r="F266" s="348">
        <v>5209.0200000000004</v>
      </c>
      <c r="G266" s="348">
        <v>5216.3900000000003</v>
      </c>
      <c r="H266" s="348">
        <v>5220.3999999999996</v>
      </c>
      <c r="I266" s="348">
        <v>5218.01</v>
      </c>
      <c r="J266" s="348">
        <v>5241.6000000000004</v>
      </c>
      <c r="K266" s="348">
        <v>5250.36</v>
      </c>
      <c r="L266" s="348">
        <v>5241.53</v>
      </c>
      <c r="M266" s="348">
        <v>5227.96</v>
      </c>
      <c r="N266" s="348">
        <v>5222.67</v>
      </c>
      <c r="O266" s="348">
        <v>5210.5</v>
      </c>
      <c r="P266" s="348">
        <v>5218.41</v>
      </c>
      <c r="Q266" s="348">
        <v>5224.6899999999996</v>
      </c>
      <c r="R266" s="348">
        <v>5225.42</v>
      </c>
      <c r="S266" s="348">
        <v>5247.4</v>
      </c>
      <c r="T266" s="64">
        <f>IF((S267=""),"",MAX(C268:S268))</f>
        <v>1970.7800000000007</v>
      </c>
      <c r="U266" s="64">
        <f>IF(S267="","",MIN(C268:S268))</f>
        <v>1842.1400000000012</v>
      </c>
      <c r="V266" s="64">
        <f>IF((S268=""),"",AVERAGE(C268:S268))</f>
        <v>1897.2552941176473</v>
      </c>
      <c r="W266" s="383">
        <f>STDEV(C268:S268)</f>
        <v>34.530005451347492</v>
      </c>
      <c r="X266" s="64">
        <f>IF((S267=""),"",((T266-U266)/(T266+U266))*100)</f>
        <v>3.3737922641964522</v>
      </c>
      <c r="Y266" s="75" t="str">
        <f>IF(S267="","",IF(X266&lt;15,IF(V266&gt;1680,IF(V266&lt;2200,"Pass","Fail"),"Fail"),"Fail"))</f>
        <v>Pass</v>
      </c>
      <c r="Z266" s="387" t="s">
        <v>151</v>
      </c>
      <c r="AA266" s="368"/>
      <c r="AB266" s="392"/>
      <c r="AC266" s="132">
        <v>1600</v>
      </c>
      <c r="AD266" s="132">
        <v>2600</v>
      </c>
      <c r="AE266" s="158">
        <v>1690</v>
      </c>
      <c r="AF266" s="158">
        <v>2210</v>
      </c>
      <c r="AG266" s="154">
        <v>15</v>
      </c>
      <c r="AH266" s="154">
        <v>15</v>
      </c>
    </row>
    <row r="267" spans="1:34" s="380" customFormat="1" ht="15.75">
      <c r="A267" s="385"/>
      <c r="B267" s="64" t="s">
        <v>78</v>
      </c>
      <c r="C267" s="348">
        <v>4327.2299999999996</v>
      </c>
      <c r="D267" s="348">
        <v>4304.5600000000004</v>
      </c>
      <c r="E267" s="348">
        <v>4293.75</v>
      </c>
      <c r="F267" s="348">
        <v>4287.95</v>
      </c>
      <c r="G267" s="348">
        <v>4280.3100000000004</v>
      </c>
      <c r="H267" s="348">
        <v>4265.9799999999996</v>
      </c>
      <c r="I267" s="348">
        <v>4256.84</v>
      </c>
      <c r="J267" s="348">
        <v>4256.21</v>
      </c>
      <c r="K267" s="348">
        <v>4274.22</v>
      </c>
      <c r="L267" s="348">
        <v>4282.4399999999996</v>
      </c>
      <c r="M267" s="348">
        <v>4268.66</v>
      </c>
      <c r="N267" s="348">
        <v>4268.4399999999996</v>
      </c>
      <c r="O267" s="348">
        <v>4274.6400000000003</v>
      </c>
      <c r="P267" s="348">
        <v>4275.18</v>
      </c>
      <c r="Q267" s="348">
        <v>4271.8599999999997</v>
      </c>
      <c r="R267" s="348">
        <v>4276.49</v>
      </c>
      <c r="S267" s="348">
        <v>4297.82</v>
      </c>
      <c r="T267" s="332"/>
      <c r="U267" s="332"/>
      <c r="V267" s="332"/>
      <c r="W267" s="383"/>
      <c r="X267" s="332"/>
      <c r="Y267" s="332"/>
      <c r="Z267" s="384"/>
      <c r="AA267" s="368"/>
      <c r="AB267" s="348"/>
      <c r="AC267" s="381"/>
      <c r="AD267" s="381"/>
      <c r="AE267" s="381"/>
      <c r="AF267" s="381"/>
      <c r="AG267" s="379"/>
      <c r="AH267" s="379"/>
    </row>
    <row r="268" spans="1:34" s="380" customFormat="1" ht="60">
      <c r="A268" s="386"/>
      <c r="B268" s="64" t="s">
        <v>79</v>
      </c>
      <c r="C268" s="332">
        <f t="shared" ref="C268:H268" si="86">IF(((C266="")*AND(C267="")),"",(C266-C267)*2)</f>
        <v>1854.4600000000009</v>
      </c>
      <c r="D268" s="332">
        <f t="shared" si="86"/>
        <v>1857.119999999999</v>
      </c>
      <c r="E268" s="332">
        <f t="shared" si="86"/>
        <v>1867.1200000000008</v>
      </c>
      <c r="F268" s="332">
        <f t="shared" si="86"/>
        <v>1842.1400000000012</v>
      </c>
      <c r="G268" s="332">
        <f t="shared" si="86"/>
        <v>1872.1599999999999</v>
      </c>
      <c r="H268" s="332">
        <f t="shared" si="86"/>
        <v>1908.8400000000001</v>
      </c>
      <c r="I268" s="332">
        <f>IF(((I266="")*AND(I267="")),"",(I266-I267)*2)</f>
        <v>1922.3400000000001</v>
      </c>
      <c r="J268" s="332">
        <f>IF(((J266="")*AND(J267="")),"",(J266-J267)*2)</f>
        <v>1970.7800000000007</v>
      </c>
      <c r="K268" s="332">
        <f>IF(((K266="")*AND(K267="")),"",(K266-K267)*2)</f>
        <v>1952.2799999999988</v>
      </c>
      <c r="L268" s="332">
        <f>IF(((L266="")*AND(L267="")),"",(L266-L267)*2)</f>
        <v>1918.1800000000003</v>
      </c>
      <c r="M268" s="332">
        <f t="shared" ref="M268:S268" si="87">IF(((M266="")*AND(M267="")),"",(M266-M267)*2)</f>
        <v>1918.6000000000004</v>
      </c>
      <c r="N268" s="332">
        <f t="shared" si="87"/>
        <v>1908.4600000000009</v>
      </c>
      <c r="O268" s="332">
        <f t="shared" si="87"/>
        <v>1871.7199999999993</v>
      </c>
      <c r="P268" s="332">
        <f t="shared" si="87"/>
        <v>1886.4599999999991</v>
      </c>
      <c r="Q268" s="332">
        <f t="shared" si="87"/>
        <v>1905.6599999999999</v>
      </c>
      <c r="R268" s="332">
        <f t="shared" si="87"/>
        <v>1897.8600000000006</v>
      </c>
      <c r="S268" s="332">
        <f t="shared" si="87"/>
        <v>1899.1599999999999</v>
      </c>
      <c r="T268" s="332"/>
      <c r="U268" s="332"/>
      <c r="V268" s="332"/>
      <c r="W268" s="333"/>
      <c r="X268" s="332"/>
      <c r="Y268" s="332"/>
      <c r="Z268" s="384"/>
      <c r="AA268" s="368"/>
      <c r="AB268" s="348"/>
      <c r="AC268" s="381"/>
      <c r="AD268" s="381"/>
      <c r="AE268" s="381"/>
      <c r="AF268" s="381"/>
      <c r="AG268" s="379"/>
      <c r="AH268" s="379"/>
    </row>
    <row r="269" spans="1:34" s="380" customFormat="1" ht="15.75">
      <c r="A269" s="340">
        <v>43522</v>
      </c>
      <c r="B269" s="64" t="s">
        <v>77</v>
      </c>
      <c r="C269" s="366">
        <v>5477</v>
      </c>
      <c r="D269" s="367">
        <v>5436</v>
      </c>
      <c r="E269" s="367">
        <v>5413</v>
      </c>
      <c r="F269" s="367">
        <v>5410</v>
      </c>
      <c r="G269" s="367">
        <v>5408</v>
      </c>
      <c r="H269" s="367">
        <v>5410</v>
      </c>
      <c r="I269" s="367">
        <v>5429</v>
      </c>
      <c r="J269" s="367">
        <v>5446</v>
      </c>
      <c r="K269" s="367">
        <v>5490</v>
      </c>
      <c r="L269" s="367">
        <v>5447</v>
      </c>
      <c r="M269" s="367">
        <v>5429</v>
      </c>
      <c r="N269" s="367">
        <v>5419</v>
      </c>
      <c r="O269" s="367">
        <v>5409</v>
      </c>
      <c r="P269" s="367">
        <v>5406</v>
      </c>
      <c r="Q269" s="367">
        <v>5425</v>
      </c>
      <c r="R269" s="367">
        <v>5425</v>
      </c>
      <c r="S269" s="388">
        <v>5462</v>
      </c>
      <c r="T269" s="64">
        <f>IF((S270=""),"",MAX(C271:S271))</f>
        <v>2212</v>
      </c>
      <c r="U269" s="64">
        <f>IF(S270="","",MIN(C271:S271))</f>
        <v>2034</v>
      </c>
      <c r="V269" s="64">
        <f>IF((S271=""),"",AVERAGE(C271:S271))</f>
        <v>2124.9411764705883</v>
      </c>
      <c r="W269" s="383">
        <f>STDEV(C271:S271)</f>
        <v>46.744612775480675</v>
      </c>
      <c r="X269" s="64">
        <f>IF((S270=""),"",((T269-U269)/(T269+U269))*100)</f>
        <v>4.1921808761186998</v>
      </c>
      <c r="Y269" s="75" t="str">
        <f>IF(S270="","",IF(X269&lt;15,IF(V269&gt;1680,IF(V269&lt;2200,"Pass","Fail"),"Fail"),"Fail"))</f>
        <v>Pass</v>
      </c>
      <c r="Z269" s="387" t="s">
        <v>98</v>
      </c>
      <c r="AA269" s="368" t="s">
        <v>164</v>
      </c>
      <c r="AB269" s="392"/>
      <c r="AC269" s="132">
        <v>1600</v>
      </c>
      <c r="AD269" s="132">
        <v>2600</v>
      </c>
      <c r="AE269" s="158">
        <v>1690</v>
      </c>
      <c r="AF269" s="158">
        <v>2210</v>
      </c>
      <c r="AG269" s="154">
        <v>15</v>
      </c>
      <c r="AH269" s="154">
        <v>15</v>
      </c>
    </row>
    <row r="270" spans="1:34" s="380" customFormat="1" ht="15.75">
      <c r="A270" s="385"/>
      <c r="B270" s="64" t="s">
        <v>78</v>
      </c>
      <c r="C270" s="366">
        <v>4460</v>
      </c>
      <c r="D270" s="367">
        <v>4401</v>
      </c>
      <c r="E270" s="367">
        <v>4378</v>
      </c>
      <c r="F270" s="367">
        <v>4365</v>
      </c>
      <c r="G270" s="367">
        <v>4354</v>
      </c>
      <c r="H270" s="367">
        <v>4344</v>
      </c>
      <c r="I270" s="367">
        <v>4335</v>
      </c>
      <c r="J270" s="367">
        <v>4340</v>
      </c>
      <c r="K270" s="367">
        <v>4413</v>
      </c>
      <c r="L270" s="367">
        <v>4390</v>
      </c>
      <c r="M270" s="367">
        <v>4343</v>
      </c>
      <c r="N270" s="367">
        <v>4345</v>
      </c>
      <c r="O270" s="367">
        <v>4350</v>
      </c>
      <c r="P270" s="367">
        <v>4351</v>
      </c>
      <c r="Q270" s="367">
        <v>4345</v>
      </c>
      <c r="R270" s="367">
        <v>4347</v>
      </c>
      <c r="S270" s="388">
        <v>4418</v>
      </c>
      <c r="T270" s="332"/>
      <c r="U270" s="332"/>
      <c r="V270" s="332"/>
      <c r="W270" s="383"/>
      <c r="X270" s="332"/>
      <c r="Y270" s="332"/>
      <c r="Z270" s="384"/>
      <c r="AA270" s="368"/>
      <c r="AB270" s="348"/>
      <c r="AC270" s="381"/>
      <c r="AD270" s="381"/>
      <c r="AE270" s="381"/>
      <c r="AF270" s="381"/>
      <c r="AG270" s="379"/>
      <c r="AH270" s="379"/>
    </row>
    <row r="271" spans="1:34" s="380" customFormat="1" ht="60">
      <c r="A271" s="386"/>
      <c r="B271" s="64" t="s">
        <v>79</v>
      </c>
      <c r="C271" s="332">
        <f t="shared" ref="C271:H271" si="88">IF(((C269="")*AND(C270="")),"",(C269-C270)*2)</f>
        <v>2034</v>
      </c>
      <c r="D271" s="332">
        <f t="shared" si="88"/>
        <v>2070</v>
      </c>
      <c r="E271" s="332">
        <f t="shared" si="88"/>
        <v>2070</v>
      </c>
      <c r="F271" s="332">
        <f t="shared" si="88"/>
        <v>2090</v>
      </c>
      <c r="G271" s="332">
        <f t="shared" si="88"/>
        <v>2108</v>
      </c>
      <c r="H271" s="332">
        <f t="shared" si="88"/>
        <v>2132</v>
      </c>
      <c r="I271" s="332">
        <f>IF(((I269="")*AND(I270="")),"",(I269-I270)*2)</f>
        <v>2188</v>
      </c>
      <c r="J271" s="332">
        <f>IF(((J269="")*AND(J270="")),"",(J269-J270)*2)</f>
        <v>2212</v>
      </c>
      <c r="K271" s="332">
        <f>IF(((K269="")*AND(K270="")),"",(K269-K270)*2)</f>
        <v>2154</v>
      </c>
      <c r="L271" s="332">
        <f>IF(((L269="")*AND(L270="")),"",(L269-L270)*2)</f>
        <v>2114</v>
      </c>
      <c r="M271" s="332">
        <f t="shared" ref="M271:S271" si="89">IF(((M269="")*AND(M270="")),"",(M269-M270)*2)</f>
        <v>2172</v>
      </c>
      <c r="N271" s="332">
        <f t="shared" si="89"/>
        <v>2148</v>
      </c>
      <c r="O271" s="332">
        <f t="shared" si="89"/>
        <v>2118</v>
      </c>
      <c r="P271" s="332">
        <f t="shared" si="89"/>
        <v>2110</v>
      </c>
      <c r="Q271" s="332">
        <f t="shared" si="89"/>
        <v>2160</v>
      </c>
      <c r="R271" s="332">
        <f t="shared" si="89"/>
        <v>2156</v>
      </c>
      <c r="S271" s="332">
        <f t="shared" si="89"/>
        <v>2088</v>
      </c>
      <c r="T271" s="332"/>
      <c r="U271" s="332"/>
      <c r="V271" s="332"/>
      <c r="W271" s="333"/>
      <c r="X271" s="332"/>
      <c r="Y271" s="332"/>
      <c r="Z271" s="384"/>
      <c r="AA271" s="368"/>
      <c r="AB271" s="348"/>
      <c r="AC271" s="381"/>
      <c r="AD271" s="381"/>
      <c r="AE271" s="381"/>
      <c r="AF271" s="381"/>
      <c r="AG271" s="379"/>
      <c r="AH271" s="379"/>
    </row>
    <row r="272" spans="1:34" s="380" customFormat="1" ht="15.75">
      <c r="A272" s="340">
        <v>43528</v>
      </c>
      <c r="B272" s="64" t="s">
        <v>77</v>
      </c>
      <c r="C272" s="366">
        <v>5455</v>
      </c>
      <c r="D272" s="367">
        <v>5408</v>
      </c>
      <c r="E272" s="367">
        <v>5381</v>
      </c>
      <c r="F272" s="367">
        <v>5374</v>
      </c>
      <c r="G272" s="367">
        <v>5373</v>
      </c>
      <c r="H272" s="367">
        <v>5387</v>
      </c>
      <c r="I272" s="367">
        <v>5409</v>
      </c>
      <c r="J272" s="367">
        <v>5443</v>
      </c>
      <c r="K272" s="367">
        <v>5495</v>
      </c>
      <c r="L272" s="367">
        <v>5447</v>
      </c>
      <c r="M272" s="367">
        <v>5416</v>
      </c>
      <c r="N272" s="367">
        <v>5391</v>
      </c>
      <c r="O272" s="367">
        <v>5376</v>
      </c>
      <c r="P272" s="367">
        <v>5373</v>
      </c>
      <c r="Q272" s="367">
        <v>5381</v>
      </c>
      <c r="R272" s="367">
        <v>5402</v>
      </c>
      <c r="S272" s="388">
        <v>5451</v>
      </c>
      <c r="T272" s="64">
        <f>IF((S273=""),"",MAX(C274:S274))</f>
        <v>2158</v>
      </c>
      <c r="U272" s="64">
        <f>IF(S273="","",MIN(C274:S274))</f>
        <v>2018</v>
      </c>
      <c r="V272" s="64">
        <f>IF((S274=""),"",AVERAGE(C274:S274))</f>
        <v>2086.3529411764707</v>
      </c>
      <c r="W272" s="383">
        <f>STDEV(C274:S274)</f>
        <v>35.729786552108898</v>
      </c>
      <c r="X272" s="64">
        <f>IF((S273=""),"",((T272-U272)/(T272+U272))*100)</f>
        <v>3.3524904214559386</v>
      </c>
      <c r="Y272" s="75" t="str">
        <f>IF(S273="","",IF(X272&lt;15,IF(V272&gt;1680,IF(V272&lt;2200,"Pass","Fail"),"Fail"),"Fail"))</f>
        <v>Pass</v>
      </c>
      <c r="Z272" s="387">
        <v>1159</v>
      </c>
      <c r="AA272" s="368" t="s">
        <v>165</v>
      </c>
      <c r="AB272" s="392"/>
      <c r="AC272" s="132">
        <v>1600</v>
      </c>
      <c r="AD272" s="132">
        <v>2600</v>
      </c>
      <c r="AE272" s="158">
        <v>1690</v>
      </c>
      <c r="AF272" s="158">
        <v>2210</v>
      </c>
      <c r="AG272" s="154">
        <v>15</v>
      </c>
      <c r="AH272" s="154">
        <v>15</v>
      </c>
    </row>
    <row r="273" spans="1:36" s="380" customFormat="1" ht="15.75">
      <c r="A273" s="385"/>
      <c r="B273" s="64" t="s">
        <v>78</v>
      </c>
      <c r="C273" s="366">
        <v>4446</v>
      </c>
      <c r="D273" s="367">
        <v>4380</v>
      </c>
      <c r="E273" s="367">
        <v>4356</v>
      </c>
      <c r="F273" s="367">
        <v>4343</v>
      </c>
      <c r="G273" s="367">
        <v>4339</v>
      </c>
      <c r="H273" s="367">
        <v>4338</v>
      </c>
      <c r="I273" s="367">
        <v>4343</v>
      </c>
      <c r="J273" s="367">
        <v>4364</v>
      </c>
      <c r="K273" s="367">
        <v>4453</v>
      </c>
      <c r="L273" s="367">
        <v>4405</v>
      </c>
      <c r="M273" s="367">
        <v>4346</v>
      </c>
      <c r="N273" s="367">
        <v>4336</v>
      </c>
      <c r="O273" s="367">
        <v>4333</v>
      </c>
      <c r="P273" s="367">
        <v>4334</v>
      </c>
      <c r="Q273" s="367">
        <v>4337</v>
      </c>
      <c r="R273" s="367">
        <v>4349</v>
      </c>
      <c r="S273" s="388">
        <v>4426</v>
      </c>
      <c r="T273" s="332"/>
      <c r="U273" s="332"/>
      <c r="V273" s="332"/>
      <c r="W273" s="383"/>
      <c r="X273" s="332"/>
      <c r="Y273" s="332"/>
      <c r="Z273" s="384"/>
      <c r="AA273" s="368"/>
      <c r="AB273" s="348"/>
      <c r="AC273" s="381"/>
      <c r="AD273" s="381"/>
      <c r="AE273" s="381"/>
      <c r="AF273" s="381"/>
      <c r="AG273" s="379"/>
      <c r="AH273" s="379"/>
    </row>
    <row r="274" spans="1:36" s="380" customFormat="1" ht="60">
      <c r="A274" s="386"/>
      <c r="B274" s="64" t="s">
        <v>79</v>
      </c>
      <c r="C274" s="332">
        <f t="shared" ref="C274:H274" si="90">IF(((C272="")*AND(C273="")),"",(C272-C273)*2)</f>
        <v>2018</v>
      </c>
      <c r="D274" s="332">
        <f t="shared" si="90"/>
        <v>2056</v>
      </c>
      <c r="E274" s="332">
        <f t="shared" si="90"/>
        <v>2050</v>
      </c>
      <c r="F274" s="332">
        <f t="shared" si="90"/>
        <v>2062</v>
      </c>
      <c r="G274" s="332">
        <f t="shared" si="90"/>
        <v>2068</v>
      </c>
      <c r="H274" s="332">
        <f t="shared" si="90"/>
        <v>2098</v>
      </c>
      <c r="I274" s="332">
        <f>IF(((I272="")*AND(I273="")),"",(I272-I273)*2)</f>
        <v>2132</v>
      </c>
      <c r="J274" s="332">
        <f>IF(((J272="")*AND(J273="")),"",(J272-J273)*2)</f>
        <v>2158</v>
      </c>
      <c r="K274" s="332">
        <f>IF(((K272="")*AND(K273="")),"",(K272-K273)*2)</f>
        <v>2084</v>
      </c>
      <c r="L274" s="332">
        <f>IF(((L272="")*AND(L273="")),"",(L272-L273)*2)</f>
        <v>2084</v>
      </c>
      <c r="M274" s="332">
        <f t="shared" ref="M274:S274" si="91">IF(((M272="")*AND(M273="")),"",(M272-M273)*2)</f>
        <v>2140</v>
      </c>
      <c r="N274" s="332">
        <f t="shared" si="91"/>
        <v>2110</v>
      </c>
      <c r="O274" s="332">
        <f t="shared" si="91"/>
        <v>2086</v>
      </c>
      <c r="P274" s="332">
        <f t="shared" si="91"/>
        <v>2078</v>
      </c>
      <c r="Q274" s="332">
        <f t="shared" si="91"/>
        <v>2088</v>
      </c>
      <c r="R274" s="332">
        <f t="shared" si="91"/>
        <v>2106</v>
      </c>
      <c r="S274" s="332">
        <f t="shared" si="91"/>
        <v>2050</v>
      </c>
      <c r="T274" s="332"/>
      <c r="U274" s="332"/>
      <c r="V274" s="332"/>
      <c r="W274" s="333"/>
      <c r="X274" s="332"/>
      <c r="Y274" s="332"/>
      <c r="Z274" s="384"/>
      <c r="AA274" s="368"/>
      <c r="AB274" s="348"/>
      <c r="AC274" s="381"/>
      <c r="AD274" s="381"/>
      <c r="AE274" s="381"/>
      <c r="AF274" s="381"/>
      <c r="AG274" s="379"/>
      <c r="AH274" s="379"/>
    </row>
    <row r="275" spans="1:36" s="380" customFormat="1" ht="15.75">
      <c r="A275" s="340">
        <v>43544</v>
      </c>
      <c r="B275" s="64" t="s">
        <v>77</v>
      </c>
      <c r="C275" s="366">
        <v>5497</v>
      </c>
      <c r="D275" s="367">
        <v>5447</v>
      </c>
      <c r="E275" s="367">
        <v>5428</v>
      </c>
      <c r="F275" s="367">
        <v>5421</v>
      </c>
      <c r="G275" s="367">
        <v>5422</v>
      </c>
      <c r="H275" s="367">
        <v>5435</v>
      </c>
      <c r="I275" s="367">
        <v>5450</v>
      </c>
      <c r="J275" s="367">
        <v>5473</v>
      </c>
      <c r="K275" s="367">
        <v>5514</v>
      </c>
      <c r="L275" s="367">
        <v>5437</v>
      </c>
      <c r="M275" s="367">
        <v>5437</v>
      </c>
      <c r="N275" s="367">
        <v>5429</v>
      </c>
      <c r="O275" s="367">
        <v>5423</v>
      </c>
      <c r="P275" s="367">
        <v>5426</v>
      </c>
      <c r="Q275" s="367">
        <v>5431</v>
      </c>
      <c r="R275" s="367">
        <v>5436</v>
      </c>
      <c r="S275" s="388">
        <v>5452</v>
      </c>
      <c r="T275" s="64">
        <f>IF((S276=""),"",MAX(C277:S277))</f>
        <v>2174.2199999999993</v>
      </c>
      <c r="U275" s="64">
        <f>IF(S276="","",MIN(C277:S277))</f>
        <v>2044.8600000000006</v>
      </c>
      <c r="V275" s="64">
        <f>IF((S277=""),"",AVERAGE(C277:S277))</f>
        <v>2118.8294117647056</v>
      </c>
      <c r="W275" s="383">
        <f>STDEV(C277:S277)</f>
        <v>35.531605731831839</v>
      </c>
      <c r="X275" s="64">
        <f>IF((S276=""),"",((T275-U275)/(T275+U275))*100)</f>
        <v>3.0660712762023654</v>
      </c>
      <c r="Y275" s="75" t="str">
        <f>IF(S276="","",IF(X275&lt;15,IF(V275&gt;1680,IF(V275&lt;2200,"Pass","Fail"),"Fail"),"Fail"))</f>
        <v>Pass</v>
      </c>
      <c r="Z275" s="387" t="s">
        <v>175</v>
      </c>
      <c r="AB275" s="392" t="s">
        <v>166</v>
      </c>
      <c r="AC275" s="132">
        <v>1600</v>
      </c>
      <c r="AD275" s="132">
        <v>2600</v>
      </c>
      <c r="AE275" s="158">
        <v>1690</v>
      </c>
      <c r="AF275" s="158">
        <v>2210</v>
      </c>
      <c r="AG275" s="154">
        <v>15</v>
      </c>
      <c r="AH275" s="154">
        <v>15</v>
      </c>
    </row>
    <row r="276" spans="1:36" s="380" customFormat="1" ht="15.75">
      <c r="A276" s="385"/>
      <c r="B276" s="64" t="s">
        <v>78</v>
      </c>
      <c r="C276" s="366">
        <v>4463.33</v>
      </c>
      <c r="D276" s="367">
        <v>4397.1499999999996</v>
      </c>
      <c r="E276" s="367">
        <v>4370.92</v>
      </c>
      <c r="F276" s="367">
        <v>4362.21</v>
      </c>
      <c r="G276" s="367">
        <v>4358.63</v>
      </c>
      <c r="H276" s="367">
        <v>4347.8900000000003</v>
      </c>
      <c r="I276" s="367">
        <v>4398.8999999999996</v>
      </c>
      <c r="J276" s="367">
        <v>4395.1899999999996</v>
      </c>
      <c r="K276" s="367">
        <v>4491.57</v>
      </c>
      <c r="L276" s="367">
        <v>4370.12</v>
      </c>
      <c r="M276" s="367">
        <v>4392.38</v>
      </c>
      <c r="N276" s="367">
        <v>4390.29</v>
      </c>
      <c r="O276" s="367">
        <v>4347.83</v>
      </c>
      <c r="P276" s="367">
        <v>4354.8100000000004</v>
      </c>
      <c r="Q276" s="367">
        <v>4354.49</v>
      </c>
      <c r="R276" s="367">
        <v>4357.97</v>
      </c>
      <c r="S276" s="388">
        <v>4394.2700000000004</v>
      </c>
      <c r="T276" s="332"/>
      <c r="U276" s="332"/>
      <c r="V276" s="332"/>
      <c r="W276" s="383"/>
      <c r="X276" s="332"/>
      <c r="Y276" s="332"/>
      <c r="Z276" s="384"/>
      <c r="AA276" s="368"/>
      <c r="AB276" s="348"/>
      <c r="AC276" s="381"/>
      <c r="AD276" s="381"/>
      <c r="AE276" s="381"/>
      <c r="AF276" s="381"/>
      <c r="AG276" s="379"/>
      <c r="AH276" s="379"/>
    </row>
    <row r="277" spans="1:36" s="380" customFormat="1" ht="60">
      <c r="A277" s="386"/>
      <c r="B277" s="64" t="s">
        <v>79</v>
      </c>
      <c r="C277" s="332">
        <f t="shared" ref="C277:S277" si="92">IF(((C275="")*AND(C276="")),"",(C275-C276)*2)</f>
        <v>2067.34</v>
      </c>
      <c r="D277" s="332">
        <f t="shared" si="92"/>
        <v>2099.7000000000007</v>
      </c>
      <c r="E277" s="332">
        <f t="shared" si="92"/>
        <v>2114.16</v>
      </c>
      <c r="F277" s="332">
        <f t="shared" si="92"/>
        <v>2117.58</v>
      </c>
      <c r="G277" s="332">
        <f t="shared" si="92"/>
        <v>2126.7399999999998</v>
      </c>
      <c r="H277" s="332">
        <f t="shared" si="92"/>
        <v>2174.2199999999993</v>
      </c>
      <c r="I277" s="332">
        <f t="shared" si="92"/>
        <v>2102.2000000000007</v>
      </c>
      <c r="J277" s="332">
        <f t="shared" si="92"/>
        <v>2155.6200000000008</v>
      </c>
      <c r="K277" s="332">
        <f t="shared" si="92"/>
        <v>2044.8600000000006</v>
      </c>
      <c r="L277" s="332">
        <f t="shared" si="92"/>
        <v>2133.7600000000002</v>
      </c>
      <c r="M277" s="332">
        <f t="shared" si="92"/>
        <v>2089.2399999999998</v>
      </c>
      <c r="N277" s="332">
        <f t="shared" si="92"/>
        <v>2077.42</v>
      </c>
      <c r="O277" s="332">
        <f t="shared" si="92"/>
        <v>2150.34</v>
      </c>
      <c r="P277" s="332">
        <f t="shared" si="92"/>
        <v>2142.3799999999992</v>
      </c>
      <c r="Q277" s="332">
        <f t="shared" si="92"/>
        <v>2153.0200000000004</v>
      </c>
      <c r="R277" s="332">
        <f t="shared" si="92"/>
        <v>2156.0599999999995</v>
      </c>
      <c r="S277" s="332">
        <f t="shared" si="92"/>
        <v>2115.4599999999991</v>
      </c>
      <c r="T277" s="332"/>
      <c r="U277" s="332"/>
      <c r="V277" s="332"/>
      <c r="W277" s="333"/>
      <c r="X277" s="332"/>
      <c r="Y277" s="332"/>
      <c r="Z277" s="384"/>
      <c r="AA277" s="368"/>
      <c r="AB277" s="348"/>
      <c r="AC277" s="381"/>
      <c r="AD277" s="381"/>
      <c r="AE277" s="381"/>
      <c r="AF277" s="381"/>
      <c r="AG277" s="379"/>
      <c r="AH277" s="379"/>
    </row>
    <row r="278" spans="1:36" s="380" customFormat="1" ht="15.75">
      <c r="A278" s="340">
        <v>43546</v>
      </c>
      <c r="B278" s="64" t="s">
        <v>77</v>
      </c>
      <c r="C278" s="389">
        <v>5345</v>
      </c>
      <c r="D278" s="390">
        <v>5314</v>
      </c>
      <c r="E278" s="390">
        <v>5296</v>
      </c>
      <c r="F278" s="390">
        <v>5293</v>
      </c>
      <c r="G278" s="390">
        <v>5291</v>
      </c>
      <c r="H278" s="390">
        <v>5293</v>
      </c>
      <c r="I278" s="390">
        <v>5297</v>
      </c>
      <c r="J278" s="390">
        <v>5309</v>
      </c>
      <c r="K278" s="390">
        <v>5345</v>
      </c>
      <c r="L278" s="390">
        <v>5346</v>
      </c>
      <c r="M278" s="390">
        <v>5317</v>
      </c>
      <c r="N278" s="390">
        <v>5298</v>
      </c>
      <c r="O278" s="390">
        <v>5293</v>
      </c>
      <c r="P278" s="390">
        <v>5291</v>
      </c>
      <c r="Q278" s="390">
        <v>5296</v>
      </c>
      <c r="R278" s="390">
        <v>5306</v>
      </c>
      <c r="S278" s="390">
        <v>5340</v>
      </c>
      <c r="T278" s="64">
        <f>IF((S279=""),"",MAX(C280:S280))</f>
        <v>2226</v>
      </c>
      <c r="U278" s="64">
        <f>IF(S279="","",MIN(C280:S280))</f>
        <v>2016</v>
      </c>
      <c r="V278" s="64">
        <f>IF((S280=""),"",AVERAGE(C280:S280))</f>
        <v>2146.5882352941176</v>
      </c>
      <c r="W278" s="383">
        <f>STDEV(C280:S280)</f>
        <v>54.501214233636468</v>
      </c>
      <c r="X278" s="64">
        <f>IF((S279=""),"",((T278-U278)/(T278+U278))*100)</f>
        <v>4.9504950495049505</v>
      </c>
      <c r="Y278" s="75" t="str">
        <f>IF(S279="","",IF(X278&lt;15,IF(V278&gt;1680,IF(V278&lt;2200,"Pass","Fail"),"Fail"),"Fail"))</f>
        <v>Pass</v>
      </c>
      <c r="Z278" s="387">
        <v>1340</v>
      </c>
      <c r="AA278" s="362"/>
      <c r="AB278" s="392"/>
      <c r="AC278" s="132">
        <v>1600</v>
      </c>
      <c r="AD278" s="132">
        <v>2600</v>
      </c>
      <c r="AE278" s="158">
        <v>1690</v>
      </c>
      <c r="AF278" s="158">
        <v>2210</v>
      </c>
      <c r="AG278" s="154">
        <v>15</v>
      </c>
      <c r="AH278" s="154">
        <v>15</v>
      </c>
    </row>
    <row r="279" spans="1:36" s="380" customFormat="1" ht="15.75">
      <c r="A279" s="385"/>
      <c r="B279" s="64" t="s">
        <v>78</v>
      </c>
      <c r="C279" s="389">
        <v>4320</v>
      </c>
      <c r="D279" s="390">
        <v>4257</v>
      </c>
      <c r="E279" s="390">
        <v>4236</v>
      </c>
      <c r="F279" s="390">
        <v>4227</v>
      </c>
      <c r="G279" s="390">
        <v>4221</v>
      </c>
      <c r="H279" s="390">
        <v>4202</v>
      </c>
      <c r="I279" s="390">
        <v>4189</v>
      </c>
      <c r="J279" s="390">
        <v>4196</v>
      </c>
      <c r="K279" s="390">
        <v>4271</v>
      </c>
      <c r="L279" s="390">
        <v>4269</v>
      </c>
      <c r="M279" s="390">
        <v>4309</v>
      </c>
      <c r="N279" s="390">
        <v>4200</v>
      </c>
      <c r="O279" s="390">
        <v>4205</v>
      </c>
      <c r="P279" s="390">
        <v>4208</v>
      </c>
      <c r="Q279" s="390">
        <v>4208</v>
      </c>
      <c r="R279" s="390">
        <v>4220</v>
      </c>
      <c r="S279" s="390">
        <v>4286</v>
      </c>
      <c r="T279" s="332"/>
      <c r="U279" s="332"/>
      <c r="V279" s="332"/>
      <c r="W279" s="383"/>
      <c r="X279" s="332"/>
      <c r="Y279" s="332"/>
      <c r="Z279" s="384"/>
      <c r="AA279" s="368"/>
      <c r="AB279" s="348"/>
      <c r="AC279" s="381"/>
      <c r="AD279" s="381"/>
      <c r="AE279" s="381"/>
      <c r="AF279" s="381"/>
      <c r="AG279" s="379"/>
      <c r="AH279" s="379"/>
    </row>
    <row r="280" spans="1:36" s="380" customFormat="1" ht="60">
      <c r="A280" s="386"/>
      <c r="B280" s="64" t="s">
        <v>79</v>
      </c>
      <c r="C280" s="332">
        <f t="shared" ref="C280:S280" si="93">IF(((C278="")*AND(C279="")),"",(C278-C279)*2)</f>
        <v>2050</v>
      </c>
      <c r="D280" s="332">
        <f t="shared" si="93"/>
        <v>2114</v>
      </c>
      <c r="E280" s="332">
        <f t="shared" si="93"/>
        <v>2120</v>
      </c>
      <c r="F280" s="332">
        <f t="shared" si="93"/>
        <v>2132</v>
      </c>
      <c r="G280" s="332">
        <f t="shared" si="93"/>
        <v>2140</v>
      </c>
      <c r="H280" s="332">
        <f t="shared" si="93"/>
        <v>2182</v>
      </c>
      <c r="I280" s="332">
        <f t="shared" si="93"/>
        <v>2216</v>
      </c>
      <c r="J280" s="332">
        <f t="shared" si="93"/>
        <v>2226</v>
      </c>
      <c r="K280" s="332">
        <f t="shared" si="93"/>
        <v>2148</v>
      </c>
      <c r="L280" s="332">
        <f t="shared" si="93"/>
        <v>2154</v>
      </c>
      <c r="M280" s="332">
        <f t="shared" si="93"/>
        <v>2016</v>
      </c>
      <c r="N280" s="332">
        <f t="shared" si="93"/>
        <v>2196</v>
      </c>
      <c r="O280" s="332">
        <f t="shared" si="93"/>
        <v>2176</v>
      </c>
      <c r="P280" s="332">
        <f t="shared" si="93"/>
        <v>2166</v>
      </c>
      <c r="Q280" s="332">
        <f t="shared" si="93"/>
        <v>2176</v>
      </c>
      <c r="R280" s="332">
        <f t="shared" si="93"/>
        <v>2172</v>
      </c>
      <c r="S280" s="332">
        <f t="shared" si="93"/>
        <v>2108</v>
      </c>
      <c r="T280" s="332"/>
      <c r="U280" s="332"/>
      <c r="V280" s="332"/>
      <c r="W280" s="333"/>
      <c r="X280" s="332"/>
      <c r="Y280" s="332"/>
      <c r="Z280" s="384"/>
      <c r="AA280" s="368"/>
      <c r="AB280" s="348"/>
      <c r="AC280" s="381"/>
      <c r="AD280" s="381"/>
      <c r="AE280" s="381"/>
      <c r="AF280" s="381"/>
      <c r="AG280" s="379"/>
      <c r="AH280" s="379"/>
    </row>
    <row r="281" spans="1:36" s="380" customFormat="1" ht="15.75">
      <c r="A281" s="340">
        <v>43549</v>
      </c>
      <c r="B281" s="64" t="s">
        <v>77</v>
      </c>
      <c r="C281" s="366">
        <v>5329</v>
      </c>
      <c r="D281" s="367">
        <v>5248</v>
      </c>
      <c r="E281" s="367">
        <v>5194</v>
      </c>
      <c r="F281" s="367">
        <v>5168</v>
      </c>
      <c r="G281" s="367">
        <v>5165</v>
      </c>
      <c r="H281" s="367">
        <v>5182</v>
      </c>
      <c r="I281" s="367">
        <v>5225</v>
      </c>
      <c r="J281" s="367">
        <v>5284</v>
      </c>
      <c r="K281" s="367">
        <v>5370</v>
      </c>
      <c r="L281" s="367">
        <v>5261</v>
      </c>
      <c r="M281" s="367">
        <v>5241</v>
      </c>
      <c r="N281" s="367">
        <v>5205</v>
      </c>
      <c r="O281" s="367">
        <v>5173</v>
      </c>
      <c r="P281" s="367">
        <v>5173</v>
      </c>
      <c r="Q281" s="367">
        <v>5194</v>
      </c>
      <c r="R281" s="367">
        <v>5229</v>
      </c>
      <c r="S281" s="388">
        <v>5298</v>
      </c>
      <c r="T281" s="64">
        <f>IF((S282=""),"",MAX(C283:S283))</f>
        <v>2250</v>
      </c>
      <c r="U281" s="64">
        <f>IF(S282="","",MIN(C283:S283))</f>
        <v>2066</v>
      </c>
      <c r="V281" s="64">
        <f>IF((S283=""),"",AVERAGE(C283:S283))</f>
        <v>2184.5882352941176</v>
      </c>
      <c r="W281" s="383">
        <f>STDEV(C283:S283)</f>
        <v>43.656412506534913</v>
      </c>
      <c r="X281" s="64">
        <f>IF((S282=""),"",((T281-U281)/(T281+U281))*100)</f>
        <v>4.2632066728452278</v>
      </c>
      <c r="Y281" s="75" t="str">
        <f>IF(S282="","",IF(X281&lt;15,IF(V281&gt;1680,IF(V281&lt;2200,"Pass","Fail"),"Fail"),"Fail"))</f>
        <v>Pass</v>
      </c>
      <c r="Z281" s="387">
        <v>1159</v>
      </c>
      <c r="AA281" s="391" t="s">
        <v>176</v>
      </c>
      <c r="AB281" s="392"/>
      <c r="AC281" s="132">
        <v>1600</v>
      </c>
      <c r="AD281" s="132">
        <v>2600</v>
      </c>
      <c r="AE281" s="158">
        <v>1690</v>
      </c>
      <c r="AF281" s="158">
        <v>2210</v>
      </c>
      <c r="AG281" s="154">
        <v>15</v>
      </c>
      <c r="AH281" s="154">
        <v>15</v>
      </c>
    </row>
    <row r="282" spans="1:36" s="380" customFormat="1" ht="15.75">
      <c r="A282" s="385"/>
      <c r="B282" s="64" t="s">
        <v>78</v>
      </c>
      <c r="C282" s="366">
        <v>4296</v>
      </c>
      <c r="D282" s="367">
        <v>4178</v>
      </c>
      <c r="E282" s="367">
        <v>4121</v>
      </c>
      <c r="F282" s="367">
        <v>4084</v>
      </c>
      <c r="G282" s="367">
        <v>4075</v>
      </c>
      <c r="H282" s="367">
        <v>4080</v>
      </c>
      <c r="I282" s="367">
        <v>4107</v>
      </c>
      <c r="J282" s="367">
        <v>4159</v>
      </c>
      <c r="K282" s="367">
        <v>4284</v>
      </c>
      <c r="L282" s="367">
        <v>4171</v>
      </c>
      <c r="M282" s="367">
        <v>4127</v>
      </c>
      <c r="N282" s="367">
        <v>4091</v>
      </c>
      <c r="O282" s="367">
        <v>4077</v>
      </c>
      <c r="P282" s="367">
        <v>4077</v>
      </c>
      <c r="Q282" s="367">
        <v>4093</v>
      </c>
      <c r="R282" s="367">
        <v>4130</v>
      </c>
      <c r="S282" s="388">
        <v>4220</v>
      </c>
      <c r="T282" s="332"/>
      <c r="U282" s="332"/>
      <c r="V282" s="332"/>
      <c r="W282" s="383"/>
      <c r="X282" s="332"/>
      <c r="Y282" s="332"/>
      <c r="Z282" s="384"/>
      <c r="AA282" s="368"/>
      <c r="AB282" s="348"/>
      <c r="AC282" s="379"/>
      <c r="AD282" s="379"/>
      <c r="AE282" s="381"/>
      <c r="AF282" s="381"/>
      <c r="AG282" s="381"/>
      <c r="AH282" s="381"/>
      <c r="AI282" s="379"/>
      <c r="AJ282" s="379"/>
    </row>
    <row r="283" spans="1:36" s="380" customFormat="1" ht="60">
      <c r="A283" s="386"/>
      <c r="B283" s="64" t="s">
        <v>79</v>
      </c>
      <c r="C283" s="332">
        <f t="shared" ref="C283:H283" si="94">IF(((C281="")*AND(C282="")),"",(C281-C282)*2)</f>
        <v>2066</v>
      </c>
      <c r="D283" s="332">
        <f t="shared" si="94"/>
        <v>2140</v>
      </c>
      <c r="E283" s="332">
        <f t="shared" si="94"/>
        <v>2146</v>
      </c>
      <c r="F283" s="332">
        <f t="shared" si="94"/>
        <v>2168</v>
      </c>
      <c r="G283" s="332">
        <f t="shared" si="94"/>
        <v>2180</v>
      </c>
      <c r="H283" s="332">
        <f t="shared" si="94"/>
        <v>2204</v>
      </c>
      <c r="I283" s="332">
        <f>IF(((I281="")*AND(I282="")),"",(I281-I282)*2)</f>
        <v>2236</v>
      </c>
      <c r="J283" s="332">
        <f>IF(((J281="")*AND(J282="")),"",(J281-J282)*2)</f>
        <v>2250</v>
      </c>
      <c r="K283" s="332">
        <f>IF(((K281="")*AND(K282="")),"",(K281-K282)*2)</f>
        <v>2172</v>
      </c>
      <c r="L283" s="332">
        <f>IF(((L281="")*AND(L282="")),"",(L281-L282)*2)</f>
        <v>2180</v>
      </c>
      <c r="M283" s="332">
        <f t="shared" ref="M283:S283" si="95">IF(((M281="")*AND(M282="")),"",(M281-M282)*2)</f>
        <v>2228</v>
      </c>
      <c r="N283" s="332">
        <f t="shared" si="95"/>
        <v>2228</v>
      </c>
      <c r="O283" s="332">
        <f t="shared" si="95"/>
        <v>2192</v>
      </c>
      <c r="P283" s="332">
        <f t="shared" si="95"/>
        <v>2192</v>
      </c>
      <c r="Q283" s="332">
        <f t="shared" si="95"/>
        <v>2202</v>
      </c>
      <c r="R283" s="332">
        <f t="shared" si="95"/>
        <v>2198</v>
      </c>
      <c r="S283" s="332">
        <f t="shared" si="95"/>
        <v>2156</v>
      </c>
      <c r="T283" s="332"/>
      <c r="U283" s="332"/>
      <c r="V283" s="332"/>
      <c r="W283" s="333"/>
      <c r="X283" s="332"/>
      <c r="Y283" s="332"/>
      <c r="Z283" s="384"/>
      <c r="AA283" s="368"/>
      <c r="AB283" s="348"/>
      <c r="AC283" s="379"/>
      <c r="AD283" s="379"/>
      <c r="AE283" s="381"/>
      <c r="AF283" s="381"/>
      <c r="AG283" s="381"/>
      <c r="AH283" s="381"/>
      <c r="AI283" s="379"/>
      <c r="AJ283" s="379"/>
    </row>
    <row r="284" spans="1:36" s="380" customFormat="1" ht="15.75">
      <c r="A284" s="340">
        <v>43552</v>
      </c>
      <c r="B284" s="64" t="s">
        <v>77</v>
      </c>
      <c r="C284" s="348">
        <v>5309.17</v>
      </c>
      <c r="D284" s="348">
        <v>5261.68</v>
      </c>
      <c r="E284" s="348">
        <v>5228.1899999999996</v>
      </c>
      <c r="F284" s="348">
        <v>5215.45</v>
      </c>
      <c r="G284" s="348">
        <v>5216.1400000000003</v>
      </c>
      <c r="H284" s="348">
        <v>5231.83</v>
      </c>
      <c r="I284" s="348">
        <v>5258.07</v>
      </c>
      <c r="J284" s="348">
        <v>5295.91</v>
      </c>
      <c r="K284" s="348">
        <v>5342.3</v>
      </c>
      <c r="L284" s="348">
        <v>5276.91</v>
      </c>
      <c r="M284" s="348">
        <v>5259.38</v>
      </c>
      <c r="N284" s="348">
        <v>5232.24</v>
      </c>
      <c r="O284" s="348">
        <v>5216.7</v>
      </c>
      <c r="P284" s="348">
        <v>5214.8999999999996</v>
      </c>
      <c r="Q284" s="348">
        <v>5235.3100000000004</v>
      </c>
      <c r="R284" s="348">
        <v>5259.75</v>
      </c>
      <c r="S284" s="348">
        <v>5291.64</v>
      </c>
      <c r="T284" s="64">
        <f>IF((S285=""),"",MAX(C286:S286))</f>
        <v>2142.1399999999994</v>
      </c>
      <c r="U284" s="64">
        <f>IF(S285="","",MIN(C286:S286))</f>
        <v>1932.3400000000001</v>
      </c>
      <c r="V284" s="64">
        <f>IF((S286=""),"",AVERAGE(C286:S286))</f>
        <v>2087.1258823529406</v>
      </c>
      <c r="W284" s="383">
        <f>STDEV(C286:S286)</f>
        <v>52.193324173082246</v>
      </c>
      <c r="X284" s="64">
        <f>IF((S285=""),"",((T284-U284)/(T284+U284))*100)</f>
        <v>5.1491233237124572</v>
      </c>
      <c r="Y284" s="75" t="str">
        <f>IF(S285="","",IF(X284&lt;15,IF(V284&gt;1680,IF(V284&lt;2200,"Pass","Fail"),"Fail"),"Fail"))</f>
        <v>Pass</v>
      </c>
      <c r="Z284" s="387">
        <v>1159</v>
      </c>
      <c r="AA284" s="391" t="s">
        <v>168</v>
      </c>
      <c r="AB284" s="392"/>
      <c r="AC284" s="132">
        <v>1600</v>
      </c>
      <c r="AD284" s="132">
        <v>2600</v>
      </c>
      <c r="AE284" s="158">
        <v>1690</v>
      </c>
      <c r="AF284" s="158">
        <v>2210</v>
      </c>
      <c r="AG284" s="154">
        <v>15</v>
      </c>
      <c r="AH284" s="154">
        <v>15</v>
      </c>
      <c r="AI284" s="379"/>
      <c r="AJ284" s="379"/>
    </row>
    <row r="285" spans="1:36" s="380" customFormat="1" ht="15.75">
      <c r="A285" s="385"/>
      <c r="B285" s="64" t="s">
        <v>78</v>
      </c>
      <c r="C285" s="348">
        <v>4343</v>
      </c>
      <c r="D285" s="348">
        <v>4246</v>
      </c>
      <c r="E285" s="348">
        <v>4192</v>
      </c>
      <c r="F285" s="348">
        <v>4169</v>
      </c>
      <c r="G285" s="348">
        <v>4163</v>
      </c>
      <c r="H285" s="348">
        <v>4168</v>
      </c>
      <c r="I285" s="348">
        <v>4187</v>
      </c>
      <c r="J285" s="348">
        <v>4228</v>
      </c>
      <c r="K285" s="348">
        <v>4311</v>
      </c>
      <c r="L285" s="348">
        <v>4245</v>
      </c>
      <c r="M285" s="348">
        <v>4198</v>
      </c>
      <c r="N285" s="348">
        <v>4179</v>
      </c>
      <c r="O285" s="348">
        <v>4167</v>
      </c>
      <c r="P285" s="367">
        <v>4166</v>
      </c>
      <c r="Q285" s="367">
        <v>4169</v>
      </c>
      <c r="R285" s="367">
        <v>4200</v>
      </c>
      <c r="S285" s="388">
        <v>4274</v>
      </c>
      <c r="T285" s="332"/>
      <c r="U285" s="332"/>
      <c r="V285" s="332"/>
      <c r="W285" s="383"/>
      <c r="X285" s="332"/>
      <c r="Y285" s="332"/>
      <c r="Z285" s="384"/>
      <c r="AA285" s="368"/>
      <c r="AB285" s="348"/>
      <c r="AC285" s="379"/>
      <c r="AD285" s="379"/>
      <c r="AE285" s="381"/>
      <c r="AF285" s="381"/>
      <c r="AG285" s="381"/>
      <c r="AH285" s="381"/>
      <c r="AI285" s="379"/>
      <c r="AJ285" s="379"/>
    </row>
    <row r="286" spans="1:36" s="380" customFormat="1" ht="60">
      <c r="A286" s="386"/>
      <c r="B286" s="64" t="s">
        <v>79</v>
      </c>
      <c r="C286" s="332">
        <f t="shared" ref="C286:H286" si="96">IF(((C284="")*AND(C285="")),"",(C284-C285)*2)</f>
        <v>1932.3400000000001</v>
      </c>
      <c r="D286" s="332">
        <f t="shared" si="96"/>
        <v>2031.3600000000006</v>
      </c>
      <c r="E286" s="332">
        <f t="shared" si="96"/>
        <v>2072.3799999999992</v>
      </c>
      <c r="F286" s="332">
        <f t="shared" si="96"/>
        <v>2092.8999999999996</v>
      </c>
      <c r="G286" s="332">
        <f t="shared" si="96"/>
        <v>2106.2800000000007</v>
      </c>
      <c r="H286" s="332">
        <f t="shared" si="96"/>
        <v>2127.66</v>
      </c>
      <c r="I286" s="332">
        <f>IF(((I284="")*AND(I285="")),"",(I284-I285)*2)</f>
        <v>2142.1399999999994</v>
      </c>
      <c r="J286" s="332">
        <f>IF(((J284="")*AND(J285="")),"",(J284-J285)*2)</f>
        <v>2135.8199999999997</v>
      </c>
      <c r="K286" s="332">
        <f>IF(((K284="")*AND(K285="")),"",(K284-K285)*2)</f>
        <v>2062.6000000000004</v>
      </c>
      <c r="L286" s="332">
        <f>IF(((L284="")*AND(L285="")),"",(L284-L285)*2)</f>
        <v>2063.8199999999997</v>
      </c>
      <c r="M286" s="332">
        <f t="shared" ref="M286:S286" si="97">IF(((M284="")*AND(M285="")),"",(M284-M285)*2)</f>
        <v>2122.7600000000002</v>
      </c>
      <c r="N286" s="332">
        <f t="shared" si="97"/>
        <v>2106.4799999999996</v>
      </c>
      <c r="O286" s="332">
        <f t="shared" si="97"/>
        <v>2099.3999999999996</v>
      </c>
      <c r="P286" s="332">
        <f t="shared" si="97"/>
        <v>2097.7999999999993</v>
      </c>
      <c r="Q286" s="332">
        <f t="shared" si="97"/>
        <v>2132.6200000000008</v>
      </c>
      <c r="R286" s="332">
        <f t="shared" si="97"/>
        <v>2119.5</v>
      </c>
      <c r="S286" s="332">
        <f t="shared" si="97"/>
        <v>2035.2800000000007</v>
      </c>
      <c r="T286" s="332"/>
      <c r="U286" s="332"/>
      <c r="V286" s="332"/>
      <c r="W286" s="333"/>
      <c r="X286" s="332"/>
      <c r="Y286" s="332"/>
      <c r="Z286" s="384"/>
      <c r="AA286" s="368"/>
      <c r="AB286" s="348"/>
      <c r="AC286" s="379"/>
      <c r="AD286" s="379"/>
      <c r="AE286" s="381"/>
      <c r="AF286" s="381"/>
      <c r="AG286" s="381"/>
      <c r="AH286" s="381"/>
      <c r="AI286" s="379"/>
      <c r="AJ286" s="379"/>
    </row>
    <row r="287" spans="1:36" s="380" customFormat="1" ht="15.75">
      <c r="A287" s="340">
        <v>43558</v>
      </c>
      <c r="B287" s="64" t="s">
        <v>77</v>
      </c>
      <c r="C287" s="366">
        <v>5445</v>
      </c>
      <c r="D287" s="367">
        <v>5389</v>
      </c>
      <c r="E287" s="367">
        <v>5356</v>
      </c>
      <c r="F287" s="367">
        <v>5343</v>
      </c>
      <c r="G287" s="367">
        <v>5339</v>
      </c>
      <c r="H287" s="367">
        <v>5352</v>
      </c>
      <c r="I287" s="367">
        <v>5377</v>
      </c>
      <c r="J287" s="367">
        <v>5421</v>
      </c>
      <c r="K287" s="367">
        <v>5471</v>
      </c>
      <c r="L287" s="367">
        <v>5360</v>
      </c>
      <c r="M287" s="367">
        <v>5376</v>
      </c>
      <c r="N287" s="367">
        <v>5359</v>
      </c>
      <c r="O287" s="367">
        <v>5346</v>
      </c>
      <c r="P287" s="367">
        <v>5343</v>
      </c>
      <c r="Q287" s="367">
        <v>5347</v>
      </c>
      <c r="R287" s="367">
        <v>5374</v>
      </c>
      <c r="S287" s="388">
        <v>5401</v>
      </c>
      <c r="T287" s="64">
        <f>IF((S288=""),"",MAX(C289:S289))</f>
        <v>2208</v>
      </c>
      <c r="U287" s="64">
        <f>IF(S288="","",MIN(C289:S289))</f>
        <v>2064</v>
      </c>
      <c r="V287" s="64">
        <f>IF((S289=""),"",AVERAGE(C289:S289))</f>
        <v>2139.4117647058824</v>
      </c>
      <c r="W287" s="383">
        <f>STDEV(C289:S289)</f>
        <v>36.781549082940188</v>
      </c>
      <c r="X287" s="64">
        <f>IF((S288=""),"",((T287-U287)/(T287+U287))*100)</f>
        <v>3.3707865168539324</v>
      </c>
      <c r="Y287" s="75" t="str">
        <f>IF(S288="","",IF(X287&lt;15,IF(V287&gt;1680,IF(V287&lt;2200,"Pass","Fail"),"Fail"),"Fail"))</f>
        <v>Pass</v>
      </c>
      <c r="Z287" s="387">
        <v>1340</v>
      </c>
      <c r="AA287" s="391" t="s">
        <v>169</v>
      </c>
      <c r="AB287" s="392"/>
      <c r="AC287" s="132">
        <v>1600</v>
      </c>
      <c r="AD287" s="132">
        <v>2600</v>
      </c>
      <c r="AE287" s="158">
        <v>1690</v>
      </c>
      <c r="AF287" s="158">
        <v>2210</v>
      </c>
      <c r="AG287" s="154">
        <v>15</v>
      </c>
      <c r="AH287" s="154">
        <v>15</v>
      </c>
      <c r="AI287" s="379"/>
      <c r="AJ287" s="379"/>
    </row>
    <row r="288" spans="1:36" s="380" customFormat="1" ht="15.75">
      <c r="A288" s="385"/>
      <c r="B288" s="64" t="s">
        <v>78</v>
      </c>
      <c r="C288" s="366">
        <v>4413</v>
      </c>
      <c r="D288" s="367">
        <v>4340</v>
      </c>
      <c r="E288" s="367">
        <v>4302</v>
      </c>
      <c r="F288" s="367">
        <v>4283</v>
      </c>
      <c r="G288" s="367">
        <v>4277</v>
      </c>
      <c r="H288" s="367">
        <v>4272</v>
      </c>
      <c r="I288" s="367">
        <v>4286</v>
      </c>
      <c r="J288" s="367">
        <v>4317</v>
      </c>
      <c r="K288" s="367">
        <v>4402</v>
      </c>
      <c r="L288" s="367">
        <v>4281</v>
      </c>
      <c r="M288" s="367">
        <v>4286</v>
      </c>
      <c r="N288" s="367">
        <v>4275</v>
      </c>
      <c r="O288" s="367">
        <v>4273</v>
      </c>
      <c r="P288" s="367">
        <v>4276</v>
      </c>
      <c r="Q288" s="367">
        <v>4280</v>
      </c>
      <c r="R288" s="367">
        <v>4295</v>
      </c>
      <c r="S288" s="388">
        <v>4356</v>
      </c>
      <c r="T288" s="332"/>
      <c r="U288" s="332"/>
      <c r="V288" s="332"/>
      <c r="W288" s="383"/>
      <c r="X288" s="332"/>
      <c r="Y288" s="332"/>
      <c r="Z288" s="384"/>
      <c r="AA288" s="368"/>
      <c r="AB288" s="348"/>
      <c r="AC288" s="379"/>
      <c r="AD288" s="379"/>
      <c r="AE288" s="381"/>
      <c r="AF288" s="381"/>
      <c r="AG288" s="381"/>
      <c r="AH288" s="381"/>
      <c r="AI288" s="379"/>
      <c r="AJ288" s="379"/>
    </row>
    <row r="289" spans="1:36" s="380" customFormat="1" ht="60">
      <c r="A289" s="386"/>
      <c r="B289" s="64" t="s">
        <v>79</v>
      </c>
      <c r="C289" s="332">
        <f t="shared" ref="C289:H289" si="98">IF(((C287="")*AND(C288="")),"",(C287-C288)*2)</f>
        <v>2064</v>
      </c>
      <c r="D289" s="332">
        <f t="shared" si="98"/>
        <v>2098</v>
      </c>
      <c r="E289" s="332">
        <f t="shared" si="98"/>
        <v>2108</v>
      </c>
      <c r="F289" s="332">
        <f t="shared" si="98"/>
        <v>2120</v>
      </c>
      <c r="G289" s="332">
        <f t="shared" si="98"/>
        <v>2124</v>
      </c>
      <c r="H289" s="332">
        <f t="shared" si="98"/>
        <v>2160</v>
      </c>
      <c r="I289" s="332">
        <f>IF(((I287="")*AND(I288="")),"",(I287-I288)*2)</f>
        <v>2182</v>
      </c>
      <c r="J289" s="332">
        <f>IF(((J287="")*AND(J288="")),"",(J287-J288)*2)</f>
        <v>2208</v>
      </c>
      <c r="K289" s="332">
        <f>IF(((K287="")*AND(K288="")),"",(K287-K288)*2)</f>
        <v>2138</v>
      </c>
      <c r="L289" s="332">
        <f>IF(((L287="")*AND(L288="")),"",(L287-L288)*2)</f>
        <v>2158</v>
      </c>
      <c r="M289" s="332">
        <f t="shared" ref="M289:S289" si="99">IF(((M287="")*AND(M288="")),"",(M287-M288)*2)</f>
        <v>2180</v>
      </c>
      <c r="N289" s="332">
        <f t="shared" si="99"/>
        <v>2168</v>
      </c>
      <c r="O289" s="332">
        <f t="shared" si="99"/>
        <v>2146</v>
      </c>
      <c r="P289" s="332">
        <f t="shared" si="99"/>
        <v>2134</v>
      </c>
      <c r="Q289" s="332">
        <f t="shared" si="99"/>
        <v>2134</v>
      </c>
      <c r="R289" s="332">
        <f t="shared" si="99"/>
        <v>2158</v>
      </c>
      <c r="S289" s="332">
        <f t="shared" si="99"/>
        <v>2090</v>
      </c>
      <c r="T289" s="332"/>
      <c r="U289" s="332"/>
      <c r="V289" s="332"/>
      <c r="W289" s="333"/>
      <c r="X289" s="332"/>
      <c r="Y289" s="332"/>
      <c r="Z289" s="384"/>
      <c r="AA289" s="368"/>
      <c r="AB289" s="348"/>
      <c r="AC289" s="379"/>
      <c r="AD289" s="379"/>
      <c r="AE289" s="381"/>
      <c r="AF289" s="381"/>
      <c r="AG289" s="381"/>
      <c r="AH289" s="381"/>
      <c r="AI289" s="379"/>
      <c r="AJ289" s="379"/>
    </row>
    <row r="290" spans="1:36" s="380" customFormat="1" ht="15.75">
      <c r="A290" s="340">
        <v>43564</v>
      </c>
      <c r="B290" s="64" t="s">
        <v>77</v>
      </c>
      <c r="C290" s="366">
        <v>2041</v>
      </c>
      <c r="D290" s="367">
        <v>2019</v>
      </c>
      <c r="E290" s="367">
        <v>2007</v>
      </c>
      <c r="F290" s="367">
        <v>1998</v>
      </c>
      <c r="G290" s="367">
        <v>1996</v>
      </c>
      <c r="H290" s="367">
        <v>1999</v>
      </c>
      <c r="I290" s="367">
        <v>2008</v>
      </c>
      <c r="J290" s="367">
        <v>2019</v>
      </c>
      <c r="K290" s="367">
        <v>2040</v>
      </c>
      <c r="L290" s="367">
        <v>2027</v>
      </c>
      <c r="M290" s="367">
        <v>2015</v>
      </c>
      <c r="N290" s="367">
        <v>2006</v>
      </c>
      <c r="O290" s="367">
        <v>1998</v>
      </c>
      <c r="P290" s="367">
        <v>1999</v>
      </c>
      <c r="Q290" s="367">
        <v>2007</v>
      </c>
      <c r="R290" s="367">
        <v>2018</v>
      </c>
      <c r="S290" s="367">
        <v>2036</v>
      </c>
      <c r="T290" s="64">
        <f>IF((S291=""),"",MAX(C292:S292))</f>
        <v>2178</v>
      </c>
      <c r="U290" s="64">
        <f>IF(S291="","",MIN(C292:S292))</f>
        <v>2038</v>
      </c>
      <c r="V290" s="64">
        <f>IF((S292=""),"",AVERAGE(C292:S292))</f>
        <v>2112.1176470588234</v>
      </c>
      <c r="W290" s="383">
        <f>STDEV(C292:S292)</f>
        <v>35.905922827823161</v>
      </c>
      <c r="X290" s="64">
        <f>IF((S291=""),"",((T290-U290)/(T290+U290))*100)</f>
        <v>3.3206831119544589</v>
      </c>
      <c r="Y290" s="75" t="str">
        <f>IF(S291="","",IF(X290&lt;15,IF(V290&gt;1680,IF(V290&lt;2200,"Pass","Fail"),"Fail"),"Fail"))</f>
        <v>Pass</v>
      </c>
      <c r="Z290" s="387">
        <v>1159</v>
      </c>
      <c r="AA290" s="391" t="s">
        <v>170</v>
      </c>
      <c r="AB290" s="392"/>
      <c r="AC290" s="132">
        <v>1600</v>
      </c>
      <c r="AD290" s="132">
        <v>2600</v>
      </c>
      <c r="AE290" s="158">
        <v>1690</v>
      </c>
      <c r="AF290" s="158">
        <v>2210</v>
      </c>
      <c r="AG290" s="154">
        <v>15</v>
      </c>
      <c r="AH290" s="154">
        <v>15</v>
      </c>
      <c r="AI290" s="379"/>
      <c r="AJ290" s="379"/>
    </row>
    <row r="291" spans="1:36" s="380" customFormat="1" ht="15.75">
      <c r="A291" s="385"/>
      <c r="B291" s="64" t="s">
        <v>78</v>
      </c>
      <c r="C291" s="366">
        <v>1022</v>
      </c>
      <c r="D291" s="367">
        <v>985</v>
      </c>
      <c r="E291" s="367">
        <v>970</v>
      </c>
      <c r="F291" s="367">
        <v>958</v>
      </c>
      <c r="G291" s="367">
        <v>948</v>
      </c>
      <c r="H291" s="367">
        <v>937</v>
      </c>
      <c r="I291" s="367">
        <v>930</v>
      </c>
      <c r="J291" s="367">
        <v>930</v>
      </c>
      <c r="K291" s="367">
        <v>959</v>
      </c>
      <c r="L291" s="367">
        <v>975</v>
      </c>
      <c r="M291" s="367">
        <v>945</v>
      </c>
      <c r="N291" s="367">
        <v>942</v>
      </c>
      <c r="O291" s="367">
        <v>944</v>
      </c>
      <c r="P291" s="367">
        <v>948</v>
      </c>
      <c r="Q291" s="367">
        <v>949</v>
      </c>
      <c r="R291" s="367">
        <v>954</v>
      </c>
      <c r="S291" s="388">
        <v>984</v>
      </c>
      <c r="T291" s="332"/>
      <c r="U291" s="332"/>
      <c r="V291" s="332"/>
      <c r="W291" s="383"/>
      <c r="X291" s="332"/>
      <c r="Y291" s="332"/>
      <c r="Z291" s="384"/>
      <c r="AA291" s="368"/>
      <c r="AB291" s="348"/>
      <c r="AC291" s="379"/>
      <c r="AD291" s="379"/>
      <c r="AE291" s="381"/>
      <c r="AF291" s="381"/>
      <c r="AG291" s="381"/>
      <c r="AH291" s="381"/>
      <c r="AI291" s="379"/>
      <c r="AJ291" s="379"/>
    </row>
    <row r="292" spans="1:36" s="380" customFormat="1" ht="60">
      <c r="A292" s="386"/>
      <c r="B292" s="64" t="s">
        <v>79</v>
      </c>
      <c r="C292" s="332">
        <f t="shared" ref="C292:H292" si="100">IF(((C290="")*AND(C291="")),"",(C290-C291)*2)</f>
        <v>2038</v>
      </c>
      <c r="D292" s="332">
        <f t="shared" si="100"/>
        <v>2068</v>
      </c>
      <c r="E292" s="332">
        <f t="shared" si="100"/>
        <v>2074</v>
      </c>
      <c r="F292" s="332">
        <f t="shared" si="100"/>
        <v>2080</v>
      </c>
      <c r="G292" s="332">
        <f t="shared" si="100"/>
        <v>2096</v>
      </c>
      <c r="H292" s="332">
        <f t="shared" si="100"/>
        <v>2124</v>
      </c>
      <c r="I292" s="332">
        <f>IF(((I290="")*AND(I291="")),"",(I290-I291)*2)</f>
        <v>2156</v>
      </c>
      <c r="J292" s="332">
        <f>IF(((J290="")*AND(J291="")),"",(J290-J291)*2)</f>
        <v>2178</v>
      </c>
      <c r="K292" s="332">
        <f>IF(((K290="")*AND(K291="")),"",(K290-K291)*2)</f>
        <v>2162</v>
      </c>
      <c r="L292" s="332">
        <f>IF(((L290="")*AND(L291="")),"",(L290-L291)*2)</f>
        <v>2104</v>
      </c>
      <c r="M292" s="332">
        <f t="shared" ref="M292:S292" si="101">IF(((M290="")*AND(M291="")),"",(M290-M291)*2)</f>
        <v>2140</v>
      </c>
      <c r="N292" s="332">
        <f t="shared" si="101"/>
        <v>2128</v>
      </c>
      <c r="O292" s="332">
        <f t="shared" si="101"/>
        <v>2108</v>
      </c>
      <c r="P292" s="332">
        <f t="shared" si="101"/>
        <v>2102</v>
      </c>
      <c r="Q292" s="332">
        <f t="shared" si="101"/>
        <v>2116</v>
      </c>
      <c r="R292" s="332">
        <f t="shared" si="101"/>
        <v>2128</v>
      </c>
      <c r="S292" s="332">
        <f t="shared" si="101"/>
        <v>2104</v>
      </c>
      <c r="T292" s="332"/>
      <c r="U292" s="332"/>
      <c r="V292" s="332"/>
      <c r="W292" s="333"/>
      <c r="X292" s="332"/>
      <c r="Y292" s="332"/>
      <c r="Z292" s="384"/>
      <c r="AA292" s="368"/>
      <c r="AB292" s="348"/>
      <c r="AC292" s="379"/>
      <c r="AD292" s="379"/>
      <c r="AE292" s="381"/>
      <c r="AF292" s="381"/>
      <c r="AG292" s="381"/>
      <c r="AH292" s="381"/>
      <c r="AI292" s="379"/>
      <c r="AJ292" s="379"/>
    </row>
    <row r="293" spans="1:36" s="380" customFormat="1" ht="15.75">
      <c r="A293" s="340">
        <v>43569</v>
      </c>
      <c r="B293" s="64" t="s">
        <v>77</v>
      </c>
      <c r="C293" s="366">
        <v>2020</v>
      </c>
      <c r="D293" s="367">
        <v>2004</v>
      </c>
      <c r="E293" s="367">
        <v>1999</v>
      </c>
      <c r="F293" s="367">
        <v>1995</v>
      </c>
      <c r="G293" s="367">
        <v>1993</v>
      </c>
      <c r="H293" s="367">
        <v>1994</v>
      </c>
      <c r="I293" s="367">
        <v>1996</v>
      </c>
      <c r="J293" s="367">
        <v>2000</v>
      </c>
      <c r="K293" s="367">
        <v>2013</v>
      </c>
      <c r="L293" s="367">
        <v>2003</v>
      </c>
      <c r="M293" s="367">
        <v>2000</v>
      </c>
      <c r="N293" s="367">
        <v>1997</v>
      </c>
      <c r="O293" s="367">
        <v>1994</v>
      </c>
      <c r="P293" s="367">
        <v>1996</v>
      </c>
      <c r="Q293" s="367">
        <v>1998</v>
      </c>
      <c r="R293" s="367">
        <v>2002</v>
      </c>
      <c r="S293" s="367">
        <v>2014</v>
      </c>
      <c r="T293" s="64">
        <f>IF((S294=""),"",MAX(C295:S295))</f>
        <v>2196.1999999999998</v>
      </c>
      <c r="U293" s="64">
        <f>IF(S294="","",MIN(C295:S295))</f>
        <v>2023.4</v>
      </c>
      <c r="V293" s="64">
        <f>IF((S295=""),"",AVERAGE(C295:S295))</f>
        <v>2113.6152941176465</v>
      </c>
      <c r="W293" s="383">
        <f>STDEV(C295:S295)</f>
        <v>45.236036259529968</v>
      </c>
      <c r="X293" s="64">
        <f>IF((S294=""),"",((T293-U293)/(T293+U293))*100)</f>
        <v>4.0951748980945997</v>
      </c>
      <c r="Y293" s="75" t="str">
        <f>IF(S294="","",IF(X293&lt;15,IF(V293&gt;1680,IF(V293&lt;2200,"Pass","Fail"),"Fail"),"Fail"))</f>
        <v>Pass</v>
      </c>
      <c r="Z293" s="387">
        <v>1534</v>
      </c>
      <c r="AA293" s="368"/>
      <c r="AB293" s="392"/>
      <c r="AC293" s="132">
        <v>1600</v>
      </c>
      <c r="AD293" s="132">
        <v>2600</v>
      </c>
      <c r="AE293" s="158">
        <v>1690</v>
      </c>
      <c r="AF293" s="158">
        <v>2210</v>
      </c>
      <c r="AG293" s="154">
        <v>15</v>
      </c>
      <c r="AH293" s="154">
        <v>15</v>
      </c>
      <c r="AI293" s="379"/>
      <c r="AJ293" s="379"/>
    </row>
    <row r="294" spans="1:36" s="380" customFormat="1" ht="15.75">
      <c r="A294" s="385"/>
      <c r="B294" s="64" t="s">
        <v>78</v>
      </c>
      <c r="C294" s="366">
        <v>1008.3</v>
      </c>
      <c r="D294" s="367">
        <v>977.07</v>
      </c>
      <c r="E294" s="367">
        <v>967.4</v>
      </c>
      <c r="F294" s="367">
        <v>958.5</v>
      </c>
      <c r="G294" s="367">
        <v>946.9</v>
      </c>
      <c r="H294" s="367">
        <v>929.1</v>
      </c>
      <c r="I294" s="367">
        <v>913.1</v>
      </c>
      <c r="J294" s="367">
        <v>901.9</v>
      </c>
      <c r="K294" s="367">
        <v>921.4</v>
      </c>
      <c r="L294" s="367">
        <v>950.8</v>
      </c>
      <c r="M294" s="367">
        <v>929.1</v>
      </c>
      <c r="N294" s="367">
        <v>933.6</v>
      </c>
      <c r="O294" s="367">
        <v>941.6</v>
      </c>
      <c r="P294" s="367">
        <v>943.6</v>
      </c>
      <c r="Q294" s="367">
        <v>937.7</v>
      </c>
      <c r="R294" s="367">
        <v>934.3</v>
      </c>
      <c r="S294" s="388">
        <v>957.9</v>
      </c>
      <c r="T294" s="332"/>
      <c r="U294" s="332"/>
      <c r="V294" s="332"/>
      <c r="W294" s="383"/>
      <c r="X294" s="332"/>
      <c r="Y294" s="332"/>
      <c r="Z294" s="384"/>
      <c r="AA294" s="368"/>
      <c r="AB294" s="348"/>
      <c r="AC294" s="379"/>
      <c r="AD294" s="379"/>
      <c r="AE294" s="381"/>
      <c r="AF294" s="381"/>
      <c r="AG294" s="381"/>
      <c r="AH294" s="381"/>
      <c r="AI294" s="379"/>
      <c r="AJ294" s="379"/>
    </row>
    <row r="295" spans="1:36" s="380" customFormat="1" ht="60">
      <c r="A295" s="386"/>
      <c r="B295" s="64" t="s">
        <v>79</v>
      </c>
      <c r="C295" s="332">
        <f t="shared" ref="C295:H295" si="102">IF(((C293="")*AND(C294="")),"",(C293-C294)*2)</f>
        <v>2023.4</v>
      </c>
      <c r="D295" s="332">
        <f t="shared" si="102"/>
        <v>2053.8599999999997</v>
      </c>
      <c r="E295" s="332">
        <f t="shared" si="102"/>
        <v>2063.1999999999998</v>
      </c>
      <c r="F295" s="332">
        <f t="shared" si="102"/>
        <v>2073</v>
      </c>
      <c r="G295" s="332">
        <f t="shared" si="102"/>
        <v>2092.1999999999998</v>
      </c>
      <c r="H295" s="332">
        <f t="shared" si="102"/>
        <v>2129.8000000000002</v>
      </c>
      <c r="I295" s="332">
        <f>IF(((I293="")*AND(I294="")),"",(I293-I294)*2)</f>
        <v>2165.8000000000002</v>
      </c>
      <c r="J295" s="332">
        <f>IF(((J293="")*AND(J294="")),"",(J293-J294)*2)</f>
        <v>2196.1999999999998</v>
      </c>
      <c r="K295" s="332">
        <f>IF(((K293="")*AND(K294="")),"",(K293-K294)*2)</f>
        <v>2183.1999999999998</v>
      </c>
      <c r="L295" s="332">
        <f>IF(((L293="")*AND(L294="")),"",(L293-L294)*2)</f>
        <v>2104.4</v>
      </c>
      <c r="M295" s="332">
        <f t="shared" ref="M295:S295" si="103">IF(((M293="")*AND(M294="")),"",(M293-M294)*2)</f>
        <v>2141.8000000000002</v>
      </c>
      <c r="N295" s="332">
        <f t="shared" si="103"/>
        <v>2126.8000000000002</v>
      </c>
      <c r="O295" s="332">
        <f t="shared" si="103"/>
        <v>2104.8000000000002</v>
      </c>
      <c r="P295" s="332">
        <f t="shared" si="103"/>
        <v>2104.8000000000002</v>
      </c>
      <c r="Q295" s="332">
        <f t="shared" si="103"/>
        <v>2120.6</v>
      </c>
      <c r="R295" s="332">
        <f t="shared" si="103"/>
        <v>2135.4</v>
      </c>
      <c r="S295" s="332">
        <f t="shared" si="103"/>
        <v>2112.1999999999998</v>
      </c>
      <c r="T295" s="332"/>
      <c r="U295" s="332"/>
      <c r="V295" s="332"/>
      <c r="W295" s="333"/>
      <c r="X295" s="332"/>
      <c r="Y295" s="332"/>
      <c r="Z295" s="384"/>
      <c r="AA295" s="368"/>
      <c r="AB295" s="348"/>
      <c r="AC295" s="379"/>
      <c r="AD295" s="379"/>
      <c r="AE295" s="381"/>
      <c r="AF295" s="381"/>
      <c r="AG295" s="381"/>
      <c r="AH295" s="381"/>
      <c r="AI295" s="379"/>
      <c r="AJ295" s="379"/>
    </row>
    <row r="296" spans="1:36" s="380" customFormat="1" ht="15.75">
      <c r="A296" s="340">
        <v>43577</v>
      </c>
      <c r="B296" s="64" t="s">
        <v>77</v>
      </c>
      <c r="C296" s="366">
        <v>1950</v>
      </c>
      <c r="D296" s="367">
        <v>2000</v>
      </c>
      <c r="E296" s="367">
        <v>1979</v>
      </c>
      <c r="F296" s="367">
        <v>1966</v>
      </c>
      <c r="G296" s="367">
        <v>1964</v>
      </c>
      <c r="H296" s="367">
        <v>1972</v>
      </c>
      <c r="I296" s="367">
        <v>1989</v>
      </c>
      <c r="J296" s="367">
        <v>2013</v>
      </c>
      <c r="K296" s="367">
        <v>1958</v>
      </c>
      <c r="L296" s="367">
        <v>2001</v>
      </c>
      <c r="M296" s="367">
        <v>1995</v>
      </c>
      <c r="N296" s="367">
        <v>1979</v>
      </c>
      <c r="O296" s="367">
        <v>1969</v>
      </c>
      <c r="P296" s="367">
        <v>1968</v>
      </c>
      <c r="Q296" s="367">
        <v>1978</v>
      </c>
      <c r="R296" s="367">
        <v>1994</v>
      </c>
      <c r="S296" s="388">
        <v>1937</v>
      </c>
      <c r="T296" s="64">
        <f>IF((S297=""),"",MAX(C298:S298))</f>
        <v>2172</v>
      </c>
      <c r="U296" s="64">
        <f>IF(S297="","",MIN(C298:S298))</f>
        <v>1832</v>
      </c>
      <c r="V296" s="64">
        <f>IF((S298=""),"",AVERAGE(C298:S298))</f>
        <v>2070.3529411764707</v>
      </c>
      <c r="W296" s="383">
        <f>STDEV(C298:S298)</f>
        <v>87.407766514533833</v>
      </c>
      <c r="X296" s="64">
        <f>IF((S297=""),"",((T296-U296)/(T296+U296))*100)</f>
        <v>8.4915084915084904</v>
      </c>
      <c r="Y296" s="75" t="str">
        <f>IF(S297="","",IF(X296&lt;15,IF(V296&gt;1680,IF(V296&lt;2200,"Pass","Fail"),"Fail"),"Fail"))</f>
        <v>Pass</v>
      </c>
      <c r="Z296" s="387">
        <v>1340</v>
      </c>
      <c r="AA296" s="368"/>
      <c r="AB296" s="392"/>
      <c r="AC296" s="132">
        <v>1600</v>
      </c>
      <c r="AD296" s="132">
        <v>2600</v>
      </c>
      <c r="AE296" s="158">
        <v>1690</v>
      </c>
      <c r="AF296" s="158">
        <v>2210</v>
      </c>
      <c r="AG296" s="154">
        <v>15</v>
      </c>
      <c r="AH296" s="154">
        <v>15</v>
      </c>
      <c r="AI296" s="379"/>
      <c r="AJ296" s="379"/>
    </row>
    <row r="297" spans="1:36" s="380" customFormat="1" ht="15.75">
      <c r="A297" s="385"/>
      <c r="B297" s="64" t="s">
        <v>78</v>
      </c>
      <c r="C297" s="366">
        <v>1034</v>
      </c>
      <c r="D297" s="367">
        <v>974</v>
      </c>
      <c r="E297" s="367">
        <v>947</v>
      </c>
      <c r="F297" s="367">
        <v>931</v>
      </c>
      <c r="G297" s="367">
        <v>921</v>
      </c>
      <c r="H297" s="367">
        <v>914</v>
      </c>
      <c r="I297" s="367">
        <v>915</v>
      </c>
      <c r="J297" s="367">
        <v>927</v>
      </c>
      <c r="K297" s="367">
        <v>979</v>
      </c>
      <c r="L297" s="367">
        <v>949</v>
      </c>
      <c r="M297" s="367">
        <v>929</v>
      </c>
      <c r="N297" s="367">
        <v>921</v>
      </c>
      <c r="O297" s="367">
        <v>920</v>
      </c>
      <c r="P297" s="367">
        <v>920</v>
      </c>
      <c r="Q297" s="367">
        <v>924</v>
      </c>
      <c r="R297" s="367">
        <v>934</v>
      </c>
      <c r="S297" s="388">
        <v>975</v>
      </c>
      <c r="T297" s="332"/>
      <c r="U297" s="332"/>
      <c r="V297" s="332"/>
      <c r="W297" s="383"/>
      <c r="X297" s="332"/>
      <c r="Y297" s="332"/>
      <c r="Z297" s="384"/>
      <c r="AA297" s="368"/>
      <c r="AB297" s="348"/>
      <c r="AC297" s="379"/>
      <c r="AD297" s="379"/>
      <c r="AE297" s="381"/>
      <c r="AF297" s="381"/>
      <c r="AG297" s="381"/>
      <c r="AH297" s="381"/>
      <c r="AI297" s="379"/>
      <c r="AJ297" s="379"/>
    </row>
    <row r="298" spans="1:36" s="380" customFormat="1" ht="60">
      <c r="A298" s="386"/>
      <c r="B298" s="64" t="s">
        <v>79</v>
      </c>
      <c r="C298" s="332">
        <f t="shared" ref="C298:H298" si="104">IF(((C296="")*AND(C297="")),"",(C296-C297)*2)</f>
        <v>1832</v>
      </c>
      <c r="D298" s="332">
        <f t="shared" si="104"/>
        <v>2052</v>
      </c>
      <c r="E298" s="332">
        <f t="shared" si="104"/>
        <v>2064</v>
      </c>
      <c r="F298" s="332">
        <f t="shared" si="104"/>
        <v>2070</v>
      </c>
      <c r="G298" s="332">
        <f t="shared" si="104"/>
        <v>2086</v>
      </c>
      <c r="H298" s="332">
        <f t="shared" si="104"/>
        <v>2116</v>
      </c>
      <c r="I298" s="332">
        <f>IF(((I296="")*AND(I297="")),"",(I296-I297)*2)</f>
        <v>2148</v>
      </c>
      <c r="J298" s="332">
        <f>IF(((J296="")*AND(J297="")),"",(J296-J297)*2)</f>
        <v>2172</v>
      </c>
      <c r="K298" s="332">
        <f>IF(((K296="")*AND(K297="")),"",(K296-K297)*2)</f>
        <v>1958</v>
      </c>
      <c r="L298" s="332">
        <f>IF(((L296="")*AND(L297="")),"",(L296-L297)*2)</f>
        <v>2104</v>
      </c>
      <c r="M298" s="332">
        <f t="shared" ref="M298:S298" si="105">IF(((M296="")*AND(M297="")),"",(M296-M297)*2)</f>
        <v>2132</v>
      </c>
      <c r="N298" s="332">
        <f t="shared" si="105"/>
        <v>2116</v>
      </c>
      <c r="O298" s="332">
        <f t="shared" si="105"/>
        <v>2098</v>
      </c>
      <c r="P298" s="332">
        <f t="shared" si="105"/>
        <v>2096</v>
      </c>
      <c r="Q298" s="332">
        <f t="shared" si="105"/>
        <v>2108</v>
      </c>
      <c r="R298" s="332">
        <f t="shared" si="105"/>
        <v>2120</v>
      </c>
      <c r="S298" s="332">
        <f t="shared" si="105"/>
        <v>1924</v>
      </c>
      <c r="T298" s="332"/>
      <c r="U298" s="332"/>
      <c r="V298" s="332"/>
      <c r="W298" s="333"/>
      <c r="X298" s="332"/>
      <c r="Y298" s="332"/>
      <c r="Z298" s="384"/>
      <c r="AA298" s="368"/>
      <c r="AB298" s="348"/>
      <c r="AC298" s="379"/>
      <c r="AD298" s="379"/>
      <c r="AE298" s="381"/>
      <c r="AF298" s="381"/>
      <c r="AG298" s="381"/>
      <c r="AH298" s="381"/>
      <c r="AI298" s="379"/>
      <c r="AJ298" s="379"/>
    </row>
    <row r="299" spans="1:36" s="380" customFormat="1" ht="15.75">
      <c r="A299" s="340">
        <v>43580</v>
      </c>
      <c r="B299" s="64" t="s">
        <v>77</v>
      </c>
      <c r="C299" s="366">
        <v>2019</v>
      </c>
      <c r="D299" s="367">
        <v>2003</v>
      </c>
      <c r="E299" s="367">
        <v>1997</v>
      </c>
      <c r="F299" s="367">
        <v>1995</v>
      </c>
      <c r="G299" s="367">
        <v>1993</v>
      </c>
      <c r="H299" s="367">
        <v>1995</v>
      </c>
      <c r="I299" s="367">
        <v>1995</v>
      </c>
      <c r="J299" s="367">
        <v>1999</v>
      </c>
      <c r="K299" s="367">
        <v>2011</v>
      </c>
      <c r="L299" s="367">
        <v>2003</v>
      </c>
      <c r="M299" s="367">
        <v>1997</v>
      </c>
      <c r="N299" s="367">
        <v>1995</v>
      </c>
      <c r="O299" s="367">
        <v>1994</v>
      </c>
      <c r="P299" s="367">
        <v>1995</v>
      </c>
      <c r="Q299" s="367">
        <v>1997</v>
      </c>
      <c r="R299" s="367">
        <v>2000</v>
      </c>
      <c r="S299" s="388">
        <v>2011</v>
      </c>
      <c r="T299" s="64">
        <f>IF((S300=""),"",MAX(C301:S301))</f>
        <v>2202</v>
      </c>
      <c r="U299" s="64">
        <f>IF(S300="","",MIN(C301:S301))</f>
        <v>2036</v>
      </c>
      <c r="V299" s="64">
        <f>IF((S301=""),"",AVERAGE(C301:S301))</f>
        <v>2120.1176470588234</v>
      </c>
      <c r="W299" s="383">
        <f>STDEV(C301:S301)</f>
        <v>41.554004549713284</v>
      </c>
      <c r="X299" s="64">
        <f>IF((S300=""),"",((T299-U299)/(T299+U299))*100)</f>
        <v>3.9169419537517696</v>
      </c>
      <c r="Y299" s="75" t="str">
        <f>IF(S300="","",IF(X299&lt;15,IF(V299&gt;1680,IF(V299&lt;2200,"Pass","Fail"),"Fail"),"Fail"))</f>
        <v>Pass</v>
      </c>
      <c r="Z299" s="387">
        <v>121</v>
      </c>
      <c r="AA299" s="368" t="s">
        <v>171</v>
      </c>
      <c r="AB299" s="392"/>
      <c r="AC299" s="132">
        <v>1600</v>
      </c>
      <c r="AD299" s="132">
        <v>2600</v>
      </c>
      <c r="AE299" s="158">
        <v>1690</v>
      </c>
      <c r="AF299" s="158">
        <v>2210</v>
      </c>
      <c r="AG299" s="154">
        <v>15</v>
      </c>
      <c r="AH299" s="154">
        <v>15</v>
      </c>
      <c r="AI299" s="379"/>
      <c r="AJ299" s="379"/>
    </row>
    <row r="300" spans="1:36" s="380" customFormat="1" ht="15.75">
      <c r="A300" s="385"/>
      <c r="B300" s="64" t="s">
        <v>78</v>
      </c>
      <c r="C300" s="366">
        <v>1001</v>
      </c>
      <c r="D300" s="367">
        <v>971</v>
      </c>
      <c r="E300" s="367">
        <v>962</v>
      </c>
      <c r="F300" s="367">
        <v>953</v>
      </c>
      <c r="G300" s="367">
        <v>941</v>
      </c>
      <c r="H300" s="367">
        <v>924</v>
      </c>
      <c r="I300" s="367">
        <v>908</v>
      </c>
      <c r="J300" s="367">
        <v>898</v>
      </c>
      <c r="K300" s="367">
        <v>934</v>
      </c>
      <c r="L300" s="367">
        <v>942</v>
      </c>
      <c r="M300" s="367">
        <v>922</v>
      </c>
      <c r="N300" s="367">
        <v>928</v>
      </c>
      <c r="O300" s="367">
        <v>937</v>
      </c>
      <c r="P300" s="367">
        <v>938</v>
      </c>
      <c r="Q300" s="367">
        <v>932</v>
      </c>
      <c r="R300" s="367">
        <v>928</v>
      </c>
      <c r="S300" s="388">
        <v>959</v>
      </c>
      <c r="T300" s="332"/>
      <c r="U300" s="332"/>
      <c r="V300" s="332"/>
      <c r="W300" s="383"/>
      <c r="X300" s="332"/>
      <c r="Y300" s="332"/>
      <c r="Z300" s="384"/>
      <c r="AA300" s="368"/>
      <c r="AB300" s="348"/>
      <c r="AC300" s="379"/>
      <c r="AD300" s="379"/>
      <c r="AE300" s="381"/>
      <c r="AF300" s="381"/>
      <c r="AG300" s="381"/>
      <c r="AH300" s="381"/>
      <c r="AI300" s="379"/>
      <c r="AJ300" s="379"/>
    </row>
    <row r="301" spans="1:36" s="380" customFormat="1" ht="60">
      <c r="A301" s="386"/>
      <c r="B301" s="64" t="s">
        <v>79</v>
      </c>
      <c r="C301" s="332">
        <f t="shared" ref="C301:H301" si="106">IF(((C299="")*AND(C300="")),"",(C299-C300)*2)</f>
        <v>2036</v>
      </c>
      <c r="D301" s="332">
        <f t="shared" si="106"/>
        <v>2064</v>
      </c>
      <c r="E301" s="332">
        <f t="shared" si="106"/>
        <v>2070</v>
      </c>
      <c r="F301" s="332">
        <f t="shared" si="106"/>
        <v>2084</v>
      </c>
      <c r="G301" s="332">
        <f t="shared" si="106"/>
        <v>2104</v>
      </c>
      <c r="H301" s="332">
        <f t="shared" si="106"/>
        <v>2142</v>
      </c>
      <c r="I301" s="332">
        <f>IF(((I299="")*AND(I300="")),"",(I299-I300)*2)</f>
        <v>2174</v>
      </c>
      <c r="J301" s="332">
        <f>IF(((J299="")*AND(J300="")),"",(J299-J300)*2)</f>
        <v>2202</v>
      </c>
      <c r="K301" s="332">
        <f>IF(((K299="")*AND(K300="")),"",(K299-K300)*2)</f>
        <v>2154</v>
      </c>
      <c r="L301" s="332">
        <f>IF(((L299="")*AND(L300="")),"",(L299-L300)*2)</f>
        <v>2122</v>
      </c>
      <c r="M301" s="332">
        <f t="shared" ref="M301:S301" si="107">IF(((M299="")*AND(M300="")),"",(M299-M300)*2)</f>
        <v>2150</v>
      </c>
      <c r="N301" s="332">
        <f t="shared" si="107"/>
        <v>2134</v>
      </c>
      <c r="O301" s="332">
        <f t="shared" si="107"/>
        <v>2114</v>
      </c>
      <c r="P301" s="332">
        <f t="shared" si="107"/>
        <v>2114</v>
      </c>
      <c r="Q301" s="332">
        <f t="shared" si="107"/>
        <v>2130</v>
      </c>
      <c r="R301" s="332">
        <f t="shared" si="107"/>
        <v>2144</v>
      </c>
      <c r="S301" s="332">
        <f t="shared" si="107"/>
        <v>2104</v>
      </c>
      <c r="T301" s="332"/>
      <c r="U301" s="332"/>
      <c r="V301" s="332"/>
      <c r="W301" s="333"/>
      <c r="X301" s="332"/>
      <c r="Y301" s="332"/>
      <c r="Z301" s="384"/>
      <c r="AA301" s="368"/>
      <c r="AB301" s="348"/>
      <c r="AC301" s="379"/>
      <c r="AD301" s="379"/>
      <c r="AE301" s="381"/>
      <c r="AF301" s="381"/>
      <c r="AG301" s="381"/>
      <c r="AH301" s="381"/>
      <c r="AI301" s="379"/>
      <c r="AJ301" s="379"/>
    </row>
    <row r="302" spans="1:36" s="380" customFormat="1" ht="15.75">
      <c r="A302" s="340">
        <v>43585</v>
      </c>
      <c r="B302" s="64" t="s">
        <v>77</v>
      </c>
      <c r="C302" s="366">
        <v>2050</v>
      </c>
      <c r="D302" s="367">
        <v>2019</v>
      </c>
      <c r="E302" s="367">
        <v>1996</v>
      </c>
      <c r="F302" s="367">
        <v>1984</v>
      </c>
      <c r="G302" s="367">
        <v>1981</v>
      </c>
      <c r="H302" s="367">
        <v>1989</v>
      </c>
      <c r="I302" s="367">
        <v>2005</v>
      </c>
      <c r="J302" s="367">
        <v>2030</v>
      </c>
      <c r="K302" s="367">
        <v>2061</v>
      </c>
      <c r="L302" s="367">
        <v>2013</v>
      </c>
      <c r="M302" s="367">
        <v>2013</v>
      </c>
      <c r="N302" s="367">
        <v>1997</v>
      </c>
      <c r="O302" s="367">
        <v>1986</v>
      </c>
      <c r="P302" s="367">
        <v>1986</v>
      </c>
      <c r="Q302" s="367">
        <v>1997</v>
      </c>
      <c r="R302" s="367">
        <v>2012</v>
      </c>
      <c r="S302" s="388">
        <v>2027</v>
      </c>
      <c r="T302" s="64">
        <f>IF((S303=""),"",MAX(C304:S304))</f>
        <v>2172</v>
      </c>
      <c r="U302" s="64">
        <f>IF(S303="","",MIN(C304:S304))</f>
        <v>2006</v>
      </c>
      <c r="V302" s="64">
        <f>IF((S304=""),"",AVERAGE(C304:S304))</f>
        <v>2097.1764705882351</v>
      </c>
      <c r="W302" s="383">
        <f>STDEV(C304:S304)</f>
        <v>38.75602419966237</v>
      </c>
      <c r="X302" s="64">
        <f>IF((S303=""),"",((T302-U302)/(T302+U302))*100)</f>
        <v>3.9731929152704648</v>
      </c>
      <c r="Y302" s="75" t="str">
        <f>IF(S303="","",IF(X302&lt;15,IF(V302&gt;1680,IF(V302&lt;2200,"Pass","Fail"),"Fail"),"Fail"))</f>
        <v>Pass</v>
      </c>
      <c r="Z302" s="387">
        <v>1340</v>
      </c>
      <c r="AA302" s="368"/>
      <c r="AB302" s="392"/>
      <c r="AC302" s="132">
        <v>1600</v>
      </c>
      <c r="AD302" s="132">
        <v>2600</v>
      </c>
      <c r="AE302" s="158">
        <v>1690</v>
      </c>
      <c r="AF302" s="158">
        <v>2210</v>
      </c>
      <c r="AG302" s="154">
        <v>15</v>
      </c>
      <c r="AH302" s="154">
        <v>15</v>
      </c>
      <c r="AI302" s="379"/>
      <c r="AJ302" s="379"/>
    </row>
    <row r="303" spans="1:36" s="380" customFormat="1" ht="15.75">
      <c r="A303" s="385"/>
      <c r="B303" s="64" t="s">
        <v>78</v>
      </c>
      <c r="C303" s="366">
        <v>1047</v>
      </c>
      <c r="D303" s="367">
        <v>996</v>
      </c>
      <c r="E303" s="367">
        <v>967</v>
      </c>
      <c r="F303" s="367">
        <v>951</v>
      </c>
      <c r="G303" s="367">
        <v>938</v>
      </c>
      <c r="H303" s="367">
        <v>932</v>
      </c>
      <c r="I303" s="367">
        <v>933</v>
      </c>
      <c r="J303" s="367">
        <v>944</v>
      </c>
      <c r="K303" s="367">
        <v>999</v>
      </c>
      <c r="L303" s="367">
        <v>967</v>
      </c>
      <c r="M303" s="367">
        <v>950</v>
      </c>
      <c r="N303" s="367">
        <v>941</v>
      </c>
      <c r="O303" s="367">
        <v>939</v>
      </c>
      <c r="P303" s="367">
        <v>939</v>
      </c>
      <c r="Q303" s="367">
        <v>943</v>
      </c>
      <c r="R303" s="367">
        <v>953</v>
      </c>
      <c r="S303" s="388">
        <v>981</v>
      </c>
      <c r="T303" s="332"/>
      <c r="U303" s="332"/>
      <c r="V303" s="332"/>
      <c r="W303" s="383"/>
      <c r="X303" s="332"/>
      <c r="Y303" s="332"/>
      <c r="Z303" s="384"/>
      <c r="AA303" s="368"/>
      <c r="AB303" s="348"/>
      <c r="AC303" s="379"/>
      <c r="AD303" s="379"/>
      <c r="AE303" s="381"/>
      <c r="AF303" s="381"/>
      <c r="AG303" s="381"/>
      <c r="AH303" s="381"/>
      <c r="AI303" s="379"/>
      <c r="AJ303" s="379"/>
    </row>
    <row r="304" spans="1:36" s="380" customFormat="1" ht="60">
      <c r="A304" s="386"/>
      <c r="B304" s="64" t="s">
        <v>79</v>
      </c>
      <c r="C304" s="332">
        <f t="shared" ref="C304:H304" si="108">IF(((C302="")*AND(C303="")),"",(C302-C303)*2)</f>
        <v>2006</v>
      </c>
      <c r="D304" s="332">
        <f t="shared" si="108"/>
        <v>2046</v>
      </c>
      <c r="E304" s="332">
        <f t="shared" si="108"/>
        <v>2058</v>
      </c>
      <c r="F304" s="332">
        <f t="shared" si="108"/>
        <v>2066</v>
      </c>
      <c r="G304" s="332">
        <f t="shared" si="108"/>
        <v>2086</v>
      </c>
      <c r="H304" s="332">
        <f t="shared" si="108"/>
        <v>2114</v>
      </c>
      <c r="I304" s="332">
        <f>IF(((I302="")*AND(I303="")),"",(I302-I303)*2)</f>
        <v>2144</v>
      </c>
      <c r="J304" s="332">
        <f>IF(((J302="")*AND(J303="")),"",(J302-J303)*2)</f>
        <v>2172</v>
      </c>
      <c r="K304" s="332">
        <f>IF(((K302="")*AND(K303="")),"",(K302-K303)*2)</f>
        <v>2124</v>
      </c>
      <c r="L304" s="332">
        <f>IF(((L302="")*AND(L303="")),"",(L302-L303)*2)</f>
        <v>2092</v>
      </c>
      <c r="M304" s="332">
        <f t="shared" ref="M304:S304" si="109">IF(((M302="")*AND(M303="")),"",(M302-M303)*2)</f>
        <v>2126</v>
      </c>
      <c r="N304" s="332">
        <f t="shared" si="109"/>
        <v>2112</v>
      </c>
      <c r="O304" s="332">
        <f t="shared" si="109"/>
        <v>2094</v>
      </c>
      <c r="P304" s="332">
        <f t="shared" si="109"/>
        <v>2094</v>
      </c>
      <c r="Q304" s="332">
        <f t="shared" si="109"/>
        <v>2108</v>
      </c>
      <c r="R304" s="332">
        <f t="shared" si="109"/>
        <v>2118</v>
      </c>
      <c r="S304" s="332">
        <f t="shared" si="109"/>
        <v>2092</v>
      </c>
      <c r="T304" s="332"/>
      <c r="U304" s="332"/>
      <c r="V304" s="332"/>
      <c r="W304" s="333"/>
      <c r="X304" s="332"/>
      <c r="Y304" s="332"/>
      <c r="Z304" s="384"/>
      <c r="AA304" s="368"/>
      <c r="AB304" s="348"/>
      <c r="AC304" s="379"/>
      <c r="AD304" s="379"/>
      <c r="AE304" s="381"/>
      <c r="AF304" s="381"/>
      <c r="AG304" s="381"/>
      <c r="AH304" s="381"/>
      <c r="AI304" s="379"/>
      <c r="AJ304" s="379"/>
    </row>
    <row r="305" spans="1:36" s="380" customFormat="1" ht="15.75">
      <c r="A305" s="340">
        <v>43588</v>
      </c>
      <c r="B305" s="64" t="s">
        <v>77</v>
      </c>
      <c r="C305" s="366">
        <v>2056</v>
      </c>
      <c r="D305" s="367">
        <v>2021</v>
      </c>
      <c r="E305" s="367">
        <v>1998</v>
      </c>
      <c r="F305" s="367">
        <v>1985</v>
      </c>
      <c r="G305" s="367">
        <v>1983</v>
      </c>
      <c r="H305" s="367">
        <v>1991</v>
      </c>
      <c r="I305" s="367">
        <v>2010</v>
      </c>
      <c r="J305" s="367">
        <v>2035</v>
      </c>
      <c r="K305" s="367">
        <v>2071</v>
      </c>
      <c r="L305" s="367">
        <v>2023</v>
      </c>
      <c r="M305" s="367">
        <v>2016</v>
      </c>
      <c r="N305" s="367">
        <v>2000</v>
      </c>
      <c r="O305" s="367">
        <v>1988</v>
      </c>
      <c r="P305" s="367">
        <v>1987</v>
      </c>
      <c r="Q305" s="367">
        <v>1998</v>
      </c>
      <c r="R305" s="367">
        <v>2015</v>
      </c>
      <c r="S305" s="388">
        <v>2035</v>
      </c>
      <c r="T305" s="64">
        <f>IF((S306=""),"",MAX(C307:S307))</f>
        <v>2182</v>
      </c>
      <c r="U305" s="64">
        <f>IF(S306="","",MIN(C307:S307))</f>
        <v>2018</v>
      </c>
      <c r="V305" s="64">
        <f>IF((S307=""),"",AVERAGE(C307:S307))</f>
        <v>2104.9411764705883</v>
      </c>
      <c r="W305" s="383">
        <f>STDEV(C307:S307)</f>
        <v>39.944446717029777</v>
      </c>
      <c r="X305" s="64">
        <f>IF((S306=""),"",((T305-U305)/(T305+U305))*100)</f>
        <v>3.9047619047619047</v>
      </c>
      <c r="Y305" s="75" t="str">
        <f>IF(S306="","",IF(X305&lt;15,IF(V305&gt;1680,IF(V305&lt;2200,"Pass","Fail"),"Fail"),"Fail"))</f>
        <v>Pass</v>
      </c>
      <c r="Z305" s="387">
        <v>1340</v>
      </c>
      <c r="AA305" s="368"/>
      <c r="AB305" s="392"/>
      <c r="AC305" s="132">
        <v>1600</v>
      </c>
      <c r="AD305" s="132">
        <v>2600</v>
      </c>
      <c r="AE305" s="158">
        <v>1690</v>
      </c>
      <c r="AF305" s="158">
        <v>2210</v>
      </c>
      <c r="AG305" s="154">
        <v>15</v>
      </c>
      <c r="AH305" s="154">
        <v>15</v>
      </c>
      <c r="AI305" s="379"/>
      <c r="AJ305" s="379"/>
    </row>
    <row r="306" spans="1:36" s="380" customFormat="1" ht="15.75">
      <c r="A306" s="385"/>
      <c r="B306" s="64" t="s">
        <v>78</v>
      </c>
      <c r="C306" s="366">
        <v>1047</v>
      </c>
      <c r="D306" s="367">
        <v>996</v>
      </c>
      <c r="E306" s="367">
        <v>967</v>
      </c>
      <c r="F306" s="367">
        <v>951</v>
      </c>
      <c r="G306" s="367">
        <v>938</v>
      </c>
      <c r="H306" s="367">
        <v>932</v>
      </c>
      <c r="I306" s="367">
        <v>933</v>
      </c>
      <c r="J306" s="367">
        <v>944</v>
      </c>
      <c r="K306" s="367">
        <v>999</v>
      </c>
      <c r="L306" s="367">
        <v>967</v>
      </c>
      <c r="M306" s="367">
        <v>950</v>
      </c>
      <c r="N306" s="367">
        <v>941</v>
      </c>
      <c r="O306" s="367">
        <v>939</v>
      </c>
      <c r="P306" s="367">
        <v>939</v>
      </c>
      <c r="Q306" s="367">
        <v>943</v>
      </c>
      <c r="R306" s="367">
        <v>953</v>
      </c>
      <c r="S306" s="388">
        <v>981</v>
      </c>
      <c r="T306" s="332"/>
      <c r="U306" s="332"/>
      <c r="V306" s="332"/>
      <c r="W306" s="383"/>
      <c r="X306" s="332"/>
      <c r="Y306" s="332"/>
      <c r="Z306" s="384"/>
      <c r="AA306" s="368"/>
      <c r="AB306" s="348"/>
      <c r="AC306" s="379"/>
      <c r="AD306" s="379"/>
      <c r="AE306" s="381"/>
      <c r="AF306" s="381"/>
      <c r="AG306" s="381"/>
      <c r="AH306" s="381"/>
      <c r="AI306" s="379"/>
      <c r="AJ306" s="379"/>
    </row>
    <row r="307" spans="1:36" s="380" customFormat="1" ht="60">
      <c r="A307" s="386"/>
      <c r="B307" s="64" t="s">
        <v>79</v>
      </c>
      <c r="C307" s="332">
        <f t="shared" ref="C307:H307" si="110">IF(((C305="")*AND(C306="")),"",(C305-C306)*2)</f>
        <v>2018</v>
      </c>
      <c r="D307" s="332">
        <f t="shared" si="110"/>
        <v>2050</v>
      </c>
      <c r="E307" s="332">
        <f t="shared" si="110"/>
        <v>2062</v>
      </c>
      <c r="F307" s="332">
        <f t="shared" si="110"/>
        <v>2068</v>
      </c>
      <c r="G307" s="332">
        <f t="shared" si="110"/>
        <v>2090</v>
      </c>
      <c r="H307" s="332">
        <f t="shared" si="110"/>
        <v>2118</v>
      </c>
      <c r="I307" s="332">
        <f>IF(((I305="")*AND(I306="")),"",(I305-I306)*2)</f>
        <v>2154</v>
      </c>
      <c r="J307" s="332">
        <f>IF(((J305="")*AND(J306="")),"",(J305-J306)*2)</f>
        <v>2182</v>
      </c>
      <c r="K307" s="332">
        <f>IF(((K305="")*AND(K306="")),"",(K305-K306)*2)</f>
        <v>2144</v>
      </c>
      <c r="L307" s="332">
        <f>IF(((L305="")*AND(L306="")),"",(L305-L306)*2)</f>
        <v>2112</v>
      </c>
      <c r="M307" s="332">
        <f t="shared" ref="M307:S307" si="111">IF(((M305="")*AND(M306="")),"",(M305-M306)*2)</f>
        <v>2132</v>
      </c>
      <c r="N307" s="332">
        <f t="shared" si="111"/>
        <v>2118</v>
      </c>
      <c r="O307" s="332">
        <f t="shared" si="111"/>
        <v>2098</v>
      </c>
      <c r="P307" s="332">
        <f t="shared" si="111"/>
        <v>2096</v>
      </c>
      <c r="Q307" s="332">
        <f t="shared" si="111"/>
        <v>2110</v>
      </c>
      <c r="R307" s="332">
        <f t="shared" si="111"/>
        <v>2124</v>
      </c>
      <c r="S307" s="332">
        <f t="shared" si="111"/>
        <v>2108</v>
      </c>
      <c r="T307" s="332"/>
      <c r="U307" s="332"/>
      <c r="V307" s="332"/>
      <c r="W307" s="333"/>
      <c r="X307" s="332"/>
      <c r="Y307" s="332"/>
      <c r="Z307" s="384"/>
      <c r="AA307" s="368"/>
      <c r="AB307" s="348"/>
      <c r="AC307" s="379"/>
      <c r="AD307" s="379"/>
      <c r="AE307" s="381"/>
      <c r="AF307" s="381"/>
      <c r="AG307" s="381"/>
      <c r="AH307" s="381"/>
      <c r="AI307" s="379"/>
      <c r="AJ307" s="379"/>
    </row>
    <row r="308" spans="1:36" s="380" customFormat="1" ht="15.75">
      <c r="A308" s="340">
        <v>43591</v>
      </c>
      <c r="B308" s="64" t="s">
        <v>77</v>
      </c>
      <c r="C308" s="348">
        <v>2022.48</v>
      </c>
      <c r="D308" s="348">
        <v>2016.68</v>
      </c>
      <c r="E308" s="348">
        <v>2013.39</v>
      </c>
      <c r="F308" s="348">
        <v>2011.43</v>
      </c>
      <c r="G308" s="348">
        <v>2009.75</v>
      </c>
      <c r="H308" s="348">
        <v>2010.39</v>
      </c>
      <c r="I308" s="348">
        <v>2012.23</v>
      </c>
      <c r="J308" s="348">
        <v>2013.41</v>
      </c>
      <c r="K308" s="348">
        <v>2018.97</v>
      </c>
      <c r="L308" s="348">
        <v>2015.25</v>
      </c>
      <c r="M308" s="348">
        <v>2012.54</v>
      </c>
      <c r="N308" s="348">
        <v>2010.27</v>
      </c>
      <c r="O308" s="348">
        <v>2009.61</v>
      </c>
      <c r="P308" s="348">
        <v>2011.06</v>
      </c>
      <c r="Q308" s="348">
        <v>2012.06</v>
      </c>
      <c r="R308" s="348">
        <v>2014.72</v>
      </c>
      <c r="S308" s="348">
        <v>2019.79</v>
      </c>
      <c r="T308" s="64">
        <f>IF((S309=""),"",MAX(C310:S310))</f>
        <v>2196.48</v>
      </c>
      <c r="U308" s="64">
        <f>IF(S309="","",MIN(C310:S310))</f>
        <v>2040.1000000000001</v>
      </c>
      <c r="V308" s="64">
        <f>IF((S310=""),"",AVERAGE(C310:S310))</f>
        <v>2119.5188235294117</v>
      </c>
      <c r="W308" s="383">
        <f>STDEV(C310:S310)</f>
        <v>41.942887043341784</v>
      </c>
      <c r="X308" s="64">
        <f>IF((S309=""),"",((T308-U308)/(T308+U308))*100)</f>
        <v>3.6911848708156079</v>
      </c>
      <c r="Y308" s="75" t="str">
        <f>IF(S309="","",IF(X308&lt;15,IF(V308&gt;1680,IF(V308&lt;2200,"Pass","Fail"),"Fail"),"Fail"))</f>
        <v>Pass</v>
      </c>
      <c r="Z308" s="387" t="s">
        <v>172</v>
      </c>
      <c r="AA308" s="368" t="s">
        <v>177</v>
      </c>
      <c r="AB308" s="392"/>
      <c r="AC308" s="132">
        <v>1600</v>
      </c>
      <c r="AD308" s="132">
        <v>2600</v>
      </c>
      <c r="AE308" s="158">
        <v>1690</v>
      </c>
      <c r="AF308" s="158">
        <v>2210</v>
      </c>
      <c r="AG308" s="154">
        <v>15</v>
      </c>
      <c r="AH308" s="154">
        <v>15</v>
      </c>
      <c r="AI308" s="379"/>
      <c r="AJ308" s="379"/>
    </row>
    <row r="309" spans="1:36" s="380" customFormat="1" ht="15.75">
      <c r="A309" s="385"/>
      <c r="B309" s="64" t="s">
        <v>78</v>
      </c>
      <c r="C309" s="348">
        <v>1002.43</v>
      </c>
      <c r="D309" s="348">
        <v>987.02</v>
      </c>
      <c r="E309" s="348">
        <v>977.36</v>
      </c>
      <c r="F309" s="348">
        <v>971.11</v>
      </c>
      <c r="G309" s="348">
        <v>960.21</v>
      </c>
      <c r="H309" s="348">
        <v>945.34</v>
      </c>
      <c r="I309" s="348">
        <v>932.3</v>
      </c>
      <c r="J309" s="348">
        <v>920.22</v>
      </c>
      <c r="K309" s="348">
        <v>920.73</v>
      </c>
      <c r="L309" s="348">
        <v>943.67</v>
      </c>
      <c r="M309" s="348">
        <v>943.5</v>
      </c>
      <c r="N309" s="348">
        <v>950.93</v>
      </c>
      <c r="O309" s="348">
        <v>957.99</v>
      </c>
      <c r="P309" s="348">
        <v>957.39</v>
      </c>
      <c r="Q309" s="348">
        <v>949.58</v>
      </c>
      <c r="R309" s="348">
        <v>946.61</v>
      </c>
      <c r="S309" s="348">
        <v>951.73</v>
      </c>
      <c r="T309" s="332"/>
      <c r="U309" s="332"/>
      <c r="V309" s="332"/>
      <c r="W309" s="383"/>
      <c r="X309" s="332"/>
      <c r="Y309" s="332"/>
      <c r="Z309" s="384"/>
      <c r="AA309" s="368"/>
      <c r="AB309" s="348"/>
      <c r="AC309" s="379"/>
      <c r="AD309" s="379"/>
      <c r="AE309" s="381"/>
      <c r="AF309" s="381"/>
      <c r="AG309" s="381"/>
      <c r="AH309" s="381"/>
      <c r="AI309" s="379"/>
      <c r="AJ309" s="379"/>
    </row>
    <row r="310" spans="1:36" s="380" customFormat="1" ht="60">
      <c r="A310" s="386"/>
      <c r="B310" s="64" t="s">
        <v>79</v>
      </c>
      <c r="C310" s="332">
        <f t="shared" ref="C310:H310" si="112">IF(((C308="")*AND(C309="")),"",(C308-C309)*2)</f>
        <v>2040.1000000000001</v>
      </c>
      <c r="D310" s="332">
        <f t="shared" si="112"/>
        <v>2059.3200000000002</v>
      </c>
      <c r="E310" s="332">
        <f t="shared" si="112"/>
        <v>2072.0600000000004</v>
      </c>
      <c r="F310" s="332">
        <f t="shared" si="112"/>
        <v>2080.6400000000003</v>
      </c>
      <c r="G310" s="332">
        <f t="shared" si="112"/>
        <v>2099.08</v>
      </c>
      <c r="H310" s="332">
        <f t="shared" si="112"/>
        <v>2130.1000000000004</v>
      </c>
      <c r="I310" s="332">
        <f>IF(((I308="")*AND(I309="")),"",(I308-I309)*2)</f>
        <v>2159.86</v>
      </c>
      <c r="J310" s="332">
        <f>IF(((J308="")*AND(J309="")),"",(J308-J309)*2)</f>
        <v>2186.38</v>
      </c>
      <c r="K310" s="332">
        <f>IF(((K308="")*AND(K309="")),"",(K308-K309)*2)</f>
        <v>2196.48</v>
      </c>
      <c r="L310" s="332">
        <f>IF(((L308="")*AND(L309="")),"",(L308-L309)*2)</f>
        <v>2143.16</v>
      </c>
      <c r="M310" s="332">
        <f t="shared" ref="M310:S310" si="113">IF(((M308="")*AND(M309="")),"",(M308-M309)*2)</f>
        <v>2138.08</v>
      </c>
      <c r="N310" s="332">
        <f t="shared" si="113"/>
        <v>2118.6800000000003</v>
      </c>
      <c r="O310" s="332">
        <f t="shared" si="113"/>
        <v>2103.2399999999998</v>
      </c>
      <c r="P310" s="332">
        <f t="shared" si="113"/>
        <v>2107.34</v>
      </c>
      <c r="Q310" s="332">
        <f t="shared" si="113"/>
        <v>2124.96</v>
      </c>
      <c r="R310" s="332">
        <f t="shared" si="113"/>
        <v>2136.2200000000003</v>
      </c>
      <c r="S310" s="332">
        <f t="shared" si="113"/>
        <v>2136.12</v>
      </c>
      <c r="T310" s="332"/>
      <c r="U310" s="332"/>
      <c r="V310" s="332"/>
      <c r="W310" s="333"/>
      <c r="X310" s="332"/>
      <c r="Y310" s="332"/>
      <c r="Z310" s="384"/>
      <c r="AA310" s="368"/>
      <c r="AB310" s="348"/>
      <c r="AC310" s="379"/>
      <c r="AD310" s="379"/>
      <c r="AE310" s="381"/>
      <c r="AF310" s="381"/>
      <c r="AG310" s="381"/>
      <c r="AH310" s="381"/>
      <c r="AI310" s="379"/>
      <c r="AJ310" s="379"/>
    </row>
    <row r="311" spans="1:36" s="380" customFormat="1" ht="15.75">
      <c r="A311" s="340">
        <v>43598</v>
      </c>
      <c r="B311" s="64" t="s">
        <v>77</v>
      </c>
      <c r="C311" s="348">
        <v>2015.62</v>
      </c>
      <c r="D311" s="348">
        <v>2007.76</v>
      </c>
      <c r="E311" s="348">
        <v>2004.49</v>
      </c>
      <c r="F311" s="348">
        <v>2001.57</v>
      </c>
      <c r="G311" s="348">
        <v>2000.26</v>
      </c>
      <c r="H311" s="348">
        <v>2000.8</v>
      </c>
      <c r="I311" s="348">
        <v>2002.34</v>
      </c>
      <c r="J311" s="348">
        <v>2004.79</v>
      </c>
      <c r="K311" s="348">
        <v>2009.76</v>
      </c>
      <c r="L311" s="348">
        <v>2007.62</v>
      </c>
      <c r="M311" s="348">
        <v>2003.55</v>
      </c>
      <c r="N311" s="348">
        <v>2001.77</v>
      </c>
      <c r="O311" s="348">
        <v>1999.85</v>
      </c>
      <c r="P311" s="348">
        <v>2001.99</v>
      </c>
      <c r="Q311" s="348">
        <v>2003.19</v>
      </c>
      <c r="R311" s="348">
        <v>2007.32</v>
      </c>
      <c r="S311" s="348">
        <v>2012.03</v>
      </c>
      <c r="T311" s="64">
        <f>IF((S312=""),"",MAX(C313:S313))</f>
        <v>2203.34</v>
      </c>
      <c r="U311" s="64">
        <f>IF(S312="","",MIN(C313:S313))</f>
        <v>2047.7199999999998</v>
      </c>
      <c r="V311" s="64">
        <f>IF((S313=""),"",AVERAGE(C313:S313))</f>
        <v>2129.2647058823527</v>
      </c>
      <c r="W311" s="383">
        <f>STDEV(C313:S313)</f>
        <v>42.440597032467984</v>
      </c>
      <c r="X311" s="64">
        <f>IF((S312=""),"",((T311-U311)/(T311+U311))*100)</f>
        <v>3.660734028689324</v>
      </c>
      <c r="Y311" s="75" t="str">
        <f>IF(S312="","",IF(X311&lt;15,IF(V311&gt;1680,IF(V311&lt;2200,"Pass","Fail"),"Fail"),"Fail"))</f>
        <v>Pass</v>
      </c>
      <c r="Z311" s="387">
        <v>1335</v>
      </c>
      <c r="AA311" s="368" t="s">
        <v>173</v>
      </c>
      <c r="AB311" s="392"/>
      <c r="AC311" s="132">
        <v>1600</v>
      </c>
      <c r="AD311" s="132">
        <v>2600</v>
      </c>
      <c r="AE311" s="158">
        <v>1690</v>
      </c>
      <c r="AF311" s="158">
        <v>2210</v>
      </c>
      <c r="AG311" s="154">
        <v>15</v>
      </c>
      <c r="AH311" s="154">
        <v>15</v>
      </c>
      <c r="AI311" s="379"/>
      <c r="AJ311" s="379"/>
    </row>
    <row r="312" spans="1:36" s="380" customFormat="1" ht="15.75">
      <c r="A312" s="385"/>
      <c r="B312" s="64" t="s">
        <v>78</v>
      </c>
      <c r="C312" s="348">
        <v>991.76</v>
      </c>
      <c r="D312" s="348">
        <v>973.21</v>
      </c>
      <c r="E312" s="348">
        <v>963.57</v>
      </c>
      <c r="F312" s="348">
        <v>957.99</v>
      </c>
      <c r="G312" s="348">
        <v>947.13</v>
      </c>
      <c r="H312" s="348">
        <v>931.22</v>
      </c>
      <c r="I312" s="348">
        <v>916.44</v>
      </c>
      <c r="J312" s="348">
        <v>906.48</v>
      </c>
      <c r="K312" s="348">
        <v>908.09</v>
      </c>
      <c r="L312" s="348">
        <v>930.41</v>
      </c>
      <c r="M312" s="348">
        <v>928.39</v>
      </c>
      <c r="N312" s="348">
        <v>935.31</v>
      </c>
      <c r="O312" s="348">
        <v>942.34</v>
      </c>
      <c r="P312" s="348">
        <v>943.46</v>
      </c>
      <c r="Q312" s="348">
        <v>937.72</v>
      </c>
      <c r="R312" s="348">
        <v>933.53</v>
      </c>
      <c r="S312" s="348">
        <v>938.91</v>
      </c>
      <c r="T312" s="332"/>
      <c r="U312" s="332"/>
      <c r="V312" s="332"/>
      <c r="W312" s="383"/>
      <c r="X312" s="332"/>
      <c r="Y312" s="332"/>
      <c r="Z312" s="384"/>
      <c r="AA312" s="368"/>
      <c r="AB312" s="348"/>
      <c r="AC312" s="379"/>
      <c r="AD312" s="379"/>
      <c r="AE312" s="381"/>
      <c r="AF312" s="381"/>
      <c r="AG312" s="381"/>
      <c r="AH312" s="381"/>
      <c r="AI312" s="379"/>
      <c r="AJ312" s="379"/>
    </row>
    <row r="313" spans="1:36" s="380" customFormat="1" ht="60">
      <c r="A313" s="386"/>
      <c r="B313" s="64" t="s">
        <v>79</v>
      </c>
      <c r="C313" s="332">
        <f t="shared" ref="C313:H313" si="114">IF(((C311="")*AND(C312="")),"",(C311-C312)*2)</f>
        <v>2047.7199999999998</v>
      </c>
      <c r="D313" s="332">
        <f t="shared" si="114"/>
        <v>2069.1</v>
      </c>
      <c r="E313" s="332">
        <f t="shared" si="114"/>
        <v>2081.84</v>
      </c>
      <c r="F313" s="332">
        <f t="shared" si="114"/>
        <v>2087.16</v>
      </c>
      <c r="G313" s="332">
        <f t="shared" si="114"/>
        <v>2106.2600000000002</v>
      </c>
      <c r="H313" s="332">
        <f t="shared" si="114"/>
        <v>2139.16</v>
      </c>
      <c r="I313" s="332">
        <f>IF(((I311="")*AND(I312="")),"",(I311-I312)*2)</f>
        <v>2171.7999999999997</v>
      </c>
      <c r="J313" s="332">
        <f>IF(((J311="")*AND(J312="")),"",(J311-J312)*2)</f>
        <v>2196.62</v>
      </c>
      <c r="K313" s="332">
        <f>IF(((K311="")*AND(K312="")),"",(K311-K312)*2)</f>
        <v>2203.34</v>
      </c>
      <c r="L313" s="332">
        <f>IF(((L311="")*AND(L312="")),"",(L311-L312)*2)</f>
        <v>2154.42</v>
      </c>
      <c r="M313" s="332">
        <f t="shared" ref="M313:S313" si="115">IF(((M311="")*AND(M312="")),"",(M311-M312)*2)</f>
        <v>2150.3199999999997</v>
      </c>
      <c r="N313" s="332">
        <f t="shared" si="115"/>
        <v>2132.92</v>
      </c>
      <c r="O313" s="332">
        <f t="shared" si="115"/>
        <v>2115.0199999999995</v>
      </c>
      <c r="P313" s="332">
        <f t="shared" si="115"/>
        <v>2117.06</v>
      </c>
      <c r="Q313" s="332">
        <f t="shared" si="115"/>
        <v>2130.94</v>
      </c>
      <c r="R313" s="332">
        <f t="shared" si="115"/>
        <v>2147.58</v>
      </c>
      <c r="S313" s="332">
        <f t="shared" si="115"/>
        <v>2146.2399999999998</v>
      </c>
      <c r="T313" s="332"/>
      <c r="U313" s="332"/>
      <c r="V313" s="332"/>
      <c r="W313" s="333"/>
      <c r="X313" s="332"/>
      <c r="Y313" s="332"/>
      <c r="Z313" s="384"/>
      <c r="AA313" s="368"/>
      <c r="AB313" s="348"/>
      <c r="AC313" s="379"/>
      <c r="AD313" s="379"/>
      <c r="AE313" s="381"/>
      <c r="AF313" s="381"/>
      <c r="AG313" s="381"/>
      <c r="AH313" s="381"/>
      <c r="AI313" s="379"/>
      <c r="AJ313" s="379"/>
    </row>
    <row r="314" spans="1:36" s="380" customFormat="1" ht="15.75">
      <c r="A314" s="340">
        <v>43603</v>
      </c>
      <c r="B314" s="64" t="s">
        <v>77</v>
      </c>
      <c r="C314" s="348">
        <v>2064.75</v>
      </c>
      <c r="D314" s="348">
        <v>2053.92</v>
      </c>
      <c r="E314" s="348">
        <v>2047.28</v>
      </c>
      <c r="F314" s="348">
        <v>2043.3</v>
      </c>
      <c r="G314" s="348">
        <v>2041.85</v>
      </c>
      <c r="H314" s="348">
        <v>2043.26</v>
      </c>
      <c r="I314" s="348">
        <v>2046.73</v>
      </c>
      <c r="J314" s="348">
        <v>2054.09</v>
      </c>
      <c r="K314" s="348">
        <v>2064.5300000000002</v>
      </c>
      <c r="L314" s="348">
        <v>2061.33</v>
      </c>
      <c r="M314" s="348">
        <v>2054.02</v>
      </c>
      <c r="N314" s="348">
        <v>2048.36</v>
      </c>
      <c r="O314" s="348">
        <v>2043.84</v>
      </c>
      <c r="P314" s="348">
        <v>2044.58</v>
      </c>
      <c r="Q314" s="348">
        <v>2048.9</v>
      </c>
      <c r="R314" s="348">
        <v>2053.3000000000002</v>
      </c>
      <c r="S314" s="348">
        <v>2061.0100000000002</v>
      </c>
      <c r="T314" s="64">
        <f>IF((S315=""),"",MAX(C316:S316))</f>
        <v>2203.7800000000007</v>
      </c>
      <c r="U314" s="64">
        <f>IF(S315="","",MIN(C316:S316))</f>
        <v>2046.7600000000002</v>
      </c>
      <c r="V314" s="64">
        <f>IF((S316=""),"",AVERAGE(C316:S316))</f>
        <v>2123.7164705882351</v>
      </c>
      <c r="W314" s="383">
        <f>STDEV(C316:S316)</f>
        <v>41.697169109721749</v>
      </c>
      <c r="X314" s="64">
        <f>IF((S315=""),"",((T314-U314)/(T314+U314))*100)</f>
        <v>3.6941188648971757</v>
      </c>
      <c r="Y314" s="75" t="str">
        <f>IF(S315="","",IF(X314&lt;15,IF(V314&gt;1680,IF(V314&lt;2200,"Pass","Fail"),"Fail"),"Fail"))</f>
        <v>Pass</v>
      </c>
      <c r="Z314" s="387">
        <v>1335</v>
      </c>
      <c r="AA314" s="368"/>
      <c r="AB314" s="392"/>
      <c r="AC314" s="132">
        <v>1600</v>
      </c>
      <c r="AD314" s="132">
        <v>2600</v>
      </c>
      <c r="AE314" s="158">
        <v>1690</v>
      </c>
      <c r="AF314" s="158">
        <v>2210</v>
      </c>
      <c r="AG314" s="154">
        <v>15</v>
      </c>
      <c r="AH314" s="154">
        <v>15</v>
      </c>
      <c r="AI314" s="379"/>
      <c r="AJ314" s="379"/>
    </row>
    <row r="315" spans="1:36" s="380" customFormat="1" ht="15.75">
      <c r="A315" s="385"/>
      <c r="B315" s="64" t="s">
        <v>78</v>
      </c>
      <c r="C315" s="348">
        <v>1041.3699999999999</v>
      </c>
      <c r="D315" s="348">
        <v>1021.25</v>
      </c>
      <c r="E315" s="348">
        <v>1009.37</v>
      </c>
      <c r="F315" s="348">
        <v>1001.12</v>
      </c>
      <c r="G315" s="348">
        <v>989.86</v>
      </c>
      <c r="H315" s="348">
        <v>978.07</v>
      </c>
      <c r="I315" s="348">
        <v>965.99</v>
      </c>
      <c r="J315" s="348">
        <v>958.28</v>
      </c>
      <c r="K315" s="348">
        <v>962.64</v>
      </c>
      <c r="L315" s="348">
        <v>988.25</v>
      </c>
      <c r="M315" s="348">
        <v>981.81</v>
      </c>
      <c r="N315" s="348">
        <v>985.35</v>
      </c>
      <c r="O315" s="348">
        <v>987.72</v>
      </c>
      <c r="P315" s="348">
        <v>990.34</v>
      </c>
      <c r="Q315" s="348">
        <v>986.54</v>
      </c>
      <c r="R315" s="348">
        <v>984.77</v>
      </c>
      <c r="S315" s="348">
        <v>990.73</v>
      </c>
      <c r="T315" s="332"/>
      <c r="U315" s="332"/>
      <c r="V315" s="332"/>
      <c r="W315" s="383"/>
      <c r="X315" s="332"/>
      <c r="Y315" s="332"/>
      <c r="Z315" s="384"/>
      <c r="AA315" s="368"/>
      <c r="AB315" s="348"/>
      <c r="AC315" s="379"/>
      <c r="AD315" s="379"/>
      <c r="AE315" s="381"/>
      <c r="AF315" s="381"/>
      <c r="AG315" s="381"/>
      <c r="AH315" s="381"/>
      <c r="AI315" s="379"/>
      <c r="AJ315" s="379"/>
    </row>
    <row r="316" spans="1:36" s="380" customFormat="1" ht="60">
      <c r="A316" s="386"/>
      <c r="B316" s="64" t="s">
        <v>79</v>
      </c>
      <c r="C316" s="332">
        <f t="shared" ref="C316:H316" si="116">IF(((C314="")*AND(C315="")),"",(C314-C315)*2)</f>
        <v>2046.7600000000002</v>
      </c>
      <c r="D316" s="332">
        <f t="shared" si="116"/>
        <v>2065.34</v>
      </c>
      <c r="E316" s="332">
        <f t="shared" si="116"/>
        <v>2075.8199999999997</v>
      </c>
      <c r="F316" s="332">
        <f t="shared" si="116"/>
        <v>2084.3599999999997</v>
      </c>
      <c r="G316" s="332">
        <f t="shared" si="116"/>
        <v>2103.9799999999996</v>
      </c>
      <c r="H316" s="332">
        <f t="shared" si="116"/>
        <v>2130.38</v>
      </c>
      <c r="I316" s="332">
        <f>IF(((I314="")*AND(I315="")),"",(I314-I315)*2)</f>
        <v>2161.48</v>
      </c>
      <c r="J316" s="332">
        <f>IF(((J314="")*AND(J315="")),"",(J314-J315)*2)</f>
        <v>2191.6200000000003</v>
      </c>
      <c r="K316" s="332">
        <f>IF(((K314="")*AND(K315="")),"",(K314-K315)*2)</f>
        <v>2203.7800000000007</v>
      </c>
      <c r="L316" s="332">
        <f>IF(((L314="")*AND(L315="")),"",(L314-L315)*2)</f>
        <v>2146.16</v>
      </c>
      <c r="M316" s="332">
        <f t="shared" ref="M316:S316" si="117">IF(((M314="")*AND(M315="")),"",(M314-M315)*2)</f>
        <v>2144.42</v>
      </c>
      <c r="N316" s="332">
        <f t="shared" si="117"/>
        <v>2126.0200000000004</v>
      </c>
      <c r="O316" s="332">
        <f t="shared" si="117"/>
        <v>2112.2399999999998</v>
      </c>
      <c r="P316" s="332">
        <f t="shared" si="117"/>
        <v>2108.4799999999996</v>
      </c>
      <c r="Q316" s="332">
        <f t="shared" si="117"/>
        <v>2124.7200000000003</v>
      </c>
      <c r="R316" s="332">
        <f t="shared" si="117"/>
        <v>2137.0600000000004</v>
      </c>
      <c r="S316" s="332">
        <f t="shared" si="117"/>
        <v>2140.5600000000004</v>
      </c>
      <c r="T316" s="332"/>
      <c r="U316" s="332"/>
      <c r="V316" s="332"/>
      <c r="W316" s="333"/>
      <c r="X316" s="332"/>
      <c r="Y316" s="332"/>
      <c r="Z316" s="384"/>
      <c r="AA316" s="368"/>
      <c r="AB316" s="348"/>
      <c r="AC316" s="379"/>
      <c r="AD316" s="379"/>
      <c r="AE316" s="381"/>
      <c r="AF316" s="381"/>
      <c r="AG316" s="381"/>
      <c r="AH316" s="381"/>
      <c r="AI316" s="379"/>
      <c r="AJ316" s="379"/>
    </row>
    <row r="317" spans="1:36" s="380" customFormat="1" ht="15.75">
      <c r="A317" s="340">
        <v>43605</v>
      </c>
      <c r="B317" s="64" t="s">
        <v>77</v>
      </c>
      <c r="C317" s="348">
        <v>2014.83</v>
      </c>
      <c r="D317" s="348">
        <v>2007.47</v>
      </c>
      <c r="E317" s="348">
        <v>2002.42</v>
      </c>
      <c r="F317" s="348">
        <v>2000.67</v>
      </c>
      <c r="G317" s="348">
        <v>1998.62</v>
      </c>
      <c r="H317" s="348">
        <v>1998.93</v>
      </c>
      <c r="I317" s="348">
        <v>2001.27</v>
      </c>
      <c r="J317" s="348">
        <v>2004.24</v>
      </c>
      <c r="K317" s="348">
        <v>2010.78</v>
      </c>
      <c r="L317" s="348">
        <v>2008.28</v>
      </c>
      <c r="M317" s="348">
        <v>2003.63</v>
      </c>
      <c r="N317" s="348">
        <v>2000.58</v>
      </c>
      <c r="O317" s="348">
        <v>1998.83</v>
      </c>
      <c r="P317" s="348">
        <v>2000.59</v>
      </c>
      <c r="Q317" s="348">
        <v>2001.32</v>
      </c>
      <c r="R317" s="348">
        <v>2005.67</v>
      </c>
      <c r="S317" s="348">
        <v>2010.72</v>
      </c>
      <c r="T317" s="64">
        <f>IF((S318=""),"",MAX(C319:S319))</f>
        <v>2183.48</v>
      </c>
      <c r="U317" s="64">
        <f>IF(S318="","",MIN(C319:S319))</f>
        <v>2037.6</v>
      </c>
      <c r="V317" s="64">
        <f>IF((S319=""),"",AVERAGE(C319:S319))</f>
        <v>2111.4011764705883</v>
      </c>
      <c r="W317" s="383">
        <f>STDEV(C319:S319)</f>
        <v>40.461748275756008</v>
      </c>
      <c r="X317" s="64">
        <f>IF((S318=""),"",((T317-U317)/(T317+U317))*100)</f>
        <v>3.455987567162909</v>
      </c>
      <c r="Y317" s="75" t="str">
        <f>IF(S318="","",IF(X317&lt;15,IF(V317&gt;1680,IF(V317&lt;2200,"Pass","Fail"),"Fail"),"Fail"))</f>
        <v>Pass</v>
      </c>
      <c r="Z317" s="387">
        <v>102</v>
      </c>
      <c r="AA317" s="368" t="s">
        <v>174</v>
      </c>
      <c r="AB317" s="392"/>
      <c r="AC317" s="132">
        <v>1600</v>
      </c>
      <c r="AD317" s="132">
        <v>2600</v>
      </c>
      <c r="AE317" s="158">
        <v>1690</v>
      </c>
      <c r="AF317" s="158">
        <v>2210</v>
      </c>
      <c r="AG317" s="154">
        <v>15</v>
      </c>
      <c r="AH317" s="154">
        <v>15</v>
      </c>
      <c r="AI317" s="379"/>
      <c r="AJ317" s="379"/>
    </row>
    <row r="318" spans="1:36" s="380" customFormat="1" ht="15.75">
      <c r="A318" s="385"/>
      <c r="B318" s="64" t="s">
        <v>78</v>
      </c>
      <c r="C318" s="348">
        <v>996.03</v>
      </c>
      <c r="D318" s="348">
        <v>979.23</v>
      </c>
      <c r="E318" s="348">
        <v>971.04</v>
      </c>
      <c r="F318" s="348">
        <v>964.67</v>
      </c>
      <c r="G318" s="348">
        <v>955.04</v>
      </c>
      <c r="H318" s="348">
        <v>938.98</v>
      </c>
      <c r="I318" s="348">
        <v>924.96</v>
      </c>
      <c r="J318" s="348">
        <v>915.42</v>
      </c>
      <c r="K318" s="348">
        <v>919.04</v>
      </c>
      <c r="L318" s="348">
        <v>940.31</v>
      </c>
      <c r="M318" s="348">
        <v>938.22</v>
      </c>
      <c r="N318" s="348">
        <v>943.09</v>
      </c>
      <c r="O318" s="348">
        <v>950.72</v>
      </c>
      <c r="P318" s="348">
        <v>950.59</v>
      </c>
      <c r="Q318" s="348">
        <v>945.66</v>
      </c>
      <c r="R318" s="348">
        <v>941.27</v>
      </c>
      <c r="S318" s="348">
        <v>947.67</v>
      </c>
      <c r="T318" s="332"/>
      <c r="U318" s="332"/>
      <c r="V318" s="332"/>
      <c r="W318" s="383"/>
      <c r="X318" s="332"/>
      <c r="Y318" s="332"/>
      <c r="Z318" s="384"/>
      <c r="AA318" s="368"/>
      <c r="AB318" s="348"/>
      <c r="AC318" s="379"/>
      <c r="AD318" s="379"/>
      <c r="AE318" s="381"/>
      <c r="AF318" s="381"/>
      <c r="AG318" s="381"/>
      <c r="AH318" s="381"/>
      <c r="AI318" s="379"/>
      <c r="AJ318" s="379"/>
    </row>
    <row r="319" spans="1:36" s="380" customFormat="1" ht="60">
      <c r="A319" s="386"/>
      <c r="B319" s="64" t="s">
        <v>79</v>
      </c>
      <c r="C319" s="332">
        <f t="shared" ref="C319:H319" si="118">IF(((C317="")*AND(C318="")),"",(C317-C318)*2)</f>
        <v>2037.6</v>
      </c>
      <c r="D319" s="332">
        <f t="shared" si="118"/>
        <v>2056.48</v>
      </c>
      <c r="E319" s="332">
        <f t="shared" si="118"/>
        <v>2062.7600000000002</v>
      </c>
      <c r="F319" s="332">
        <f t="shared" si="118"/>
        <v>2072</v>
      </c>
      <c r="G319" s="332">
        <f t="shared" si="118"/>
        <v>2087.16</v>
      </c>
      <c r="H319" s="332">
        <f t="shared" si="118"/>
        <v>2119.9</v>
      </c>
      <c r="I319" s="332">
        <f>IF(((I317="")*AND(I318="")),"",(I317-I318)*2)</f>
        <v>2152.62</v>
      </c>
      <c r="J319" s="332">
        <f>IF(((J317="")*AND(J318="")),"",(J317-J318)*2)</f>
        <v>2177.6400000000003</v>
      </c>
      <c r="K319" s="332">
        <f>IF(((K317="")*AND(K318="")),"",(K317-K318)*2)</f>
        <v>2183.48</v>
      </c>
      <c r="L319" s="332">
        <f>IF(((L317="")*AND(L318="")),"",(L317-L318)*2)</f>
        <v>2135.94</v>
      </c>
      <c r="M319" s="332">
        <f t="shared" ref="M319:S319" si="119">IF(((M317="")*AND(M318="")),"",(M317-M318)*2)</f>
        <v>2130.8200000000002</v>
      </c>
      <c r="N319" s="332">
        <f t="shared" si="119"/>
        <v>2114.9799999999996</v>
      </c>
      <c r="O319" s="332">
        <f t="shared" si="119"/>
        <v>2096.2199999999998</v>
      </c>
      <c r="P319" s="332">
        <f t="shared" si="119"/>
        <v>2100</v>
      </c>
      <c r="Q319" s="332">
        <f t="shared" si="119"/>
        <v>2111.3199999999997</v>
      </c>
      <c r="R319" s="332">
        <f t="shared" si="119"/>
        <v>2128.8000000000002</v>
      </c>
      <c r="S319" s="332">
        <f t="shared" si="119"/>
        <v>2126.1000000000004</v>
      </c>
      <c r="T319" s="332"/>
      <c r="U319" s="332"/>
      <c r="V319" s="332"/>
      <c r="W319" s="333"/>
      <c r="X319" s="332"/>
      <c r="Y319" s="332"/>
      <c r="Z319" s="384"/>
      <c r="AA319" s="368"/>
      <c r="AB319" s="348"/>
      <c r="AC319" s="379"/>
      <c r="AD319" s="379"/>
      <c r="AE319" s="381"/>
      <c r="AF319" s="381"/>
      <c r="AG319" s="381"/>
      <c r="AH319" s="381"/>
      <c r="AI319" s="379"/>
      <c r="AJ319" s="379"/>
    </row>
  </sheetData>
  <autoFilter ref="A10:AH319"/>
  <mergeCells count="1">
    <mergeCell ref="C9:S9"/>
  </mergeCells>
  <conditionalFormatting sqref="Y182 Y179 Y161 Y164 Y167 Y170 Y173 Y176 Y185 Y188 Y191 Y194 Y197 Y200 Y203 Y206 Y212 Y209 Y215 Y218 Y221 Y224 Y227 Y230 Y233 Y236 Y239 Y242 Y116 Y113 Y109:Y110 Y104 Y106:Y107 Y101 Y98 Y95 Y77 Y79:Y80 Y82:Y83 Y86 Y89 Y92 Y67:Y68 Y73:Y74 Y65 Y71 Y56 Y58:Y59 Y62 Y53 Y50 Y47 Y44 Y38 Y41 Y34:Y35 Y29 Y32 Y26 Y23 Y17 Y20 Y14 Y11 Y119 Y122 Y125 Y128 Y131 Y134 Y137 Y140 Y146 Y143 Y149 Y152 Y155 Y158 Y245 Y248 Y251 Y254 Y257 Y260 Y263 Y266 Y269 Y272 Y275 Y278 Y281 Y284 Y287 Y290 Y293 Y296 Y299 Y302 Y305 Y308 Y311 Y314 Y317">
    <cfRule type="cellIs" dxfId="1141" priority="487" stopIfTrue="1" operator="equal">
      <formula>"Fail"</formula>
    </cfRule>
    <cfRule type="cellIs" dxfId="1140" priority="488" stopIfTrue="1" operator="equal">
      <formula>"Pass"</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dimension ref="A26:A123"/>
  <sheetViews>
    <sheetView workbookViewId="0">
      <selection activeCell="W21" sqref="W21"/>
    </sheetView>
  </sheetViews>
  <sheetFormatPr defaultRowHeight="15.75"/>
  <sheetData>
    <row r="26" spans="1:1">
      <c r="A26" s="190"/>
    </row>
    <row r="27" spans="1:1">
      <c r="A27" s="190"/>
    </row>
    <row r="28" spans="1:1">
      <c r="A28" s="190"/>
    </row>
    <row r="29" spans="1:1">
      <c r="A29" s="190"/>
    </row>
    <row r="30" spans="1:1">
      <c r="A30" s="190"/>
    </row>
    <row r="31" spans="1:1">
      <c r="A31" s="190"/>
    </row>
    <row r="32" spans="1:1">
      <c r="A32" s="190"/>
    </row>
    <row r="33" spans="1:1">
      <c r="A33" s="190"/>
    </row>
    <row r="34" spans="1:1">
      <c r="A34" s="190"/>
    </row>
    <row r="35" spans="1:1">
      <c r="A35" s="190"/>
    </row>
    <row r="36" spans="1:1">
      <c r="A36" s="190"/>
    </row>
    <row r="37" spans="1:1">
      <c r="A37" s="190"/>
    </row>
    <row r="38" spans="1:1">
      <c r="A38" s="190"/>
    </row>
    <row r="39" spans="1:1">
      <c r="A39" s="190"/>
    </row>
    <row r="40" spans="1:1">
      <c r="A40" s="190"/>
    </row>
    <row r="41" spans="1:1">
      <c r="A41" s="190"/>
    </row>
    <row r="42" spans="1:1">
      <c r="A42" s="190"/>
    </row>
    <row r="43" spans="1:1">
      <c r="A43" s="190"/>
    </row>
    <row r="44" spans="1:1">
      <c r="A44" s="190"/>
    </row>
    <row r="45" spans="1:1">
      <c r="A45" s="190"/>
    </row>
    <row r="46" spans="1:1">
      <c r="A46" s="190"/>
    </row>
    <row r="47" spans="1:1">
      <c r="A47" s="190"/>
    </row>
    <row r="48" spans="1:1">
      <c r="A48" s="190"/>
    </row>
    <row r="49" spans="1:1">
      <c r="A49" s="190"/>
    </row>
    <row r="50" spans="1:1">
      <c r="A50" s="190"/>
    </row>
    <row r="51" spans="1:1">
      <c r="A51" s="190"/>
    </row>
    <row r="52" spans="1:1">
      <c r="A52" s="190"/>
    </row>
    <row r="53" spans="1:1">
      <c r="A53" s="190"/>
    </row>
    <row r="54" spans="1:1">
      <c r="A54" s="190"/>
    </row>
    <row r="55" spans="1:1">
      <c r="A55" s="190"/>
    </row>
    <row r="56" spans="1:1">
      <c r="A56" s="190"/>
    </row>
    <row r="57" spans="1:1">
      <c r="A57" s="190"/>
    </row>
    <row r="58" spans="1:1">
      <c r="A58" s="190"/>
    </row>
    <row r="59" spans="1:1">
      <c r="A59" s="190"/>
    </row>
    <row r="60" spans="1:1">
      <c r="A60" s="190"/>
    </row>
    <row r="61" spans="1:1">
      <c r="A61" s="190"/>
    </row>
    <row r="62" spans="1:1">
      <c r="A62" s="190"/>
    </row>
    <row r="63" spans="1:1">
      <c r="A63" s="190"/>
    </row>
    <row r="64" spans="1:1">
      <c r="A64" s="190"/>
    </row>
    <row r="65" spans="1:1">
      <c r="A65" s="190"/>
    </row>
    <row r="66" spans="1:1">
      <c r="A66" s="190"/>
    </row>
    <row r="67" spans="1:1">
      <c r="A67" s="190"/>
    </row>
    <row r="68" spans="1:1">
      <c r="A68" s="190"/>
    </row>
    <row r="69" spans="1:1">
      <c r="A69" s="190"/>
    </row>
    <row r="70" spans="1:1">
      <c r="A70" s="190"/>
    </row>
    <row r="71" spans="1:1">
      <c r="A71" s="190"/>
    </row>
    <row r="72" spans="1:1">
      <c r="A72" s="190"/>
    </row>
    <row r="73" spans="1:1">
      <c r="A73" s="190"/>
    </row>
    <row r="74" spans="1:1">
      <c r="A74" s="190"/>
    </row>
    <row r="75" spans="1:1">
      <c r="A75" s="190"/>
    </row>
    <row r="76" spans="1:1">
      <c r="A76" s="190"/>
    </row>
    <row r="77" spans="1:1">
      <c r="A77" s="190"/>
    </row>
    <row r="78" spans="1:1">
      <c r="A78" s="190"/>
    </row>
    <row r="79" spans="1:1">
      <c r="A79" s="190"/>
    </row>
    <row r="80" spans="1:1">
      <c r="A80" s="190"/>
    </row>
    <row r="81" spans="1:1">
      <c r="A81" s="190"/>
    </row>
    <row r="82" spans="1:1">
      <c r="A82" s="190"/>
    </row>
    <row r="83" spans="1:1">
      <c r="A83" s="190"/>
    </row>
    <row r="84" spans="1:1">
      <c r="A84" s="190"/>
    </row>
    <row r="85" spans="1:1">
      <c r="A85" s="190"/>
    </row>
    <row r="86" spans="1:1">
      <c r="A86" s="190"/>
    </row>
    <row r="87" spans="1:1">
      <c r="A87" s="190"/>
    </row>
    <row r="88" spans="1:1">
      <c r="A88" s="190"/>
    </row>
    <row r="89" spans="1:1">
      <c r="A89" s="190"/>
    </row>
    <row r="90" spans="1:1">
      <c r="A90" s="190"/>
    </row>
    <row r="91" spans="1:1">
      <c r="A91" s="190"/>
    </row>
    <row r="92" spans="1:1">
      <c r="A92" s="190"/>
    </row>
    <row r="93" spans="1:1">
      <c r="A93" s="190"/>
    </row>
    <row r="94" spans="1:1">
      <c r="A94" s="190"/>
    </row>
    <row r="95" spans="1:1">
      <c r="A95" s="190"/>
    </row>
    <row r="96" spans="1:1">
      <c r="A96" s="190"/>
    </row>
    <row r="97" spans="1:1">
      <c r="A97" s="190"/>
    </row>
    <row r="98" spans="1:1">
      <c r="A98" s="190"/>
    </row>
    <row r="99" spans="1:1">
      <c r="A99" s="190"/>
    </row>
    <row r="100" spans="1:1">
      <c r="A100" s="190"/>
    </row>
    <row r="101" spans="1:1">
      <c r="A101" s="190"/>
    </row>
    <row r="102" spans="1:1">
      <c r="A102" s="190"/>
    </row>
    <row r="103" spans="1:1">
      <c r="A103" s="190"/>
    </row>
    <row r="104" spans="1:1">
      <c r="A104" s="190"/>
    </row>
    <row r="105" spans="1:1">
      <c r="A105" s="190"/>
    </row>
    <row r="106" spans="1:1">
      <c r="A106" s="190"/>
    </row>
    <row r="107" spans="1:1">
      <c r="A107" s="190"/>
    </row>
    <row r="108" spans="1:1">
      <c r="A108" s="190"/>
    </row>
    <row r="109" spans="1:1">
      <c r="A109" s="190"/>
    </row>
    <row r="110" spans="1:1">
      <c r="A110" s="190"/>
    </row>
    <row r="111" spans="1:1">
      <c r="A111" s="190"/>
    </row>
    <row r="112" spans="1:1">
      <c r="A112" s="190"/>
    </row>
    <row r="113" spans="1:1">
      <c r="A113" s="190"/>
    </row>
    <row r="114" spans="1:1">
      <c r="A114" s="190"/>
    </row>
    <row r="115" spans="1:1">
      <c r="A115" s="190"/>
    </row>
    <row r="116" spans="1:1">
      <c r="A116" s="190"/>
    </row>
    <row r="117" spans="1:1">
      <c r="A117" s="190"/>
    </row>
    <row r="118" spans="1:1">
      <c r="A118" s="190"/>
    </row>
    <row r="119" spans="1:1">
      <c r="A119" s="190"/>
    </row>
    <row r="120" spans="1:1">
      <c r="A120" s="190"/>
    </row>
    <row r="121" spans="1:1">
      <c r="A121" s="190"/>
    </row>
    <row r="122" spans="1:1">
      <c r="A122" s="190"/>
    </row>
    <row r="123" spans="1:1">
      <c r="A123" s="190"/>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dimension ref="A29:A100"/>
  <sheetViews>
    <sheetView topLeftCell="H7" zoomScale="90" zoomScaleNormal="90" workbookViewId="0">
      <selection activeCell="X52" sqref="X52"/>
    </sheetView>
  </sheetViews>
  <sheetFormatPr defaultRowHeight="15.75"/>
  <sheetData>
    <row r="29" spans="1:1">
      <c r="A29" s="190"/>
    </row>
    <row r="30" spans="1:1">
      <c r="A30" s="190"/>
    </row>
    <row r="31" spans="1:1">
      <c r="A31" s="190"/>
    </row>
    <row r="32" spans="1:1">
      <c r="A32" s="190"/>
    </row>
    <row r="33" spans="1:1">
      <c r="A33" s="190"/>
    </row>
    <row r="34" spans="1:1">
      <c r="A34" s="190"/>
    </row>
    <row r="35" spans="1:1">
      <c r="A35" s="190"/>
    </row>
    <row r="36" spans="1:1">
      <c r="A36" s="190"/>
    </row>
    <row r="37" spans="1:1">
      <c r="A37" s="190"/>
    </row>
    <row r="38" spans="1:1">
      <c r="A38" s="190"/>
    </row>
    <row r="39" spans="1:1">
      <c r="A39" s="190"/>
    </row>
    <row r="40" spans="1:1">
      <c r="A40" s="190"/>
    </row>
    <row r="41" spans="1:1">
      <c r="A41" s="190"/>
    </row>
    <row r="42" spans="1:1">
      <c r="A42" s="190"/>
    </row>
    <row r="43" spans="1:1">
      <c r="A43" s="190"/>
    </row>
    <row r="44" spans="1:1">
      <c r="A44" s="190"/>
    </row>
    <row r="45" spans="1:1">
      <c r="A45" s="190"/>
    </row>
    <row r="46" spans="1:1">
      <c r="A46" s="190"/>
    </row>
    <row r="47" spans="1:1">
      <c r="A47" s="190"/>
    </row>
    <row r="48" spans="1:1">
      <c r="A48" s="190"/>
    </row>
    <row r="49" spans="1:1">
      <c r="A49" s="190"/>
    </row>
    <row r="50" spans="1:1">
      <c r="A50" s="190"/>
    </row>
    <row r="51" spans="1:1">
      <c r="A51" s="190"/>
    </row>
    <row r="52" spans="1:1">
      <c r="A52" s="190"/>
    </row>
    <row r="53" spans="1:1">
      <c r="A53" s="190"/>
    </row>
    <row r="54" spans="1:1">
      <c r="A54" s="190"/>
    </row>
    <row r="55" spans="1:1">
      <c r="A55" s="190"/>
    </row>
    <row r="56" spans="1:1">
      <c r="A56" s="190"/>
    </row>
    <row r="57" spans="1:1">
      <c r="A57" s="190"/>
    </row>
    <row r="58" spans="1:1">
      <c r="A58" s="190"/>
    </row>
    <row r="59" spans="1:1">
      <c r="A59" s="190"/>
    </row>
    <row r="60" spans="1:1">
      <c r="A60" s="190"/>
    </row>
    <row r="61" spans="1:1">
      <c r="A61" s="190"/>
    </row>
    <row r="62" spans="1:1">
      <c r="A62" s="190"/>
    </row>
    <row r="63" spans="1:1">
      <c r="A63" s="190"/>
    </row>
    <row r="64" spans="1:1">
      <c r="A64" s="190"/>
    </row>
    <row r="65" spans="1:1">
      <c r="A65" s="190"/>
    </row>
    <row r="66" spans="1:1">
      <c r="A66" s="190"/>
    </row>
    <row r="67" spans="1:1">
      <c r="A67" s="190"/>
    </row>
    <row r="68" spans="1:1">
      <c r="A68" s="190"/>
    </row>
    <row r="69" spans="1:1">
      <c r="A69" s="190"/>
    </row>
    <row r="70" spans="1:1">
      <c r="A70" s="190"/>
    </row>
    <row r="71" spans="1:1">
      <c r="A71" s="190"/>
    </row>
    <row r="72" spans="1:1">
      <c r="A72" s="190"/>
    </row>
    <row r="73" spans="1:1">
      <c r="A73" s="190"/>
    </row>
    <row r="74" spans="1:1">
      <c r="A74" s="190"/>
    </row>
    <row r="75" spans="1:1">
      <c r="A75" s="190"/>
    </row>
    <row r="76" spans="1:1">
      <c r="A76" s="190"/>
    </row>
    <row r="77" spans="1:1">
      <c r="A77" s="190"/>
    </row>
    <row r="78" spans="1:1">
      <c r="A78" s="190"/>
    </row>
    <row r="79" spans="1:1">
      <c r="A79" s="190"/>
    </row>
    <row r="80" spans="1:1">
      <c r="A80" s="190"/>
    </row>
    <row r="81" spans="1:1">
      <c r="A81" s="190"/>
    </row>
    <row r="82" spans="1:1">
      <c r="A82" s="190"/>
    </row>
    <row r="83" spans="1:1">
      <c r="A83" s="190"/>
    </row>
    <row r="84" spans="1:1">
      <c r="A84" s="190"/>
    </row>
    <row r="85" spans="1:1">
      <c r="A85" s="190"/>
    </row>
    <row r="86" spans="1:1">
      <c r="A86" s="190"/>
    </row>
    <row r="87" spans="1:1">
      <c r="A87" s="190"/>
    </row>
    <row r="88" spans="1:1">
      <c r="A88" s="190"/>
    </row>
    <row r="89" spans="1:1">
      <c r="A89" s="190"/>
    </row>
    <row r="90" spans="1:1">
      <c r="A90" s="190"/>
    </row>
    <row r="91" spans="1:1">
      <c r="A91" s="190"/>
    </row>
    <row r="92" spans="1:1">
      <c r="A92" s="190"/>
    </row>
    <row r="93" spans="1:1">
      <c r="A93" s="190"/>
    </row>
    <row r="94" spans="1:1">
      <c r="A94" s="190"/>
    </row>
    <row r="95" spans="1:1">
      <c r="A95" s="190"/>
    </row>
    <row r="96" spans="1:1">
      <c r="A96" s="190"/>
    </row>
    <row r="97" spans="1:1">
      <c r="A97" s="190"/>
    </row>
    <row r="98" spans="1:1">
      <c r="A98" s="190"/>
    </row>
    <row r="99" spans="1:1">
      <c r="A99" s="190"/>
    </row>
    <row r="100" spans="1:1">
      <c r="A100" s="190"/>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dimension ref="A29:A106"/>
  <sheetViews>
    <sheetView topLeftCell="A13" workbookViewId="0">
      <selection activeCell="J17" sqref="J17"/>
    </sheetView>
  </sheetViews>
  <sheetFormatPr defaultRowHeight="15.75"/>
  <sheetData>
    <row r="29" spans="1:1">
      <c r="A29" s="190"/>
    </row>
    <row r="30" spans="1:1">
      <c r="A30" s="190"/>
    </row>
    <row r="31" spans="1:1">
      <c r="A31" s="190"/>
    </row>
    <row r="32" spans="1:1">
      <c r="A32" s="190"/>
    </row>
    <row r="33" spans="1:1">
      <c r="A33" s="190"/>
    </row>
    <row r="34" spans="1:1">
      <c r="A34" s="190"/>
    </row>
    <row r="35" spans="1:1">
      <c r="A35" s="190"/>
    </row>
    <row r="36" spans="1:1">
      <c r="A36" s="190"/>
    </row>
    <row r="37" spans="1:1">
      <c r="A37" s="190"/>
    </row>
    <row r="38" spans="1:1">
      <c r="A38" s="190"/>
    </row>
    <row r="39" spans="1:1">
      <c r="A39" s="190"/>
    </row>
    <row r="40" spans="1:1">
      <c r="A40" s="190"/>
    </row>
    <row r="41" spans="1:1">
      <c r="A41" s="190"/>
    </row>
    <row r="42" spans="1:1">
      <c r="A42" s="190"/>
    </row>
    <row r="43" spans="1:1">
      <c r="A43" s="190"/>
    </row>
    <row r="44" spans="1:1">
      <c r="A44" s="190"/>
    </row>
    <row r="45" spans="1:1">
      <c r="A45" s="190"/>
    </row>
    <row r="46" spans="1:1">
      <c r="A46" s="190"/>
    </row>
    <row r="47" spans="1:1">
      <c r="A47" s="190"/>
    </row>
    <row r="48" spans="1:1">
      <c r="A48" s="190"/>
    </row>
    <row r="49" spans="1:1">
      <c r="A49" s="190"/>
    </row>
    <row r="50" spans="1:1">
      <c r="A50" s="190"/>
    </row>
    <row r="51" spans="1:1">
      <c r="A51" s="190"/>
    </row>
    <row r="52" spans="1:1">
      <c r="A52" s="190"/>
    </row>
    <row r="53" spans="1:1">
      <c r="A53" s="190"/>
    </row>
    <row r="54" spans="1:1">
      <c r="A54" s="190"/>
    </row>
    <row r="55" spans="1:1">
      <c r="A55" s="190"/>
    </row>
    <row r="56" spans="1:1">
      <c r="A56" s="190"/>
    </row>
    <row r="57" spans="1:1">
      <c r="A57" s="190"/>
    </row>
    <row r="58" spans="1:1">
      <c r="A58" s="190"/>
    </row>
    <row r="59" spans="1:1">
      <c r="A59" s="190"/>
    </row>
    <row r="60" spans="1:1">
      <c r="A60" s="190"/>
    </row>
    <row r="61" spans="1:1">
      <c r="A61" s="190"/>
    </row>
    <row r="62" spans="1:1">
      <c r="A62" s="190"/>
    </row>
    <row r="63" spans="1:1">
      <c r="A63" s="190"/>
    </row>
    <row r="64" spans="1:1">
      <c r="A64" s="190"/>
    </row>
    <row r="65" spans="1:1">
      <c r="A65" s="190"/>
    </row>
    <row r="66" spans="1:1">
      <c r="A66" s="190"/>
    </row>
    <row r="67" spans="1:1">
      <c r="A67" s="190"/>
    </row>
    <row r="68" spans="1:1">
      <c r="A68" s="190"/>
    </row>
    <row r="69" spans="1:1">
      <c r="A69" s="190"/>
    </row>
    <row r="70" spans="1:1">
      <c r="A70" s="190"/>
    </row>
    <row r="71" spans="1:1">
      <c r="A71" s="190"/>
    </row>
    <row r="72" spans="1:1">
      <c r="A72" s="190"/>
    </row>
    <row r="73" spans="1:1">
      <c r="A73" s="190"/>
    </row>
    <row r="74" spans="1:1">
      <c r="A74" s="190"/>
    </row>
    <row r="75" spans="1:1">
      <c r="A75" s="190"/>
    </row>
    <row r="76" spans="1:1">
      <c r="A76" s="190"/>
    </row>
    <row r="77" spans="1:1">
      <c r="A77" s="190"/>
    </row>
    <row r="78" spans="1:1">
      <c r="A78" s="190"/>
    </row>
    <row r="79" spans="1:1">
      <c r="A79" s="190"/>
    </row>
    <row r="80" spans="1:1">
      <c r="A80" s="190"/>
    </row>
    <row r="81" spans="1:1">
      <c r="A81" s="190"/>
    </row>
    <row r="82" spans="1:1">
      <c r="A82" s="190"/>
    </row>
    <row r="83" spans="1:1">
      <c r="A83" s="190"/>
    </row>
    <row r="84" spans="1:1">
      <c r="A84" s="190"/>
    </row>
    <row r="85" spans="1:1">
      <c r="A85" s="190"/>
    </row>
    <row r="86" spans="1:1">
      <c r="A86" s="190"/>
    </row>
    <row r="87" spans="1:1">
      <c r="A87" s="190"/>
    </row>
    <row r="88" spans="1:1">
      <c r="A88" s="190"/>
    </row>
    <row r="89" spans="1:1">
      <c r="A89" s="190"/>
    </row>
    <row r="90" spans="1:1">
      <c r="A90" s="190"/>
    </row>
    <row r="91" spans="1:1">
      <c r="A91" s="190"/>
    </row>
    <row r="92" spans="1:1">
      <c r="A92" s="190"/>
    </row>
    <row r="93" spans="1:1">
      <c r="A93" s="190"/>
    </row>
    <row r="94" spans="1:1">
      <c r="A94" s="190"/>
    </row>
    <row r="95" spans="1:1">
      <c r="A95" s="190"/>
    </row>
    <row r="96" spans="1:1">
      <c r="A96" s="190"/>
    </row>
    <row r="97" spans="1:1">
      <c r="A97" s="190"/>
    </row>
    <row r="98" spans="1:1">
      <c r="A98" s="190"/>
    </row>
    <row r="99" spans="1:1">
      <c r="A99" s="190"/>
    </row>
    <row r="100" spans="1:1">
      <c r="A100" s="190"/>
    </row>
    <row r="101" spans="1:1">
      <c r="A101" s="190"/>
    </row>
    <row r="102" spans="1:1">
      <c r="A102" s="190"/>
    </row>
    <row r="103" spans="1:1">
      <c r="A103" s="190"/>
    </row>
    <row r="104" spans="1:1">
      <c r="A104" s="190"/>
    </row>
    <row r="105" spans="1:1">
      <c r="A105" s="190"/>
    </row>
    <row r="106" spans="1:1">
      <c r="A106" s="190"/>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Sheet3"/>
  <dimension ref="A1"/>
  <sheetViews>
    <sheetView workbookViewId="0">
      <selection activeCell="J4" sqref="J4"/>
    </sheetView>
  </sheetViews>
  <sheetFormatPr defaultRowHeight="15.75"/>
  <sheetData/>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dimension ref="A1:V44"/>
  <sheetViews>
    <sheetView topLeftCell="M1" workbookViewId="0">
      <selection activeCell="S2" sqref="S2:V42"/>
    </sheetView>
  </sheetViews>
  <sheetFormatPr defaultRowHeight="12.75"/>
  <cols>
    <col min="1" max="16384" width="9" style="398"/>
  </cols>
  <sheetData>
    <row r="1" spans="2:22">
      <c r="B1" s="397" t="s">
        <v>124</v>
      </c>
      <c r="G1" s="397" t="s">
        <v>125</v>
      </c>
      <c r="K1" s="397" t="s">
        <v>126</v>
      </c>
      <c r="O1" s="397" t="s">
        <v>127</v>
      </c>
    </row>
    <row r="2" spans="2:22" ht="13.5" thickBot="1">
      <c r="B2" s="398" t="s">
        <v>128</v>
      </c>
      <c r="C2" s="398" t="s">
        <v>109</v>
      </c>
      <c r="D2" s="398" t="s">
        <v>129</v>
      </c>
      <c r="S2" s="398" t="s">
        <v>178</v>
      </c>
      <c r="T2" s="398" t="s">
        <v>128</v>
      </c>
      <c r="U2" s="398" t="s">
        <v>179</v>
      </c>
      <c r="V2" s="398" t="s">
        <v>180</v>
      </c>
    </row>
    <row r="3" spans="2:22" ht="13.5" thickBot="1">
      <c r="B3" s="399"/>
      <c r="C3" s="399"/>
      <c r="D3" s="399"/>
      <c r="G3" s="399"/>
      <c r="H3" s="399"/>
      <c r="I3" s="399"/>
      <c r="K3" s="399">
        <v>2964.2999999999997</v>
      </c>
      <c r="L3" s="399">
        <v>47.756565517252781</v>
      </c>
      <c r="M3" s="399">
        <v>2.9705915539189074</v>
      </c>
      <c r="O3" s="399">
        <v>1660.6423529411763</v>
      </c>
      <c r="P3" s="400">
        <v>80.101840766099997</v>
      </c>
      <c r="Q3" s="401">
        <v>8.0280655951701121</v>
      </c>
      <c r="S3" s="398">
        <v>1</v>
      </c>
      <c r="T3" s="399">
        <v>1992.3507692307689</v>
      </c>
      <c r="U3" s="399">
        <v>32.440160927878914</v>
      </c>
      <c r="V3" s="399">
        <v>2.9636924826381774</v>
      </c>
    </row>
    <row r="4" spans="2:22" ht="13.5" thickBot="1">
      <c r="B4" s="399"/>
      <c r="C4" s="399"/>
      <c r="D4" s="399"/>
      <c r="G4" s="399"/>
      <c r="H4" s="399"/>
      <c r="I4" s="399"/>
      <c r="K4" s="399">
        <v>2041.2907692307692</v>
      </c>
      <c r="L4" s="399">
        <v>17.257092484705854</v>
      </c>
      <c r="M4" s="399">
        <v>1.6583043615676436</v>
      </c>
      <c r="O4" s="399">
        <v>2134.0776470588235</v>
      </c>
      <c r="P4" s="400">
        <v>65.273169787582447</v>
      </c>
      <c r="Q4" s="401">
        <v>6.6226682719256953</v>
      </c>
      <c r="S4" s="398">
        <v>2</v>
      </c>
      <c r="T4" s="399">
        <v>1775.621538461538</v>
      </c>
      <c r="U4" s="399">
        <v>14.848608153762923</v>
      </c>
      <c r="V4" s="399">
        <v>1.5489948253484465</v>
      </c>
    </row>
    <row r="5" spans="2:22" ht="13.5" thickBot="1">
      <c r="B5" s="399"/>
      <c r="C5" s="399"/>
      <c r="D5" s="399"/>
      <c r="G5" s="399"/>
      <c r="H5" s="399"/>
      <c r="I5" s="399"/>
      <c r="K5" s="399">
        <v>2019.5430769230768</v>
      </c>
      <c r="L5" s="399">
        <v>24.178225529271469</v>
      </c>
      <c r="M5" s="399">
        <v>2.3475065512389057</v>
      </c>
      <c r="O5" s="399">
        <v>2170.2705882352943</v>
      </c>
      <c r="P5" s="400">
        <v>27.403519954234891</v>
      </c>
      <c r="Q5" s="401">
        <v>2.4457394576240161</v>
      </c>
      <c r="S5" s="398">
        <v>3</v>
      </c>
      <c r="T5" s="399">
        <v>1964.7707692307695</v>
      </c>
      <c r="U5" s="399">
        <v>30.707261481465526</v>
      </c>
      <c r="V5" s="399">
        <v>2.5114590798706788</v>
      </c>
    </row>
    <row r="6" spans="2:22" ht="13.5" thickBot="1">
      <c r="B6" s="399"/>
      <c r="C6" s="399"/>
      <c r="D6" s="399"/>
      <c r="G6" s="399"/>
      <c r="H6" s="399"/>
      <c r="I6" s="399"/>
      <c r="K6" s="399">
        <v>2024.3107692307692</v>
      </c>
      <c r="L6" s="399">
        <v>30.978967720487805</v>
      </c>
      <c r="M6" s="399">
        <v>2.9783802350645252</v>
      </c>
      <c r="O6" s="399">
        <v>2191.3529411764707</v>
      </c>
      <c r="P6" s="400">
        <v>30.108024628981287</v>
      </c>
      <c r="Q6" s="401">
        <v>2.177860103436851</v>
      </c>
      <c r="S6" s="398">
        <v>4</v>
      </c>
      <c r="T6" s="399">
        <v>2039.7584615384617</v>
      </c>
      <c r="U6" s="399">
        <v>35.031053330368906</v>
      </c>
      <c r="V6" s="399">
        <v>3.0312363390692791</v>
      </c>
    </row>
    <row r="7" spans="2:22" ht="13.5" thickBot="1">
      <c r="B7" s="399"/>
      <c r="C7" s="399"/>
      <c r="D7" s="399"/>
      <c r="G7" s="399"/>
      <c r="H7" s="399"/>
      <c r="I7" s="399"/>
      <c r="K7" s="399">
        <v>2032.8630769230767</v>
      </c>
      <c r="L7" s="399">
        <v>26.904871735013192</v>
      </c>
      <c r="M7" s="399">
        <v>2.5936286089887313</v>
      </c>
      <c r="O7" s="399">
        <v>2181.3823529411766</v>
      </c>
      <c r="P7" s="400">
        <v>27.814009853280613</v>
      </c>
      <c r="Q7" s="401">
        <v>2.3561053339350932</v>
      </c>
      <c r="S7" s="398">
        <v>5</v>
      </c>
      <c r="T7" s="399">
        <v>2023.7100000000003</v>
      </c>
      <c r="U7" s="399">
        <v>46.750618177716866</v>
      </c>
      <c r="V7" s="399">
        <v>3.8656751208728641</v>
      </c>
    </row>
    <row r="8" spans="2:22" ht="13.5" thickBot="1">
      <c r="B8" s="399"/>
      <c r="C8" s="399"/>
      <c r="D8" s="399"/>
      <c r="G8" s="399"/>
      <c r="H8" s="399"/>
      <c r="I8" s="399"/>
      <c r="K8" s="399">
        <v>2039.5707692307694</v>
      </c>
      <c r="L8" s="399">
        <v>24.540253483329906</v>
      </c>
      <c r="M8" s="399">
        <v>2.1653863801192901</v>
      </c>
      <c r="O8" s="399">
        <v>2205.2505882352943</v>
      </c>
      <c r="P8" s="400">
        <v>29.023806709005125</v>
      </c>
      <c r="Q8" s="401">
        <v>2.7632684370091884</v>
      </c>
      <c r="S8" s="398">
        <v>6</v>
      </c>
      <c r="T8" s="399">
        <v>2964.2999999999997</v>
      </c>
      <c r="U8" s="399">
        <v>47.756565517252781</v>
      </c>
      <c r="V8" s="399">
        <v>2.9705915539189074</v>
      </c>
    </row>
    <row r="9" spans="2:22" ht="13.5" thickBot="1">
      <c r="B9" s="399"/>
      <c r="C9" s="399"/>
      <c r="D9" s="399"/>
      <c r="G9" s="399"/>
      <c r="H9" s="399"/>
      <c r="I9" s="399"/>
      <c r="K9" s="399">
        <v>1930.4338461538459</v>
      </c>
      <c r="L9" s="399">
        <v>56.321753869848877</v>
      </c>
      <c r="M9" s="399">
        <v>4.44900536785602</v>
      </c>
      <c r="O9" s="399">
        <v>2222.5623529411764</v>
      </c>
      <c r="P9" s="400">
        <v>33.272269897296525</v>
      </c>
      <c r="Q9" s="401">
        <v>2.7337522062686759</v>
      </c>
      <c r="S9" s="398">
        <v>7</v>
      </c>
      <c r="T9" s="399">
        <v>2041.2907692307692</v>
      </c>
      <c r="U9" s="399">
        <v>17.257092484705854</v>
      </c>
      <c r="V9" s="399">
        <v>1.6583043615676436</v>
      </c>
    </row>
    <row r="10" spans="2:22" ht="13.5" thickBot="1">
      <c r="B10" s="399"/>
      <c r="C10" s="399"/>
      <c r="D10" s="399"/>
      <c r="G10" s="399"/>
      <c r="H10" s="399"/>
      <c r="I10" s="399"/>
      <c r="K10" s="399">
        <v>2046.7338461538461</v>
      </c>
      <c r="L10" s="399">
        <v>28.923420019782736</v>
      </c>
      <c r="M10" s="399">
        <v>2.7514619450890048</v>
      </c>
      <c r="O10" s="399">
        <v>2200.5094117647059</v>
      </c>
      <c r="P10" s="400">
        <v>24.950190497898134</v>
      </c>
      <c r="Q10" s="401">
        <v>1.8988603214292423</v>
      </c>
      <c r="S10" s="398">
        <v>8</v>
      </c>
      <c r="T10" s="399">
        <v>2019.5430769230768</v>
      </c>
      <c r="U10" s="399">
        <v>24.178225529271469</v>
      </c>
      <c r="V10" s="399">
        <v>2.3475065512389057</v>
      </c>
    </row>
    <row r="11" spans="2:22" ht="13.5" thickBot="1">
      <c r="B11" s="399"/>
      <c r="C11" s="399"/>
      <c r="D11" s="399"/>
      <c r="G11" s="399"/>
      <c r="H11" s="399"/>
      <c r="I11" s="399"/>
      <c r="K11" s="399">
        <v>2052.7846153846153</v>
      </c>
      <c r="L11" s="399">
        <v>28.659009233683776</v>
      </c>
      <c r="M11" s="399">
        <v>2.6276949932088933</v>
      </c>
      <c r="O11" s="399">
        <v>2184.6152941176474</v>
      </c>
      <c r="P11" s="400">
        <v>85.64341233551275</v>
      </c>
      <c r="Q11" s="401">
        <v>7.6437410154402921</v>
      </c>
      <c r="S11" s="398">
        <v>9</v>
      </c>
      <c r="T11" s="399">
        <v>2024.3107692307692</v>
      </c>
      <c r="U11" s="399">
        <v>30.978967720487805</v>
      </c>
      <c r="V11" s="399">
        <v>2.9783802350645252</v>
      </c>
    </row>
    <row r="12" spans="2:22" ht="13.5" thickBot="1">
      <c r="B12" s="399"/>
      <c r="C12" s="399"/>
      <c r="D12" s="399"/>
      <c r="G12" s="399"/>
      <c r="H12" s="399"/>
      <c r="I12" s="399"/>
      <c r="K12" s="399">
        <v>2045.4646153846154</v>
      </c>
      <c r="L12" s="399">
        <v>26.551817456719217</v>
      </c>
      <c r="M12" s="399">
        <v>2.3887362164660031</v>
      </c>
      <c r="O12" s="399">
        <v>2175.7623529411762</v>
      </c>
      <c r="P12" s="400">
        <v>76.842450143899086</v>
      </c>
      <c r="Q12" s="401">
        <v>6.6146304316786226</v>
      </c>
      <c r="S12" s="398">
        <v>10</v>
      </c>
      <c r="T12" s="399">
        <v>2032.8630769230767</v>
      </c>
      <c r="U12" s="399">
        <v>26.904871735013192</v>
      </c>
      <c r="V12" s="399">
        <v>2.5936286089887313</v>
      </c>
    </row>
    <row r="13" spans="2:22" ht="13.5" thickBot="1">
      <c r="B13" s="399"/>
      <c r="C13" s="399"/>
      <c r="D13" s="399"/>
      <c r="G13" s="399"/>
      <c r="H13" s="399"/>
      <c r="I13" s="399"/>
      <c r="K13" s="399">
        <v>2028.8430769230772</v>
      </c>
      <c r="L13" s="399">
        <v>27.989067920795186</v>
      </c>
      <c r="M13" s="399">
        <v>2.4468961955928052</v>
      </c>
      <c r="O13" s="399">
        <v>2205.4823529411765</v>
      </c>
      <c r="P13" s="400">
        <v>37.584136202922863</v>
      </c>
      <c r="Q13" s="401">
        <v>2.85967857780056</v>
      </c>
      <c r="S13" s="398">
        <v>11</v>
      </c>
      <c r="T13" s="399">
        <v>2039.5707692307694</v>
      </c>
      <c r="U13" s="399">
        <v>24.540253483329906</v>
      </c>
      <c r="V13" s="399">
        <v>2.1653863801192901</v>
      </c>
    </row>
    <row r="14" spans="2:22" ht="13.5" thickBot="1">
      <c r="B14" s="399"/>
      <c r="C14" s="399"/>
      <c r="D14" s="399"/>
      <c r="G14" s="399"/>
      <c r="H14" s="399"/>
      <c r="I14" s="399"/>
      <c r="K14" s="399">
        <v>2023.6523076923077</v>
      </c>
      <c r="L14" s="399">
        <v>23.638668234429637</v>
      </c>
      <c r="M14" s="399">
        <v>2.030489589586117</v>
      </c>
      <c r="O14" s="399">
        <v>2204.3470588235296</v>
      </c>
      <c r="P14" s="400">
        <v>57.725162598803806</v>
      </c>
      <c r="Q14" s="401">
        <v>5.5842745031934742</v>
      </c>
      <c r="S14" s="398">
        <v>12</v>
      </c>
      <c r="T14" s="399">
        <v>1930.4338461538459</v>
      </c>
      <c r="U14" s="399">
        <v>56.321753869848877</v>
      </c>
      <c r="V14" s="399">
        <v>4.44900536785602</v>
      </c>
    </row>
    <row r="15" spans="2:22" ht="13.5" thickBot="1">
      <c r="B15" s="399"/>
      <c r="C15" s="399"/>
      <c r="D15" s="399"/>
      <c r="G15" s="399"/>
      <c r="H15" s="399"/>
      <c r="I15" s="399"/>
      <c r="K15" s="399">
        <v>2029.8184615384614</v>
      </c>
      <c r="L15" s="399">
        <v>15.069734484598788</v>
      </c>
      <c r="M15" s="399">
        <v>1.3837775639563299</v>
      </c>
      <c r="O15" s="399">
        <v>2204.4541176470589</v>
      </c>
      <c r="P15" s="400">
        <v>76.172126714663435</v>
      </c>
      <c r="Q15" s="401">
        <v>7.6710389732943263</v>
      </c>
      <c r="S15" s="398">
        <v>13</v>
      </c>
      <c r="T15" s="399">
        <v>2046.7338461538461</v>
      </c>
      <c r="U15" s="399">
        <v>28.923420019782736</v>
      </c>
      <c r="V15" s="399">
        <v>2.7514619450890048</v>
      </c>
    </row>
    <row r="16" spans="2:22" ht="13.5" thickBot="1">
      <c r="B16" s="399"/>
      <c r="C16" s="399"/>
      <c r="D16" s="399"/>
      <c r="G16" s="399"/>
      <c r="H16" s="399"/>
      <c r="I16" s="399"/>
      <c r="K16" s="399">
        <v>2048.5661538461541</v>
      </c>
      <c r="L16" s="399">
        <v>22.087752842721468</v>
      </c>
      <c r="M16" s="399">
        <v>1.9115825749824862</v>
      </c>
      <c r="O16" s="399">
        <v>2190.2482352941179</v>
      </c>
      <c r="P16" s="400">
        <v>80.264474725380381</v>
      </c>
      <c r="Q16" s="401">
        <v>8.3762144310894815</v>
      </c>
      <c r="S16" s="398">
        <v>14</v>
      </c>
      <c r="T16" s="399">
        <v>2052.7846153846153</v>
      </c>
      <c r="U16" s="399">
        <v>28.659009233683776</v>
      </c>
      <c r="V16" s="399">
        <v>2.6276949932088933</v>
      </c>
    </row>
    <row r="17" spans="2:22" ht="13.5" thickBot="1">
      <c r="B17" s="399"/>
      <c r="C17" s="399"/>
      <c r="D17" s="399"/>
      <c r="G17" s="399"/>
      <c r="H17" s="399"/>
      <c r="I17" s="399"/>
      <c r="K17" s="399">
        <v>2041.3815384615384</v>
      </c>
      <c r="L17" s="399">
        <v>26.514233236171819</v>
      </c>
      <c r="M17" s="399">
        <v>2.4516294156154266</v>
      </c>
      <c r="O17" s="399">
        <v>2181.3576470588241</v>
      </c>
      <c r="P17" s="400">
        <v>104.84620996544119</v>
      </c>
      <c r="Q17" s="401">
        <v>8.9167500577322762</v>
      </c>
      <c r="S17" s="398">
        <v>15</v>
      </c>
      <c r="T17" s="399">
        <v>2045.4646153846154</v>
      </c>
      <c r="U17" s="399">
        <v>26.551817456719217</v>
      </c>
      <c r="V17" s="399">
        <v>2.3887362164660031</v>
      </c>
    </row>
    <row r="18" spans="2:22" ht="13.5" thickBot="1">
      <c r="B18" s="399"/>
      <c r="C18" s="399"/>
      <c r="D18" s="399"/>
      <c r="G18" s="399"/>
      <c r="H18" s="399"/>
      <c r="I18" s="399"/>
      <c r="K18" s="399">
        <v>2061.8923076923074</v>
      </c>
      <c r="L18" s="399">
        <v>20.265460827861492</v>
      </c>
      <c r="M18" s="399">
        <v>1.916357655211361</v>
      </c>
      <c r="O18" s="399">
        <v>2176.1082352941175</v>
      </c>
      <c r="P18" s="400">
        <v>91.103472782006961</v>
      </c>
      <c r="Q18" s="401">
        <v>9.7725370416599624</v>
      </c>
      <c r="S18" s="398">
        <v>16</v>
      </c>
      <c r="T18" s="399">
        <v>2028.8430769230772</v>
      </c>
      <c r="U18" s="399">
        <v>27.989067920795186</v>
      </c>
      <c r="V18" s="399">
        <v>2.4468961955928052</v>
      </c>
    </row>
    <row r="19" spans="2:22" ht="13.5" thickBot="1">
      <c r="B19" s="399"/>
      <c r="C19" s="399"/>
      <c r="D19" s="399"/>
      <c r="G19" s="399"/>
      <c r="H19" s="399"/>
      <c r="I19" s="399"/>
      <c r="K19" s="399">
        <v>2048.1799999999998</v>
      </c>
      <c r="L19" s="399">
        <v>17.023977208594363</v>
      </c>
      <c r="M19" s="399">
        <v>1.678711157741966</v>
      </c>
      <c r="O19" s="399">
        <v>2193.3411764705879</v>
      </c>
      <c r="P19" s="400">
        <v>36.926188857364018</v>
      </c>
      <c r="Q19" s="401">
        <v>3.314770131287986</v>
      </c>
      <c r="S19" s="398">
        <v>17</v>
      </c>
      <c r="T19" s="399">
        <v>2023.6523076923077</v>
      </c>
      <c r="U19" s="399">
        <v>23.638668234429637</v>
      </c>
      <c r="V19" s="399">
        <v>2.030489589586117</v>
      </c>
    </row>
    <row r="20" spans="2:22" ht="13.5" thickBot="1">
      <c r="B20" s="399"/>
      <c r="C20" s="399"/>
      <c r="D20" s="399"/>
      <c r="G20" s="399">
        <v>2093.7815384615387</v>
      </c>
      <c r="H20" s="399">
        <v>70.208008784139807</v>
      </c>
      <c r="I20" s="399">
        <v>5.0075725214554705</v>
      </c>
      <c r="K20" s="399">
        <v>1925.9830769230766</v>
      </c>
      <c r="L20" s="399">
        <v>56.052540142368528</v>
      </c>
      <c r="M20" s="399">
        <v>4.4718851025491491</v>
      </c>
      <c r="O20" s="399">
        <v>2172.0082352941176</v>
      </c>
      <c r="P20" s="400">
        <v>68.462228658875787</v>
      </c>
      <c r="Q20" s="401">
        <v>6.6692865837878186</v>
      </c>
      <c r="S20" s="398">
        <v>18</v>
      </c>
      <c r="T20" s="399">
        <v>2029.8184615384614</v>
      </c>
      <c r="U20" s="399">
        <v>15.069734484598788</v>
      </c>
      <c r="V20" s="399">
        <v>1.3837775639563299</v>
      </c>
    </row>
    <row r="21" spans="2:22" ht="13.5" thickBot="1">
      <c r="B21" s="399"/>
      <c r="C21" s="399"/>
      <c r="D21" s="399"/>
      <c r="G21" s="399">
        <v>2128.5</v>
      </c>
      <c r="H21" s="399">
        <v>71.190675419373335</v>
      </c>
      <c r="I21" s="399">
        <v>5.101407778573126</v>
      </c>
      <c r="K21" s="399">
        <v>2003.2307692307693</v>
      </c>
      <c r="L21" s="399">
        <v>50.606577053040787</v>
      </c>
      <c r="M21" s="399">
        <v>3.7859666834931853</v>
      </c>
      <c r="O21" s="399">
        <v>1857.4341176470589</v>
      </c>
      <c r="P21" s="400">
        <v>59.271445808545167</v>
      </c>
      <c r="Q21" s="401">
        <v>7.4171126557260258</v>
      </c>
      <c r="S21" s="398">
        <v>19</v>
      </c>
      <c r="T21" s="399">
        <v>2048.5661538461541</v>
      </c>
      <c r="U21" s="399">
        <v>22.087752842721468</v>
      </c>
      <c r="V21" s="399">
        <v>1.9115825749824862</v>
      </c>
    </row>
    <row r="22" spans="2:22" ht="13.5" thickBot="1">
      <c r="B22" s="399">
        <v>1832.1107692307692</v>
      </c>
      <c r="C22" s="399">
        <v>28.92695353863019</v>
      </c>
      <c r="D22" s="399">
        <v>2.637997714687526</v>
      </c>
      <c r="G22" s="399">
        <v>2067.0600000000004</v>
      </c>
      <c r="H22" s="399">
        <v>70.824979115168986</v>
      </c>
      <c r="I22" s="399">
        <v>5.2458839194029414</v>
      </c>
      <c r="K22" s="399">
        <v>2022.6046153846155</v>
      </c>
      <c r="L22" s="399">
        <v>19.55468597521962</v>
      </c>
      <c r="M22" s="399">
        <v>1.8077320817755329</v>
      </c>
      <c r="O22" s="399">
        <v>2241.4364705882349</v>
      </c>
      <c r="P22" s="400">
        <v>76.942599460681606</v>
      </c>
      <c r="Q22" s="401">
        <v>8.2261492251243329</v>
      </c>
      <c r="S22" s="398">
        <v>20</v>
      </c>
      <c r="T22" s="399">
        <v>2041.3815384615384</v>
      </c>
      <c r="U22" s="399">
        <v>26.514233236171819</v>
      </c>
      <c r="V22" s="399">
        <v>2.4516294156154266</v>
      </c>
    </row>
    <row r="23" spans="2:22" ht="13.5" thickBot="1">
      <c r="B23" s="399">
        <v>1838.6584615384616</v>
      </c>
      <c r="C23" s="399">
        <v>24.520360874911319</v>
      </c>
      <c r="D23" s="399">
        <v>2.4549560620210822</v>
      </c>
      <c r="G23" s="399">
        <v>2020.4999999999998</v>
      </c>
      <c r="H23" s="399">
        <v>64.620549879027152</v>
      </c>
      <c r="I23" s="399">
        <v>5.0479887900597031</v>
      </c>
      <c r="K23" s="399">
        <v>2024.073846153846</v>
      </c>
      <c r="L23" s="399">
        <v>22.943027095559415</v>
      </c>
      <c r="M23" s="399">
        <v>2.2076835753121902</v>
      </c>
      <c r="O23" s="399">
        <v>2241.4364705882349</v>
      </c>
      <c r="P23" s="400">
        <v>76.942599460681606</v>
      </c>
      <c r="Q23" s="401">
        <v>8.2261492251243329</v>
      </c>
      <c r="S23" s="398">
        <v>21</v>
      </c>
      <c r="T23" s="399">
        <v>2061.8923076923074</v>
      </c>
      <c r="U23" s="399">
        <v>20.265460827861492</v>
      </c>
      <c r="V23" s="399">
        <v>1.916357655211361</v>
      </c>
    </row>
    <row r="24" spans="2:22" ht="13.5" thickBot="1">
      <c r="B24" s="399">
        <v>1860.4461538461537</v>
      </c>
      <c r="C24" s="399">
        <v>26.213469037392525</v>
      </c>
      <c r="D24" s="399">
        <v>2.5123725559131254</v>
      </c>
      <c r="G24" s="399">
        <v>2053.0261538461541</v>
      </c>
      <c r="H24" s="399">
        <v>65.993026593518877</v>
      </c>
      <c r="I24" s="399">
        <v>5.1884595181224444</v>
      </c>
      <c r="K24" s="399">
        <v>2070.1523076923081</v>
      </c>
      <c r="L24" s="399">
        <v>20.297780730000252</v>
      </c>
      <c r="M24" s="399">
        <v>1.9804338000515156</v>
      </c>
      <c r="O24" s="399">
        <v>2212.6894117647062</v>
      </c>
      <c r="P24" s="400">
        <v>73.160291865752072</v>
      </c>
      <c r="Q24" s="401">
        <v>8.4624748669830687</v>
      </c>
      <c r="S24" s="398">
        <v>22</v>
      </c>
      <c r="T24" s="399">
        <v>2048.1799999999998</v>
      </c>
      <c r="U24" s="399">
        <v>17.023977208594363</v>
      </c>
      <c r="V24" s="399">
        <v>1.678711157741966</v>
      </c>
    </row>
    <row r="25" spans="2:22" ht="13.5" thickBot="1">
      <c r="B25" s="399">
        <v>1778.783076923077</v>
      </c>
      <c r="C25" s="399">
        <v>34.429273248355493</v>
      </c>
      <c r="D25" s="399">
        <v>3.4827558903706679</v>
      </c>
      <c r="G25" s="399">
        <v>2072.8046153846158</v>
      </c>
      <c r="H25" s="399">
        <v>68.363427919623149</v>
      </c>
      <c r="I25" s="399">
        <v>5.2837784760408653</v>
      </c>
      <c r="K25" s="399">
        <v>1928.3076923076924</v>
      </c>
      <c r="L25" s="399">
        <v>39.382668386362596</v>
      </c>
      <c r="M25" s="399">
        <v>3.0131628748055093</v>
      </c>
      <c r="O25" s="399">
        <v>2194.0047058823534</v>
      </c>
      <c r="P25" s="400">
        <v>69.370256785362855</v>
      </c>
      <c r="Q25" s="401">
        <v>8.1716177687850564</v>
      </c>
      <c r="S25" s="398">
        <v>23</v>
      </c>
      <c r="T25" s="399">
        <v>1925.9830769230766</v>
      </c>
      <c r="U25" s="399">
        <v>56.052540142368528</v>
      </c>
      <c r="V25" s="399">
        <v>4.4718851025491491</v>
      </c>
    </row>
    <row r="26" spans="2:22" ht="13.5" thickBot="1">
      <c r="B26" s="399">
        <v>1837.4769230769232</v>
      </c>
      <c r="C26" s="399">
        <v>39.828109710076717</v>
      </c>
      <c r="D26" s="399">
        <v>3.9694740309651886</v>
      </c>
      <c r="G26" s="399">
        <v>1826.8092307692305</v>
      </c>
      <c r="H26" s="399">
        <v>50.794717320724743</v>
      </c>
      <c r="I26" s="399">
        <v>5.0370267245672151</v>
      </c>
      <c r="K26" s="399">
        <v>2019.6015384615384</v>
      </c>
      <c r="L26" s="399">
        <v>39.432038971334329</v>
      </c>
      <c r="M26" s="399">
        <v>2.827596542938509</v>
      </c>
      <c r="O26" s="399">
        <v>2077.4599999999996</v>
      </c>
      <c r="P26" s="400">
        <v>56.739270351327306</v>
      </c>
      <c r="Q26" s="401">
        <v>5.3297992029137582</v>
      </c>
      <c r="S26" s="398">
        <v>24</v>
      </c>
      <c r="T26" s="399">
        <v>2003.2307692307693</v>
      </c>
      <c r="U26" s="399">
        <v>50.606577053040787</v>
      </c>
      <c r="V26" s="399">
        <v>3.7859666834931853</v>
      </c>
    </row>
    <row r="27" spans="2:22" ht="13.5" thickBot="1">
      <c r="B27" s="399">
        <v>1833.9692307692308</v>
      </c>
      <c r="C27" s="399">
        <v>35.394710165408412</v>
      </c>
      <c r="D27" s="399">
        <v>3.6290632233716731</v>
      </c>
      <c r="G27" s="399">
        <v>1921.7461538461537</v>
      </c>
      <c r="H27" s="399">
        <v>37.069873108879307</v>
      </c>
      <c r="I27" s="399">
        <v>3.4038354812850722</v>
      </c>
      <c r="K27" s="399">
        <v>2049.9184615384615</v>
      </c>
      <c r="L27" s="399">
        <v>30.255572997947951</v>
      </c>
      <c r="M27" s="399">
        <v>2.5107272959359057</v>
      </c>
      <c r="O27" s="399">
        <v>2118.1799999999998</v>
      </c>
      <c r="P27" s="400">
        <v>45.2726655941592</v>
      </c>
      <c r="Q27" s="401">
        <v>4.9042402176937383</v>
      </c>
      <c r="S27" s="398">
        <v>25</v>
      </c>
      <c r="T27" s="399">
        <v>2022.6046153846155</v>
      </c>
      <c r="U27" s="399">
        <v>19.55468597521962</v>
      </c>
      <c r="V27" s="399">
        <v>1.8077320817755329</v>
      </c>
    </row>
    <row r="28" spans="2:22" ht="13.5" thickBot="1">
      <c r="B28" s="399">
        <v>1859.7015384615381</v>
      </c>
      <c r="C28" s="399">
        <v>34.825270002823494</v>
      </c>
      <c r="D28" s="399">
        <v>3.3058342382642643</v>
      </c>
      <c r="G28" s="399">
        <v>1944.7446153846154</v>
      </c>
      <c r="H28" s="399">
        <v>35.799527141989778</v>
      </c>
      <c r="I28" s="399">
        <v>3.3778428144625332</v>
      </c>
      <c r="K28" s="399">
        <v>2048.1338461538462</v>
      </c>
      <c r="L28" s="399">
        <v>34.546130882829118</v>
      </c>
      <c r="M28" s="399">
        <v>2.578276109218367</v>
      </c>
      <c r="O28" s="399">
        <v>2138.4694117647055</v>
      </c>
      <c r="P28" s="400">
        <v>56.766607313477891</v>
      </c>
      <c r="Q28" s="401">
        <v>5.6642876813995464</v>
      </c>
      <c r="S28" s="398">
        <v>26</v>
      </c>
      <c r="T28" s="399">
        <v>2024.073846153846</v>
      </c>
      <c r="U28" s="399">
        <v>22.943027095559415</v>
      </c>
      <c r="V28" s="399">
        <v>2.2076835753121902</v>
      </c>
    </row>
    <row r="29" spans="2:22" ht="13.5" thickBot="1">
      <c r="B29" s="399">
        <v>1615.0246153846156</v>
      </c>
      <c r="C29" s="399">
        <v>12.728574557068205</v>
      </c>
      <c r="D29" s="399">
        <v>1.1778068594286377</v>
      </c>
      <c r="G29" s="399">
        <v>1998.5461538461541</v>
      </c>
      <c r="H29" s="399">
        <v>28.862082836154876</v>
      </c>
      <c r="I29" s="399">
        <v>2.4894023153771689</v>
      </c>
      <c r="K29" s="399">
        <v>2037.3584615384611</v>
      </c>
      <c r="L29" s="399">
        <v>37.827598797295437</v>
      </c>
      <c r="M29" s="399">
        <v>2.8816889280394444</v>
      </c>
      <c r="O29" s="399">
        <v>2129.8682352941173</v>
      </c>
      <c r="P29" s="400">
        <v>43.978693170003169</v>
      </c>
      <c r="Q29" s="401">
        <v>4.6576231884057702</v>
      </c>
      <c r="S29" s="398">
        <v>27</v>
      </c>
      <c r="T29" s="399">
        <v>403.25384615384615</v>
      </c>
      <c r="U29" s="399">
        <v>24.856315608734299</v>
      </c>
      <c r="V29" s="399">
        <v>9.9820828117713791</v>
      </c>
    </row>
    <row r="30" spans="2:22" ht="13.5" thickBot="1">
      <c r="B30" s="399">
        <v>1827.4276923076925</v>
      </c>
      <c r="C30" s="399">
        <v>44.857801654011787</v>
      </c>
      <c r="D30" s="399">
        <v>4.4299922222773809</v>
      </c>
      <c r="G30" s="399">
        <v>2025.658461538462</v>
      </c>
      <c r="H30" s="399">
        <v>23.268753671720543</v>
      </c>
      <c r="I30" s="399">
        <v>1.9924673214681239</v>
      </c>
      <c r="K30" s="399">
        <v>2003.8646153846153</v>
      </c>
      <c r="L30" s="399">
        <v>50.59877874273721</v>
      </c>
      <c r="M30" s="399">
        <v>3.4333161818860396</v>
      </c>
      <c r="O30" s="399">
        <v>2118.2200000000003</v>
      </c>
      <c r="P30" s="400">
        <v>92.590719297339731</v>
      </c>
      <c r="Q30" s="401">
        <v>10.595164852898133</v>
      </c>
      <c r="S30" s="398">
        <v>28</v>
      </c>
      <c r="T30" s="399">
        <v>2070.1523076923081</v>
      </c>
      <c r="U30" s="399">
        <v>20.297780730000252</v>
      </c>
      <c r="V30" s="399">
        <v>1.9804338000515156</v>
      </c>
    </row>
    <row r="31" spans="2:22" ht="13.5" thickBot="1">
      <c r="B31" s="399">
        <v>1718.6830769230769</v>
      </c>
      <c r="C31" s="399">
        <v>24.237407515575246</v>
      </c>
      <c r="D31" s="399">
        <v>2.5850768182056592</v>
      </c>
      <c r="G31" s="399">
        <v>2033.8399999999997</v>
      </c>
      <c r="H31" s="399">
        <v>23.66656150214812</v>
      </c>
      <c r="I31" s="399">
        <v>2.1490223709705645</v>
      </c>
      <c r="K31" s="399">
        <v>2029.9969230769227</v>
      </c>
      <c r="L31" s="399">
        <v>43.346014692762985</v>
      </c>
      <c r="M31" s="399">
        <v>3.0986727070418221</v>
      </c>
      <c r="O31" s="399">
        <v>2162.2988235294119</v>
      </c>
      <c r="P31" s="400">
        <v>49.279619758352965</v>
      </c>
      <c r="Q31" s="401">
        <v>5.43219811976443</v>
      </c>
      <c r="S31" s="398">
        <v>29</v>
      </c>
      <c r="T31" s="399">
        <v>1928.3076923076924</v>
      </c>
      <c r="U31" s="399">
        <v>39.382668386362596</v>
      </c>
      <c r="V31" s="399">
        <v>3.0131628748055093</v>
      </c>
    </row>
    <row r="32" spans="2:22" ht="13.5" thickBot="1">
      <c r="B32" s="399">
        <v>1854.2046153846156</v>
      </c>
      <c r="C32" s="399">
        <v>41.494186865011038</v>
      </c>
      <c r="D32" s="399">
        <v>4.107098136997628</v>
      </c>
      <c r="G32" s="399">
        <v>2017.0646153846153</v>
      </c>
      <c r="H32" s="399">
        <v>26.242023745425065</v>
      </c>
      <c r="I32" s="399">
        <v>2.3832596301889413</v>
      </c>
      <c r="K32" s="399">
        <v>1986.7061538461539</v>
      </c>
      <c r="L32" s="399">
        <v>52.394764614159072</v>
      </c>
      <c r="M32" s="399">
        <v>3.1645022305645858</v>
      </c>
      <c r="O32" s="399">
        <v>1869.8047058823529</v>
      </c>
      <c r="P32" s="400">
        <v>40.505751153030744</v>
      </c>
      <c r="Q32" s="401">
        <v>4.3428442926212929</v>
      </c>
      <c r="S32" s="398">
        <v>30</v>
      </c>
      <c r="T32" s="399">
        <v>2019.6015384615384</v>
      </c>
      <c r="U32" s="399">
        <v>39.432038971334329</v>
      </c>
      <c r="V32" s="399">
        <v>2.827596542938509</v>
      </c>
    </row>
    <row r="33" spans="1:22" ht="13.5" thickBot="1">
      <c r="B33" s="399">
        <v>1861.3215384615387</v>
      </c>
      <c r="C33" s="399">
        <v>42.533047905138432</v>
      </c>
      <c r="D33" s="399">
        <v>4.1275756722206483</v>
      </c>
      <c r="G33" s="399">
        <v>2068.6800000000003</v>
      </c>
      <c r="H33" s="399">
        <v>21.977497582720289</v>
      </c>
      <c r="I33" s="399">
        <v>1.8690642138113098</v>
      </c>
      <c r="K33" s="399">
        <v>2068.9076923076918</v>
      </c>
      <c r="L33" s="399">
        <v>54.562477056724511</v>
      </c>
      <c r="M33" s="399">
        <v>3.7927481477847214</v>
      </c>
      <c r="O33" s="399">
        <v>2116.9082352941177</v>
      </c>
      <c r="P33" s="400">
        <v>30.572671668350708</v>
      </c>
      <c r="Q33" s="401">
        <v>2.5462876379278114</v>
      </c>
      <c r="S33" s="398">
        <v>31</v>
      </c>
      <c r="T33" s="399">
        <v>2049.9184615384615</v>
      </c>
      <c r="U33" s="399">
        <v>30.255572997947951</v>
      </c>
      <c r="V33" s="399">
        <v>2.5107272959359057</v>
      </c>
    </row>
    <row r="34" spans="1:22" ht="13.5" thickBot="1">
      <c r="B34" s="399">
        <v>1613.9353846153842</v>
      </c>
      <c r="C34" s="399">
        <v>10.713496640126142</v>
      </c>
      <c r="D34" s="399">
        <v>1.0734960518649783</v>
      </c>
      <c r="G34" s="399">
        <v>2080.3030769230772</v>
      </c>
      <c r="H34" s="399">
        <v>23.556211984873855</v>
      </c>
      <c r="I34" s="399">
        <v>1.9530836389538595</v>
      </c>
      <c r="K34" s="399">
        <v>2034.9861538461544</v>
      </c>
      <c r="L34" s="399">
        <v>27.30132522374015</v>
      </c>
      <c r="M34" s="399">
        <v>1.8528400332028934</v>
      </c>
      <c r="O34" s="399">
        <v>2133.9776470588231</v>
      </c>
      <c r="P34" s="400">
        <v>36.270314226894392</v>
      </c>
      <c r="Q34" s="401">
        <v>3.8458422103702672</v>
      </c>
      <c r="S34" s="398">
        <v>32</v>
      </c>
      <c r="T34" s="399">
        <v>2048.1338461538462</v>
      </c>
      <c r="U34" s="399">
        <v>34.546130882829118</v>
      </c>
      <c r="V34" s="399">
        <v>2.578276109218367</v>
      </c>
    </row>
    <row r="35" spans="1:22" ht="13.5" thickBot="1">
      <c r="B35" s="399">
        <v>1812.7446153846156</v>
      </c>
      <c r="C35" s="399">
        <v>53.322760089746815</v>
      </c>
      <c r="D35" s="399">
        <v>4.6932014058337561</v>
      </c>
      <c r="G35" s="399">
        <v>2078.2753846153846</v>
      </c>
      <c r="H35" s="399">
        <v>22.960551900801498</v>
      </c>
      <c r="I35" s="399">
        <v>1.9118295652840951</v>
      </c>
      <c r="K35" s="399">
        <v>2161.2876923076924</v>
      </c>
      <c r="L35" s="399">
        <v>28.561919331430389</v>
      </c>
      <c r="M35" s="399">
        <v>1.9631365546999981</v>
      </c>
      <c r="O35" s="399">
        <v>2117.5494117647058</v>
      </c>
      <c r="P35" s="400">
        <v>46.609848271414705</v>
      </c>
      <c r="Q35" s="401">
        <v>4.2488753250740832</v>
      </c>
      <c r="S35" s="398">
        <v>33</v>
      </c>
      <c r="T35" s="399">
        <v>2037.3584615384611</v>
      </c>
      <c r="U35" s="399">
        <v>37.827598797295437</v>
      </c>
      <c r="V35" s="399">
        <v>2.8816889280394444</v>
      </c>
    </row>
    <row r="36" spans="1:22" ht="13.5" thickBot="1">
      <c r="B36" s="399">
        <v>1755.7753846153848</v>
      </c>
      <c r="C36" s="399">
        <v>53.737053730083503</v>
      </c>
      <c r="D36" s="399">
        <v>4.6192693492714598</v>
      </c>
      <c r="G36" s="399">
        <v>2062.2430769230764</v>
      </c>
      <c r="H36" s="399">
        <v>22.838676036037452</v>
      </c>
      <c r="I36" s="399">
        <v>2.0303586967030958</v>
      </c>
      <c r="K36" s="399">
        <v>2212.6215384615384</v>
      </c>
      <c r="L36" s="399">
        <v>23.721709412182687</v>
      </c>
      <c r="M36" s="399">
        <v>1.6948080121483633</v>
      </c>
      <c r="O36" s="399">
        <v>2117.5976470588239</v>
      </c>
      <c r="P36" s="400">
        <v>52.553046477966816</v>
      </c>
      <c r="Q36" s="401">
        <v>5.1073086788532045</v>
      </c>
      <c r="S36" s="398">
        <v>34</v>
      </c>
      <c r="T36" s="399">
        <v>2003.8646153846153</v>
      </c>
      <c r="U36" s="399">
        <v>50.59877874273721</v>
      </c>
      <c r="V36" s="399">
        <v>3.4333161818860396</v>
      </c>
    </row>
    <row r="37" spans="1:22" ht="13.5" thickBot="1">
      <c r="B37" s="399">
        <v>1852.9107692307696</v>
      </c>
      <c r="C37" s="399">
        <v>57.553774631711285</v>
      </c>
      <c r="D37" s="399">
        <v>5.0690688054772259</v>
      </c>
      <c r="G37" s="399">
        <v>2067.7830769230777</v>
      </c>
      <c r="H37" s="399">
        <v>22.639664081913683</v>
      </c>
      <c r="I37" s="399">
        <v>1.9031642274541687</v>
      </c>
      <c r="K37" s="399"/>
      <c r="L37" s="400"/>
      <c r="M37" s="401"/>
      <c r="O37" s="399">
        <v>2134.5670588235294</v>
      </c>
      <c r="P37" s="400">
        <v>33.162074679679456</v>
      </c>
      <c r="Q37" s="401">
        <v>3.0542145018595153</v>
      </c>
      <c r="S37" s="398">
        <v>35</v>
      </c>
      <c r="T37" s="399">
        <v>2029.9969230769227</v>
      </c>
      <c r="U37" s="399">
        <v>43.346014692762985</v>
      </c>
      <c r="V37" s="399">
        <v>3.0986727070418221</v>
      </c>
    </row>
    <row r="38" spans="1:22" ht="13.5" thickBot="1">
      <c r="B38" s="399">
        <v>1895.6923076923076</v>
      </c>
      <c r="C38" s="399">
        <v>57.375059354194491</v>
      </c>
      <c r="D38" s="399">
        <v>4.5940170940170946</v>
      </c>
      <c r="G38" s="399">
        <v>2146.6261538461536</v>
      </c>
      <c r="H38" s="399">
        <v>30.029549208110705</v>
      </c>
      <c r="I38" s="399">
        <v>2.4648001369590564</v>
      </c>
      <c r="K38" s="399"/>
      <c r="L38" s="400"/>
      <c r="M38" s="401"/>
      <c r="O38" s="399">
        <v>2084.0458823529411</v>
      </c>
      <c r="P38" s="400">
        <v>30.043525729108357</v>
      </c>
      <c r="Q38" s="401">
        <v>2.7826756460037441</v>
      </c>
      <c r="S38" s="398">
        <v>36</v>
      </c>
      <c r="T38" s="399">
        <v>1986.7061538461539</v>
      </c>
      <c r="U38" s="399">
        <v>52.394764614159072</v>
      </c>
      <c r="V38" s="399">
        <v>3.1645022305645858</v>
      </c>
    </row>
    <row r="39" spans="1:22" ht="13.5" thickBot="1">
      <c r="B39" s="399">
        <v>2028.0369230769227</v>
      </c>
      <c r="C39" s="399">
        <v>69.199323622010098</v>
      </c>
      <c r="D39" s="399">
        <v>5.2848401016373199</v>
      </c>
      <c r="G39" s="399">
        <v>2232.3076923076924</v>
      </c>
      <c r="H39" s="399">
        <v>24.205318339103503</v>
      </c>
      <c r="I39" s="399">
        <v>1.9660411081322611</v>
      </c>
      <c r="K39" s="399"/>
      <c r="L39" s="400"/>
      <c r="M39" s="401"/>
      <c r="O39" s="399">
        <v>2093.3588235294114</v>
      </c>
      <c r="P39" s="400">
        <v>27.415725843596331</v>
      </c>
      <c r="Q39" s="401">
        <v>2.8597646346539545</v>
      </c>
      <c r="S39" s="398">
        <v>37</v>
      </c>
      <c r="T39" s="399">
        <v>2068.9076923076918</v>
      </c>
      <c r="U39" s="399">
        <v>54.562477056724511</v>
      </c>
      <c r="V39" s="399">
        <v>3.7927481477847214</v>
      </c>
    </row>
    <row r="40" spans="1:22" ht="13.5" thickBot="1">
      <c r="D40" s="398">
        <f>STDEV(D3:D39)</f>
        <v>1.2442798011288194</v>
      </c>
      <c r="E40" s="398" t="s">
        <v>109</v>
      </c>
      <c r="I40" s="398">
        <f>STDEV(I3:I39)</f>
        <v>1.449091937565661</v>
      </c>
      <c r="M40" s="398">
        <f>STDEV(M3:M39)</f>
        <v>0.76653462867524436</v>
      </c>
      <c r="Q40" s="398">
        <f>STDEV(Q3:Q39)</f>
        <v>2.4957821901502992</v>
      </c>
      <c r="S40" s="398">
        <v>38</v>
      </c>
      <c r="T40" s="399">
        <v>2034.9861538461544</v>
      </c>
      <c r="U40" s="399">
        <v>27.30132522374015</v>
      </c>
      <c r="V40" s="399">
        <v>1.8528400332028934</v>
      </c>
    </row>
    <row r="41" spans="1:22" ht="13.5" thickBot="1">
      <c r="A41" s="398" t="s">
        <v>130</v>
      </c>
      <c r="B41" s="398">
        <f>AVERAGE(B3:B39)</f>
        <v>1815.3835042735043</v>
      </c>
      <c r="C41" s="398">
        <f t="shared" ref="C41:Q41" si="0">AVERAGE(C3:C39)</f>
        <v>38.43836850790418</v>
      </c>
      <c r="D41" s="398">
        <f t="shared" si="0"/>
        <v>3.5418831240458513</v>
      </c>
      <c r="G41" s="398">
        <f t="shared" si="0"/>
        <v>2047.0150000000006</v>
      </c>
      <c r="H41" s="398">
        <f t="shared" si="0"/>
        <v>40.255583808572737</v>
      </c>
      <c r="I41" s="398">
        <f t="shared" si="0"/>
        <v>3.2903144624636007</v>
      </c>
      <c r="K41" s="398">
        <f t="shared" si="0"/>
        <v>2061.9813122171945</v>
      </c>
      <c r="L41" s="398">
        <f t="shared" si="0"/>
        <v>32.236661232675395</v>
      </c>
      <c r="M41" s="398">
        <f t="shared" si="0"/>
        <v>2.5828034478721222</v>
      </c>
      <c r="O41" s="398">
        <f t="shared" si="0"/>
        <v>2135.4886486486489</v>
      </c>
      <c r="P41" s="398">
        <f t="shared" si="0"/>
        <v>54.890930324188503</v>
      </c>
      <c r="Q41" s="398">
        <f t="shared" si="0"/>
        <v>5.4682127407012366</v>
      </c>
      <c r="S41" s="398">
        <v>39</v>
      </c>
      <c r="T41" s="399">
        <v>2161.2876923076924</v>
      </c>
      <c r="U41" s="399">
        <v>28.561919331430389</v>
      </c>
      <c r="V41" s="399">
        <v>1.9631365546999981</v>
      </c>
    </row>
    <row r="42" spans="1:22">
      <c r="C42" s="398">
        <f>3*C41</f>
        <v>115.31510552371253</v>
      </c>
      <c r="D42" s="398">
        <f>3*D40</f>
        <v>3.7328394033864583</v>
      </c>
      <c r="E42" s="398" t="s">
        <v>131</v>
      </c>
      <c r="H42" s="398">
        <f>3*H41</f>
        <v>120.76675142571821</v>
      </c>
      <c r="I42" s="398">
        <f>3*I40</f>
        <v>4.3472758126969833</v>
      </c>
      <c r="L42" s="398">
        <f>3*L41</f>
        <v>96.709983698026178</v>
      </c>
      <c r="M42" s="398">
        <f>3*M40</f>
        <v>2.2996038860257331</v>
      </c>
      <c r="P42" s="398">
        <f>3*P41</f>
        <v>164.67279097256551</v>
      </c>
      <c r="Q42" s="398">
        <f>3*Q40</f>
        <v>7.4873465704508977</v>
      </c>
      <c r="S42" s="398">
        <v>40</v>
      </c>
      <c r="T42" s="399">
        <v>2212.6215384615384</v>
      </c>
      <c r="U42" s="399">
        <v>23.721709412182687</v>
      </c>
      <c r="V42" s="399">
        <v>1.6948080121483633</v>
      </c>
    </row>
    <row r="43" spans="1:22">
      <c r="A43" s="402" t="s">
        <v>71</v>
      </c>
      <c r="B43" s="402">
        <f>B41-C42</f>
        <v>1700.0683987497919</v>
      </c>
      <c r="C43" s="402"/>
      <c r="D43" s="402">
        <f>D41-D42</f>
        <v>-0.19095627934060699</v>
      </c>
      <c r="F43" s="402" t="s">
        <v>71</v>
      </c>
      <c r="G43" s="402">
        <f>G41-H42</f>
        <v>1926.2482485742823</v>
      </c>
      <c r="H43" s="402"/>
      <c r="I43" s="402">
        <f>I41-I42</f>
        <v>-1.0569613502333826</v>
      </c>
      <c r="K43" s="402">
        <f>K41-L42</f>
        <v>1965.2713285191683</v>
      </c>
      <c r="L43" s="402"/>
      <c r="M43" s="402">
        <f>M41-M42</f>
        <v>0.28319956184638917</v>
      </c>
      <c r="O43" s="402">
        <f>O41-P42</f>
        <v>1970.8158576760834</v>
      </c>
      <c r="P43" s="402"/>
      <c r="Q43" s="402">
        <f>Q41-Q42</f>
        <v>-2.019133829749661</v>
      </c>
    </row>
    <row r="44" spans="1:22">
      <c r="A44" s="402" t="s">
        <v>72</v>
      </c>
      <c r="B44" s="402">
        <f>B41+C42</f>
        <v>1930.6986097972167</v>
      </c>
      <c r="C44" s="402"/>
      <c r="D44" s="402">
        <f>D41+D42</f>
        <v>7.27472252743231</v>
      </c>
      <c r="F44" s="402" t="s">
        <v>72</v>
      </c>
      <c r="G44" s="402">
        <f>G41+H42</f>
        <v>2167.7817514257185</v>
      </c>
      <c r="H44" s="402"/>
      <c r="I44" s="402">
        <f>I41+I42</f>
        <v>7.6375902751605835</v>
      </c>
      <c r="K44" s="402">
        <f>K41+L42</f>
        <v>2158.6912959152205</v>
      </c>
      <c r="L44" s="402"/>
      <c r="M44" s="402">
        <f>M41+M42</f>
        <v>4.8824073338978558</v>
      </c>
      <c r="O44" s="402">
        <f>O41+P42</f>
        <v>2300.1614396212144</v>
      </c>
      <c r="P44" s="402"/>
      <c r="Q44" s="402">
        <f>Q41+Q42</f>
        <v>12.955559311152134</v>
      </c>
    </row>
  </sheetData>
  <conditionalFormatting sqref="I3:I29">
    <cfRule type="cellIs" dxfId="1139" priority="1135" stopIfTrue="1" operator="equal">
      <formula>"Fail"</formula>
    </cfRule>
    <cfRule type="cellIs" dxfId="1138" priority="1136" stopIfTrue="1" operator="equal">
      <formula>"Pass"</formula>
    </cfRule>
  </conditionalFormatting>
  <conditionalFormatting sqref="I3:I38">
    <cfRule type="cellIs" dxfId="1137" priority="1133" stopIfTrue="1" operator="equal">
      <formula>"Fail"</formula>
    </cfRule>
    <cfRule type="cellIs" dxfId="1136" priority="1134" stopIfTrue="1" operator="equal">
      <formula>"Pass"</formula>
    </cfRule>
  </conditionalFormatting>
  <conditionalFormatting sqref="D3:D39">
    <cfRule type="cellIs" dxfId="1135" priority="1131" stopIfTrue="1" operator="equal">
      <formula>"Fail"</formula>
    </cfRule>
    <cfRule type="cellIs" dxfId="1134" priority="1132" stopIfTrue="1" operator="equal">
      <formula>"Pass"</formula>
    </cfRule>
  </conditionalFormatting>
  <conditionalFormatting sqref="I3:I39">
    <cfRule type="cellIs" dxfId="1133" priority="1129" stopIfTrue="1" operator="equal">
      <formula>"Fail"</formula>
    </cfRule>
    <cfRule type="cellIs" dxfId="1132" priority="1130" stopIfTrue="1" operator="equal">
      <formula>"Pass"</formula>
    </cfRule>
  </conditionalFormatting>
  <conditionalFormatting sqref="V3">
    <cfRule type="cellIs" dxfId="1131" priority="1127" stopIfTrue="1" operator="equal">
      <formula>"Fail"</formula>
    </cfRule>
    <cfRule type="cellIs" dxfId="1130" priority="1128" stopIfTrue="1" operator="equal">
      <formula>"Pass"</formula>
    </cfRule>
  </conditionalFormatting>
  <conditionalFormatting sqref="V4">
    <cfRule type="cellIs" dxfId="1129" priority="1125" stopIfTrue="1" operator="equal">
      <formula>"Fail"</formula>
    </cfRule>
    <cfRule type="cellIs" dxfId="1128" priority="1126" stopIfTrue="1" operator="equal">
      <formula>"Pass"</formula>
    </cfRule>
  </conditionalFormatting>
  <conditionalFormatting sqref="V5">
    <cfRule type="cellIs" dxfId="1127" priority="1123" stopIfTrue="1" operator="equal">
      <formula>"Fail"</formula>
    </cfRule>
    <cfRule type="cellIs" dxfId="1126" priority="1124" stopIfTrue="1" operator="equal">
      <formula>"Pass"</formula>
    </cfRule>
  </conditionalFormatting>
  <conditionalFormatting sqref="V6">
    <cfRule type="cellIs" dxfId="1125" priority="1121" stopIfTrue="1" operator="equal">
      <formula>"Fail"</formula>
    </cfRule>
    <cfRule type="cellIs" dxfId="1124" priority="1122" stopIfTrue="1" operator="equal">
      <formula>"Pass"</formula>
    </cfRule>
  </conditionalFormatting>
  <conditionalFormatting sqref="V7">
    <cfRule type="cellIs" dxfId="1123" priority="1119" stopIfTrue="1" operator="equal">
      <formula>"Fail"</formula>
    </cfRule>
    <cfRule type="cellIs" dxfId="1122" priority="1120" stopIfTrue="1" operator="equal">
      <formula>"Pass"</formula>
    </cfRule>
  </conditionalFormatting>
  <conditionalFormatting sqref="V7">
    <cfRule type="cellIs" dxfId="1121" priority="1117" stopIfTrue="1" operator="equal">
      <formula>"Fail"</formula>
    </cfRule>
    <cfRule type="cellIs" dxfId="1120" priority="1118" stopIfTrue="1" operator="equal">
      <formula>"Pass"</formula>
    </cfRule>
  </conditionalFormatting>
  <conditionalFormatting sqref="V8">
    <cfRule type="cellIs" dxfId="1119" priority="1115" stopIfTrue="1" operator="equal">
      <formula>"Fail"</formula>
    </cfRule>
    <cfRule type="cellIs" dxfId="1118" priority="1116" stopIfTrue="1" operator="equal">
      <formula>"Pass"</formula>
    </cfRule>
  </conditionalFormatting>
  <conditionalFormatting sqref="V9">
    <cfRule type="cellIs" dxfId="1117" priority="1113" stopIfTrue="1" operator="equal">
      <formula>"Fail"</formula>
    </cfRule>
    <cfRule type="cellIs" dxfId="1116" priority="1114" stopIfTrue="1" operator="equal">
      <formula>"Pass"</formula>
    </cfRule>
  </conditionalFormatting>
  <conditionalFormatting sqref="V10">
    <cfRule type="cellIs" dxfId="1115" priority="1111" stopIfTrue="1" operator="equal">
      <formula>"Fail"</formula>
    </cfRule>
    <cfRule type="cellIs" dxfId="1114" priority="1112" stopIfTrue="1" operator="equal">
      <formula>"Pass"</formula>
    </cfRule>
  </conditionalFormatting>
  <conditionalFormatting sqref="V11">
    <cfRule type="cellIs" dxfId="1113" priority="1109" stopIfTrue="1" operator="equal">
      <formula>"Fail"</formula>
    </cfRule>
    <cfRule type="cellIs" dxfId="1112" priority="1110" stopIfTrue="1" operator="equal">
      <formula>"Pass"</formula>
    </cfRule>
  </conditionalFormatting>
  <conditionalFormatting sqref="V11">
    <cfRule type="cellIs" dxfId="1111" priority="1107" stopIfTrue="1" operator="equal">
      <formula>"Fail"</formula>
    </cfRule>
    <cfRule type="cellIs" dxfId="1110" priority="1108" stopIfTrue="1" operator="equal">
      <formula>"Pass"</formula>
    </cfRule>
  </conditionalFormatting>
  <conditionalFormatting sqref="V11">
    <cfRule type="cellIs" dxfId="1109" priority="1105" stopIfTrue="1" operator="equal">
      <formula>"Fail"</formula>
    </cfRule>
    <cfRule type="cellIs" dxfId="1108" priority="1106" stopIfTrue="1" operator="equal">
      <formula>"Pass"</formula>
    </cfRule>
  </conditionalFormatting>
  <conditionalFormatting sqref="V12">
    <cfRule type="cellIs" dxfId="1107" priority="1103" stopIfTrue="1" operator="equal">
      <formula>"Fail"</formula>
    </cfRule>
    <cfRule type="cellIs" dxfId="1106" priority="1104" stopIfTrue="1" operator="equal">
      <formula>"Pass"</formula>
    </cfRule>
  </conditionalFormatting>
  <conditionalFormatting sqref="V13">
    <cfRule type="cellIs" dxfId="1105" priority="1101" stopIfTrue="1" operator="equal">
      <formula>"Fail"</formula>
    </cfRule>
    <cfRule type="cellIs" dxfId="1104" priority="1102" stopIfTrue="1" operator="equal">
      <formula>"Pass"</formula>
    </cfRule>
  </conditionalFormatting>
  <conditionalFormatting sqref="V13">
    <cfRule type="cellIs" dxfId="1103" priority="1099" stopIfTrue="1" operator="equal">
      <formula>"Fail"</formula>
    </cfRule>
    <cfRule type="cellIs" dxfId="1102" priority="1100" stopIfTrue="1" operator="equal">
      <formula>"Pass"</formula>
    </cfRule>
  </conditionalFormatting>
  <conditionalFormatting sqref="V13">
    <cfRule type="cellIs" dxfId="1101" priority="1097" stopIfTrue="1" operator="equal">
      <formula>"Fail"</formula>
    </cfRule>
    <cfRule type="cellIs" dxfId="1100" priority="1098" stopIfTrue="1" operator="equal">
      <formula>"Pass"</formula>
    </cfRule>
  </conditionalFormatting>
  <conditionalFormatting sqref="V13">
    <cfRule type="cellIs" dxfId="1099" priority="1095" stopIfTrue="1" operator="equal">
      <formula>"Fail"</formula>
    </cfRule>
    <cfRule type="cellIs" dxfId="1098" priority="1096" stopIfTrue="1" operator="equal">
      <formula>"Pass"</formula>
    </cfRule>
  </conditionalFormatting>
  <conditionalFormatting sqref="V14">
    <cfRule type="cellIs" dxfId="1097" priority="1093" stopIfTrue="1" operator="equal">
      <formula>"Fail"</formula>
    </cfRule>
    <cfRule type="cellIs" dxfId="1096" priority="1094" stopIfTrue="1" operator="equal">
      <formula>"Pass"</formula>
    </cfRule>
  </conditionalFormatting>
  <conditionalFormatting sqref="V14">
    <cfRule type="cellIs" dxfId="1095" priority="1091" stopIfTrue="1" operator="equal">
      <formula>"Fail"</formula>
    </cfRule>
    <cfRule type="cellIs" dxfId="1094" priority="1092" stopIfTrue="1" operator="equal">
      <formula>"Pass"</formula>
    </cfRule>
  </conditionalFormatting>
  <conditionalFormatting sqref="V14">
    <cfRule type="cellIs" dxfId="1093" priority="1089" stopIfTrue="1" operator="equal">
      <formula>"Fail"</formula>
    </cfRule>
    <cfRule type="cellIs" dxfId="1092" priority="1090" stopIfTrue="1" operator="equal">
      <formula>"Pass"</formula>
    </cfRule>
  </conditionalFormatting>
  <conditionalFormatting sqref="V14">
    <cfRule type="cellIs" dxfId="1091" priority="1087" stopIfTrue="1" operator="equal">
      <formula>"Fail"</formula>
    </cfRule>
    <cfRule type="cellIs" dxfId="1090" priority="1088" stopIfTrue="1" operator="equal">
      <formula>"Pass"</formula>
    </cfRule>
  </conditionalFormatting>
  <conditionalFormatting sqref="V15">
    <cfRule type="cellIs" dxfId="1089" priority="1085" stopIfTrue="1" operator="equal">
      <formula>"Fail"</formula>
    </cfRule>
    <cfRule type="cellIs" dxfId="1088" priority="1086" stopIfTrue="1" operator="equal">
      <formula>"Pass"</formula>
    </cfRule>
  </conditionalFormatting>
  <conditionalFormatting sqref="V15">
    <cfRule type="cellIs" dxfId="1087" priority="1083" stopIfTrue="1" operator="equal">
      <formula>"Fail"</formula>
    </cfRule>
    <cfRule type="cellIs" dxfId="1086" priority="1084" stopIfTrue="1" operator="equal">
      <formula>"Pass"</formula>
    </cfRule>
  </conditionalFormatting>
  <conditionalFormatting sqref="V15">
    <cfRule type="cellIs" dxfId="1085" priority="1081" stopIfTrue="1" operator="equal">
      <formula>"Fail"</formula>
    </cfRule>
    <cfRule type="cellIs" dxfId="1084" priority="1082" stopIfTrue="1" operator="equal">
      <formula>"Pass"</formula>
    </cfRule>
  </conditionalFormatting>
  <conditionalFormatting sqref="V15">
    <cfRule type="cellIs" dxfId="1083" priority="1079" stopIfTrue="1" operator="equal">
      <formula>"Fail"</formula>
    </cfRule>
    <cfRule type="cellIs" dxfId="1082" priority="1080" stopIfTrue="1" operator="equal">
      <formula>"Pass"</formula>
    </cfRule>
  </conditionalFormatting>
  <conditionalFormatting sqref="V16">
    <cfRule type="cellIs" dxfId="1081" priority="1077" stopIfTrue="1" operator="equal">
      <formula>"Fail"</formula>
    </cfRule>
    <cfRule type="cellIs" dxfId="1080" priority="1078" stopIfTrue="1" operator="equal">
      <formula>"Pass"</formula>
    </cfRule>
  </conditionalFormatting>
  <conditionalFormatting sqref="V16">
    <cfRule type="cellIs" dxfId="1079" priority="1075" stopIfTrue="1" operator="equal">
      <formula>"Fail"</formula>
    </cfRule>
    <cfRule type="cellIs" dxfId="1078" priority="1076" stopIfTrue="1" operator="equal">
      <formula>"Pass"</formula>
    </cfRule>
  </conditionalFormatting>
  <conditionalFormatting sqref="V16">
    <cfRule type="cellIs" dxfId="1077" priority="1073" stopIfTrue="1" operator="equal">
      <formula>"Fail"</formula>
    </cfRule>
    <cfRule type="cellIs" dxfId="1076" priority="1074" stopIfTrue="1" operator="equal">
      <formula>"Pass"</formula>
    </cfRule>
  </conditionalFormatting>
  <conditionalFormatting sqref="V16">
    <cfRule type="cellIs" dxfId="1075" priority="1071" stopIfTrue="1" operator="equal">
      <formula>"Fail"</formula>
    </cfRule>
    <cfRule type="cellIs" dxfId="1074" priority="1072" stopIfTrue="1" operator="equal">
      <formula>"Pass"</formula>
    </cfRule>
  </conditionalFormatting>
  <conditionalFormatting sqref="V17">
    <cfRule type="cellIs" dxfId="1073" priority="1069" stopIfTrue="1" operator="equal">
      <formula>"Fail"</formula>
    </cfRule>
    <cfRule type="cellIs" dxfId="1072" priority="1070" stopIfTrue="1" operator="equal">
      <formula>"Pass"</formula>
    </cfRule>
  </conditionalFormatting>
  <conditionalFormatting sqref="V17">
    <cfRule type="cellIs" dxfId="1071" priority="1067" stopIfTrue="1" operator="equal">
      <formula>"Fail"</formula>
    </cfRule>
    <cfRule type="cellIs" dxfId="1070" priority="1068" stopIfTrue="1" operator="equal">
      <formula>"Pass"</formula>
    </cfRule>
  </conditionalFormatting>
  <conditionalFormatting sqref="V17">
    <cfRule type="cellIs" dxfId="1069" priority="1065" stopIfTrue="1" operator="equal">
      <formula>"Fail"</formula>
    </cfRule>
    <cfRule type="cellIs" dxfId="1068" priority="1066" stopIfTrue="1" operator="equal">
      <formula>"Pass"</formula>
    </cfRule>
  </conditionalFormatting>
  <conditionalFormatting sqref="V17">
    <cfRule type="cellIs" dxfId="1067" priority="1063" stopIfTrue="1" operator="equal">
      <formula>"Fail"</formula>
    </cfRule>
    <cfRule type="cellIs" dxfId="1066" priority="1064" stopIfTrue="1" operator="equal">
      <formula>"Pass"</formula>
    </cfRule>
  </conditionalFormatting>
  <conditionalFormatting sqref="V18">
    <cfRule type="cellIs" dxfId="1065" priority="1061" stopIfTrue="1" operator="equal">
      <formula>"Fail"</formula>
    </cfRule>
    <cfRule type="cellIs" dxfId="1064" priority="1062" stopIfTrue="1" operator="equal">
      <formula>"Pass"</formula>
    </cfRule>
  </conditionalFormatting>
  <conditionalFormatting sqref="V18">
    <cfRule type="cellIs" dxfId="1063" priority="1059" stopIfTrue="1" operator="equal">
      <formula>"Fail"</formula>
    </cfRule>
    <cfRule type="cellIs" dxfId="1062" priority="1060" stopIfTrue="1" operator="equal">
      <formula>"Pass"</formula>
    </cfRule>
  </conditionalFormatting>
  <conditionalFormatting sqref="V18">
    <cfRule type="cellIs" dxfId="1061" priority="1057" stopIfTrue="1" operator="equal">
      <formula>"Fail"</formula>
    </cfRule>
    <cfRule type="cellIs" dxfId="1060" priority="1058" stopIfTrue="1" operator="equal">
      <formula>"Pass"</formula>
    </cfRule>
  </conditionalFormatting>
  <conditionalFormatting sqref="V19">
    <cfRule type="cellIs" dxfId="1059" priority="1055" stopIfTrue="1" operator="equal">
      <formula>"Fail"</formula>
    </cfRule>
    <cfRule type="cellIs" dxfId="1058" priority="1056" stopIfTrue="1" operator="equal">
      <formula>"Pass"</formula>
    </cfRule>
  </conditionalFormatting>
  <conditionalFormatting sqref="V19">
    <cfRule type="cellIs" dxfId="1057" priority="1053" stopIfTrue="1" operator="equal">
      <formula>"Fail"</formula>
    </cfRule>
    <cfRule type="cellIs" dxfId="1056" priority="1054" stopIfTrue="1" operator="equal">
      <formula>"Pass"</formula>
    </cfRule>
  </conditionalFormatting>
  <conditionalFormatting sqref="V19">
    <cfRule type="cellIs" dxfId="1055" priority="1051" stopIfTrue="1" operator="equal">
      <formula>"Fail"</formula>
    </cfRule>
    <cfRule type="cellIs" dxfId="1054" priority="1052" stopIfTrue="1" operator="equal">
      <formula>"Pass"</formula>
    </cfRule>
  </conditionalFormatting>
  <conditionalFormatting sqref="V20">
    <cfRule type="cellIs" dxfId="1053" priority="1049" stopIfTrue="1" operator="equal">
      <formula>"Fail"</formula>
    </cfRule>
    <cfRule type="cellIs" dxfId="1052" priority="1050" stopIfTrue="1" operator="equal">
      <formula>"Pass"</formula>
    </cfRule>
  </conditionalFormatting>
  <conditionalFormatting sqref="V20">
    <cfRule type="cellIs" dxfId="1051" priority="1047" stopIfTrue="1" operator="equal">
      <formula>"Fail"</formula>
    </cfRule>
    <cfRule type="cellIs" dxfId="1050" priority="1048" stopIfTrue="1" operator="equal">
      <formula>"Pass"</formula>
    </cfRule>
  </conditionalFormatting>
  <conditionalFormatting sqref="V20">
    <cfRule type="cellIs" dxfId="1049" priority="1045" stopIfTrue="1" operator="equal">
      <formula>"Fail"</formula>
    </cfRule>
    <cfRule type="cellIs" dxfId="1048" priority="1046" stopIfTrue="1" operator="equal">
      <formula>"Pass"</formula>
    </cfRule>
  </conditionalFormatting>
  <conditionalFormatting sqref="V21">
    <cfRule type="cellIs" dxfId="1047" priority="1043" stopIfTrue="1" operator="equal">
      <formula>"Fail"</formula>
    </cfRule>
    <cfRule type="cellIs" dxfId="1046" priority="1044" stopIfTrue="1" operator="equal">
      <formula>"Pass"</formula>
    </cfRule>
  </conditionalFormatting>
  <conditionalFormatting sqref="V21">
    <cfRule type="cellIs" dxfId="1045" priority="1041" stopIfTrue="1" operator="equal">
      <formula>"Fail"</formula>
    </cfRule>
    <cfRule type="cellIs" dxfId="1044" priority="1042" stopIfTrue="1" operator="equal">
      <formula>"Pass"</formula>
    </cfRule>
  </conditionalFormatting>
  <conditionalFormatting sqref="V21">
    <cfRule type="cellIs" dxfId="1043" priority="1039" stopIfTrue="1" operator="equal">
      <formula>"Fail"</formula>
    </cfRule>
    <cfRule type="cellIs" dxfId="1042" priority="1040" stopIfTrue="1" operator="equal">
      <formula>"Pass"</formula>
    </cfRule>
  </conditionalFormatting>
  <conditionalFormatting sqref="V21">
    <cfRule type="cellIs" dxfId="1041" priority="1037" stopIfTrue="1" operator="equal">
      <formula>"Fail"</formula>
    </cfRule>
    <cfRule type="cellIs" dxfId="1040" priority="1038" stopIfTrue="1" operator="equal">
      <formula>"Pass"</formula>
    </cfRule>
  </conditionalFormatting>
  <conditionalFormatting sqref="V21">
    <cfRule type="cellIs" dxfId="1039" priority="1035" stopIfTrue="1" operator="equal">
      <formula>"Fail"</formula>
    </cfRule>
    <cfRule type="cellIs" dxfId="1038" priority="1036" stopIfTrue="1" operator="equal">
      <formula>"Pass"</formula>
    </cfRule>
  </conditionalFormatting>
  <conditionalFormatting sqref="V21">
    <cfRule type="cellIs" dxfId="1037" priority="1033" stopIfTrue="1" operator="equal">
      <formula>"Fail"</formula>
    </cfRule>
    <cfRule type="cellIs" dxfId="1036" priority="1034" stopIfTrue="1" operator="equal">
      <formula>"Pass"</formula>
    </cfRule>
  </conditionalFormatting>
  <conditionalFormatting sqref="V22">
    <cfRule type="cellIs" dxfId="1035" priority="1031" stopIfTrue="1" operator="equal">
      <formula>"Fail"</formula>
    </cfRule>
    <cfRule type="cellIs" dxfId="1034" priority="1032" stopIfTrue="1" operator="equal">
      <formula>"Pass"</formula>
    </cfRule>
  </conditionalFormatting>
  <conditionalFormatting sqref="V22">
    <cfRule type="cellIs" dxfId="1033" priority="1029" stopIfTrue="1" operator="equal">
      <formula>"Fail"</formula>
    </cfRule>
    <cfRule type="cellIs" dxfId="1032" priority="1030" stopIfTrue="1" operator="equal">
      <formula>"Pass"</formula>
    </cfRule>
  </conditionalFormatting>
  <conditionalFormatting sqref="V22">
    <cfRule type="cellIs" dxfId="1031" priority="1027" stopIfTrue="1" operator="equal">
      <formula>"Fail"</formula>
    </cfRule>
    <cfRule type="cellIs" dxfId="1030" priority="1028" stopIfTrue="1" operator="equal">
      <formula>"Pass"</formula>
    </cfRule>
  </conditionalFormatting>
  <conditionalFormatting sqref="V22">
    <cfRule type="cellIs" dxfId="1029" priority="1025" stopIfTrue="1" operator="equal">
      <formula>"Fail"</formula>
    </cfRule>
    <cfRule type="cellIs" dxfId="1028" priority="1026" stopIfTrue="1" operator="equal">
      <formula>"Pass"</formula>
    </cfRule>
  </conditionalFormatting>
  <conditionalFormatting sqref="V22">
    <cfRule type="cellIs" dxfId="1027" priority="1023" stopIfTrue="1" operator="equal">
      <formula>"Fail"</formula>
    </cfRule>
    <cfRule type="cellIs" dxfId="1026" priority="1024" stopIfTrue="1" operator="equal">
      <formula>"Pass"</formula>
    </cfRule>
  </conditionalFormatting>
  <conditionalFormatting sqref="V22">
    <cfRule type="cellIs" dxfId="1025" priority="1021" stopIfTrue="1" operator="equal">
      <formula>"Fail"</formula>
    </cfRule>
    <cfRule type="cellIs" dxfId="1024" priority="1022" stopIfTrue="1" operator="equal">
      <formula>"Pass"</formula>
    </cfRule>
  </conditionalFormatting>
  <conditionalFormatting sqref="V23">
    <cfRule type="cellIs" dxfId="1023" priority="1019" stopIfTrue="1" operator="equal">
      <formula>"Fail"</formula>
    </cfRule>
    <cfRule type="cellIs" dxfId="1022" priority="1020" stopIfTrue="1" operator="equal">
      <formula>"Pass"</formula>
    </cfRule>
  </conditionalFormatting>
  <conditionalFormatting sqref="V23">
    <cfRule type="cellIs" dxfId="1021" priority="1017" stopIfTrue="1" operator="equal">
      <formula>"Fail"</formula>
    </cfRule>
    <cfRule type="cellIs" dxfId="1020" priority="1018" stopIfTrue="1" operator="equal">
      <formula>"Pass"</formula>
    </cfRule>
  </conditionalFormatting>
  <conditionalFormatting sqref="V23">
    <cfRule type="cellIs" dxfId="1019" priority="1015" stopIfTrue="1" operator="equal">
      <formula>"Fail"</formula>
    </cfRule>
    <cfRule type="cellIs" dxfId="1018" priority="1016" stopIfTrue="1" operator="equal">
      <formula>"Pass"</formula>
    </cfRule>
  </conditionalFormatting>
  <conditionalFormatting sqref="V24">
    <cfRule type="cellIs" dxfId="1017" priority="1013" stopIfTrue="1" operator="equal">
      <formula>"Fail"</formula>
    </cfRule>
    <cfRule type="cellIs" dxfId="1016" priority="1014" stopIfTrue="1" operator="equal">
      <formula>"Pass"</formula>
    </cfRule>
  </conditionalFormatting>
  <conditionalFormatting sqref="V24">
    <cfRule type="cellIs" dxfId="1015" priority="1011" stopIfTrue="1" operator="equal">
      <formula>"Fail"</formula>
    </cfRule>
    <cfRule type="cellIs" dxfId="1014" priority="1012" stopIfTrue="1" operator="equal">
      <formula>"Pass"</formula>
    </cfRule>
  </conditionalFormatting>
  <conditionalFormatting sqref="V24">
    <cfRule type="cellIs" dxfId="1013" priority="1009" stopIfTrue="1" operator="equal">
      <formula>"Fail"</formula>
    </cfRule>
    <cfRule type="cellIs" dxfId="1012" priority="1010" stopIfTrue="1" operator="equal">
      <formula>"Pass"</formula>
    </cfRule>
  </conditionalFormatting>
  <conditionalFormatting sqref="V25">
    <cfRule type="cellIs" dxfId="1011" priority="1007" stopIfTrue="1" operator="equal">
      <formula>"Fail"</formula>
    </cfRule>
    <cfRule type="cellIs" dxfId="1010" priority="1008" stopIfTrue="1" operator="equal">
      <formula>"Pass"</formula>
    </cfRule>
  </conditionalFormatting>
  <conditionalFormatting sqref="V25">
    <cfRule type="cellIs" dxfId="1009" priority="1005" stopIfTrue="1" operator="equal">
      <formula>"Fail"</formula>
    </cfRule>
    <cfRule type="cellIs" dxfId="1008" priority="1006" stopIfTrue="1" operator="equal">
      <formula>"Pass"</formula>
    </cfRule>
  </conditionalFormatting>
  <conditionalFormatting sqref="V25">
    <cfRule type="cellIs" dxfId="1007" priority="1003" stopIfTrue="1" operator="equal">
      <formula>"Fail"</formula>
    </cfRule>
    <cfRule type="cellIs" dxfId="1006" priority="1004" stopIfTrue="1" operator="equal">
      <formula>"Pass"</formula>
    </cfRule>
  </conditionalFormatting>
  <conditionalFormatting sqref="V26">
    <cfRule type="cellIs" dxfId="1005" priority="1001" stopIfTrue="1" operator="equal">
      <formula>"Fail"</formula>
    </cfRule>
    <cfRule type="cellIs" dxfId="1004" priority="1002" stopIfTrue="1" operator="equal">
      <formula>"Pass"</formula>
    </cfRule>
  </conditionalFormatting>
  <conditionalFormatting sqref="V26">
    <cfRule type="cellIs" dxfId="1003" priority="999" stopIfTrue="1" operator="equal">
      <formula>"Fail"</formula>
    </cfRule>
    <cfRule type="cellIs" dxfId="1002" priority="1000" stopIfTrue="1" operator="equal">
      <formula>"Pass"</formula>
    </cfRule>
  </conditionalFormatting>
  <conditionalFormatting sqref="V26">
    <cfRule type="cellIs" dxfId="1001" priority="997" stopIfTrue="1" operator="equal">
      <formula>"Fail"</formula>
    </cfRule>
    <cfRule type="cellIs" dxfId="1000" priority="998" stopIfTrue="1" operator="equal">
      <formula>"Pass"</formula>
    </cfRule>
  </conditionalFormatting>
  <conditionalFormatting sqref="V27">
    <cfRule type="cellIs" dxfId="999" priority="995" stopIfTrue="1" operator="equal">
      <formula>"Fail"</formula>
    </cfRule>
    <cfRule type="cellIs" dxfId="998" priority="996" stopIfTrue="1" operator="equal">
      <formula>"Pass"</formula>
    </cfRule>
  </conditionalFormatting>
  <conditionalFormatting sqref="V27">
    <cfRule type="cellIs" dxfId="997" priority="993" stopIfTrue="1" operator="equal">
      <formula>"Fail"</formula>
    </cfRule>
    <cfRule type="cellIs" dxfId="996" priority="994" stopIfTrue="1" operator="equal">
      <formula>"Pass"</formula>
    </cfRule>
  </conditionalFormatting>
  <conditionalFormatting sqref="V27">
    <cfRule type="cellIs" dxfId="995" priority="991" stopIfTrue="1" operator="equal">
      <formula>"Fail"</formula>
    </cfRule>
    <cfRule type="cellIs" dxfId="994" priority="992" stopIfTrue="1" operator="equal">
      <formula>"Pass"</formula>
    </cfRule>
  </conditionalFormatting>
  <conditionalFormatting sqref="V28">
    <cfRule type="cellIs" dxfId="993" priority="989" stopIfTrue="1" operator="equal">
      <formula>"Fail"</formula>
    </cfRule>
    <cfRule type="cellIs" dxfId="992" priority="990" stopIfTrue="1" operator="equal">
      <formula>"Pass"</formula>
    </cfRule>
  </conditionalFormatting>
  <conditionalFormatting sqref="V28">
    <cfRule type="cellIs" dxfId="991" priority="987" stopIfTrue="1" operator="equal">
      <formula>"Fail"</formula>
    </cfRule>
    <cfRule type="cellIs" dxfId="990" priority="988" stopIfTrue="1" operator="equal">
      <formula>"Pass"</formula>
    </cfRule>
  </conditionalFormatting>
  <conditionalFormatting sqref="V28">
    <cfRule type="cellIs" dxfId="989" priority="985" stopIfTrue="1" operator="equal">
      <formula>"Fail"</formula>
    </cfRule>
    <cfRule type="cellIs" dxfId="988" priority="986" stopIfTrue="1" operator="equal">
      <formula>"Pass"</formula>
    </cfRule>
  </conditionalFormatting>
  <conditionalFormatting sqref="V29">
    <cfRule type="cellIs" dxfId="987" priority="983" stopIfTrue="1" operator="equal">
      <formula>"Fail"</formula>
    </cfRule>
    <cfRule type="cellIs" dxfId="986" priority="984" stopIfTrue="1" operator="equal">
      <formula>"Pass"</formula>
    </cfRule>
  </conditionalFormatting>
  <conditionalFormatting sqref="V29">
    <cfRule type="cellIs" dxfId="985" priority="981" stopIfTrue="1" operator="equal">
      <formula>"Fail"</formula>
    </cfRule>
    <cfRule type="cellIs" dxfId="984" priority="982" stopIfTrue="1" operator="equal">
      <formula>"Pass"</formula>
    </cfRule>
  </conditionalFormatting>
  <conditionalFormatting sqref="V29">
    <cfRule type="cellIs" dxfId="983" priority="979" stopIfTrue="1" operator="equal">
      <formula>"Fail"</formula>
    </cfRule>
    <cfRule type="cellIs" dxfId="982" priority="980" stopIfTrue="1" operator="equal">
      <formula>"Pass"</formula>
    </cfRule>
  </conditionalFormatting>
  <conditionalFormatting sqref="V30">
    <cfRule type="cellIs" dxfId="981" priority="977" stopIfTrue="1" operator="equal">
      <formula>"Fail"</formula>
    </cfRule>
    <cfRule type="cellIs" dxfId="980" priority="978" stopIfTrue="1" operator="equal">
      <formula>"Pass"</formula>
    </cfRule>
  </conditionalFormatting>
  <conditionalFormatting sqref="V30">
    <cfRule type="cellIs" dxfId="979" priority="975" stopIfTrue="1" operator="equal">
      <formula>"Fail"</formula>
    </cfRule>
    <cfRule type="cellIs" dxfId="978" priority="976" stopIfTrue="1" operator="equal">
      <formula>"Pass"</formula>
    </cfRule>
  </conditionalFormatting>
  <conditionalFormatting sqref="V30">
    <cfRule type="cellIs" dxfId="977" priority="973" stopIfTrue="1" operator="equal">
      <formula>"Fail"</formula>
    </cfRule>
    <cfRule type="cellIs" dxfId="976" priority="974" stopIfTrue="1" operator="equal">
      <formula>"Pass"</formula>
    </cfRule>
  </conditionalFormatting>
  <conditionalFormatting sqref="V31">
    <cfRule type="cellIs" dxfId="975" priority="971" stopIfTrue="1" operator="equal">
      <formula>"Fail"</formula>
    </cfRule>
    <cfRule type="cellIs" dxfId="974" priority="972" stopIfTrue="1" operator="equal">
      <formula>"Pass"</formula>
    </cfRule>
  </conditionalFormatting>
  <conditionalFormatting sqref="V31">
    <cfRule type="cellIs" dxfId="973" priority="969" stopIfTrue="1" operator="equal">
      <formula>"Fail"</formula>
    </cfRule>
    <cfRule type="cellIs" dxfId="972" priority="970" stopIfTrue="1" operator="equal">
      <formula>"Pass"</formula>
    </cfRule>
  </conditionalFormatting>
  <conditionalFormatting sqref="V31">
    <cfRule type="cellIs" dxfId="971" priority="967" stopIfTrue="1" operator="equal">
      <formula>"Fail"</formula>
    </cfRule>
    <cfRule type="cellIs" dxfId="970" priority="968" stopIfTrue="1" operator="equal">
      <formula>"Pass"</formula>
    </cfRule>
  </conditionalFormatting>
  <conditionalFormatting sqref="V32">
    <cfRule type="cellIs" dxfId="969" priority="965" stopIfTrue="1" operator="equal">
      <formula>"Fail"</formula>
    </cfRule>
    <cfRule type="cellIs" dxfId="968" priority="966" stopIfTrue="1" operator="equal">
      <formula>"Pass"</formula>
    </cfRule>
  </conditionalFormatting>
  <conditionalFormatting sqref="V32">
    <cfRule type="cellIs" dxfId="967" priority="963" stopIfTrue="1" operator="equal">
      <formula>"Fail"</formula>
    </cfRule>
    <cfRule type="cellIs" dxfId="966" priority="964" stopIfTrue="1" operator="equal">
      <formula>"Pass"</formula>
    </cfRule>
  </conditionalFormatting>
  <conditionalFormatting sqref="V32">
    <cfRule type="cellIs" dxfId="965" priority="961" stopIfTrue="1" operator="equal">
      <formula>"Fail"</formula>
    </cfRule>
    <cfRule type="cellIs" dxfId="964" priority="962" stopIfTrue="1" operator="equal">
      <formula>"Pass"</formula>
    </cfRule>
  </conditionalFormatting>
  <conditionalFormatting sqref="V33">
    <cfRule type="cellIs" dxfId="963" priority="959" stopIfTrue="1" operator="equal">
      <formula>"Fail"</formula>
    </cfRule>
    <cfRule type="cellIs" dxfId="962" priority="960" stopIfTrue="1" operator="equal">
      <formula>"Pass"</formula>
    </cfRule>
  </conditionalFormatting>
  <conditionalFormatting sqref="V33">
    <cfRule type="cellIs" dxfId="961" priority="957" stopIfTrue="1" operator="equal">
      <formula>"Fail"</formula>
    </cfRule>
    <cfRule type="cellIs" dxfId="960" priority="958" stopIfTrue="1" operator="equal">
      <formula>"Pass"</formula>
    </cfRule>
  </conditionalFormatting>
  <conditionalFormatting sqref="V33">
    <cfRule type="cellIs" dxfId="959" priority="955" stopIfTrue="1" operator="equal">
      <formula>"Fail"</formula>
    </cfRule>
    <cfRule type="cellIs" dxfId="958" priority="956" stopIfTrue="1" operator="equal">
      <formula>"Pass"</formula>
    </cfRule>
  </conditionalFormatting>
  <conditionalFormatting sqref="V33">
    <cfRule type="cellIs" dxfId="957" priority="953" stopIfTrue="1" operator="equal">
      <formula>"Fail"</formula>
    </cfRule>
    <cfRule type="cellIs" dxfId="956" priority="954" stopIfTrue="1" operator="equal">
      <formula>"Pass"</formula>
    </cfRule>
  </conditionalFormatting>
  <conditionalFormatting sqref="V33">
    <cfRule type="cellIs" dxfId="955" priority="951" stopIfTrue="1" operator="equal">
      <formula>"Fail"</formula>
    </cfRule>
    <cfRule type="cellIs" dxfId="954" priority="952" stopIfTrue="1" operator="equal">
      <formula>"Pass"</formula>
    </cfRule>
  </conditionalFormatting>
  <conditionalFormatting sqref="V33">
    <cfRule type="cellIs" dxfId="953" priority="949" stopIfTrue="1" operator="equal">
      <formula>"Fail"</formula>
    </cfRule>
    <cfRule type="cellIs" dxfId="952" priority="950" stopIfTrue="1" operator="equal">
      <formula>"Pass"</formula>
    </cfRule>
  </conditionalFormatting>
  <conditionalFormatting sqref="V34">
    <cfRule type="cellIs" dxfId="951" priority="947" stopIfTrue="1" operator="equal">
      <formula>"Fail"</formula>
    </cfRule>
    <cfRule type="cellIs" dxfId="950" priority="948" stopIfTrue="1" operator="equal">
      <formula>"Pass"</formula>
    </cfRule>
  </conditionalFormatting>
  <conditionalFormatting sqref="V34">
    <cfRule type="cellIs" dxfId="949" priority="945" stopIfTrue="1" operator="equal">
      <formula>"Fail"</formula>
    </cfRule>
    <cfRule type="cellIs" dxfId="948" priority="946" stopIfTrue="1" operator="equal">
      <formula>"Pass"</formula>
    </cfRule>
  </conditionalFormatting>
  <conditionalFormatting sqref="V34">
    <cfRule type="cellIs" dxfId="947" priority="943" stopIfTrue="1" operator="equal">
      <formula>"Fail"</formula>
    </cfRule>
    <cfRule type="cellIs" dxfId="946" priority="944" stopIfTrue="1" operator="equal">
      <formula>"Pass"</formula>
    </cfRule>
  </conditionalFormatting>
  <conditionalFormatting sqref="V34">
    <cfRule type="cellIs" dxfId="945" priority="941" stopIfTrue="1" operator="equal">
      <formula>"Fail"</formula>
    </cfRule>
    <cfRule type="cellIs" dxfId="944" priority="942" stopIfTrue="1" operator="equal">
      <formula>"Pass"</formula>
    </cfRule>
  </conditionalFormatting>
  <conditionalFormatting sqref="V34">
    <cfRule type="cellIs" dxfId="943" priority="939" stopIfTrue="1" operator="equal">
      <formula>"Fail"</formula>
    </cfRule>
    <cfRule type="cellIs" dxfId="942" priority="940" stopIfTrue="1" operator="equal">
      <formula>"Pass"</formula>
    </cfRule>
  </conditionalFormatting>
  <conditionalFormatting sqref="V34">
    <cfRule type="cellIs" dxfId="941" priority="937" stopIfTrue="1" operator="equal">
      <formula>"Fail"</formula>
    </cfRule>
    <cfRule type="cellIs" dxfId="940" priority="938" stopIfTrue="1" operator="equal">
      <formula>"Pass"</formula>
    </cfRule>
  </conditionalFormatting>
  <conditionalFormatting sqref="V35">
    <cfRule type="cellIs" dxfId="939" priority="935" stopIfTrue="1" operator="equal">
      <formula>"Fail"</formula>
    </cfRule>
    <cfRule type="cellIs" dxfId="938" priority="936" stopIfTrue="1" operator="equal">
      <formula>"Pass"</formula>
    </cfRule>
  </conditionalFormatting>
  <conditionalFormatting sqref="V35">
    <cfRule type="cellIs" dxfId="937" priority="933" stopIfTrue="1" operator="equal">
      <formula>"Fail"</formula>
    </cfRule>
    <cfRule type="cellIs" dxfId="936" priority="934" stopIfTrue="1" operator="equal">
      <formula>"Pass"</formula>
    </cfRule>
  </conditionalFormatting>
  <conditionalFormatting sqref="V35">
    <cfRule type="cellIs" dxfId="935" priority="931" stopIfTrue="1" operator="equal">
      <formula>"Fail"</formula>
    </cfRule>
    <cfRule type="cellIs" dxfId="934" priority="932" stopIfTrue="1" operator="equal">
      <formula>"Pass"</formula>
    </cfRule>
  </conditionalFormatting>
  <conditionalFormatting sqref="V35">
    <cfRule type="cellIs" dxfId="933" priority="929" stopIfTrue="1" operator="equal">
      <formula>"Fail"</formula>
    </cfRule>
    <cfRule type="cellIs" dxfId="932" priority="930" stopIfTrue="1" operator="equal">
      <formula>"Pass"</formula>
    </cfRule>
  </conditionalFormatting>
  <conditionalFormatting sqref="V35">
    <cfRule type="cellIs" dxfId="931" priority="927" stopIfTrue="1" operator="equal">
      <formula>"Fail"</formula>
    </cfRule>
    <cfRule type="cellIs" dxfId="930" priority="928" stopIfTrue="1" operator="equal">
      <formula>"Pass"</formula>
    </cfRule>
  </conditionalFormatting>
  <conditionalFormatting sqref="V35">
    <cfRule type="cellIs" dxfId="929" priority="925" stopIfTrue="1" operator="equal">
      <formula>"Fail"</formula>
    </cfRule>
    <cfRule type="cellIs" dxfId="928" priority="926" stopIfTrue="1" operator="equal">
      <formula>"Pass"</formula>
    </cfRule>
  </conditionalFormatting>
  <conditionalFormatting sqref="V36">
    <cfRule type="cellIs" dxfId="927" priority="923" stopIfTrue="1" operator="equal">
      <formula>"Fail"</formula>
    </cfRule>
    <cfRule type="cellIs" dxfId="926" priority="924" stopIfTrue="1" operator="equal">
      <formula>"Pass"</formula>
    </cfRule>
  </conditionalFormatting>
  <conditionalFormatting sqref="V36">
    <cfRule type="cellIs" dxfId="925" priority="921" stopIfTrue="1" operator="equal">
      <formula>"Fail"</formula>
    </cfRule>
    <cfRule type="cellIs" dxfId="924" priority="922" stopIfTrue="1" operator="equal">
      <formula>"Pass"</formula>
    </cfRule>
  </conditionalFormatting>
  <conditionalFormatting sqref="V36">
    <cfRule type="cellIs" dxfId="923" priority="919" stopIfTrue="1" operator="equal">
      <formula>"Fail"</formula>
    </cfRule>
    <cfRule type="cellIs" dxfId="922" priority="920" stopIfTrue="1" operator="equal">
      <formula>"Pass"</formula>
    </cfRule>
  </conditionalFormatting>
  <conditionalFormatting sqref="V36">
    <cfRule type="cellIs" dxfId="921" priority="917" stopIfTrue="1" operator="equal">
      <formula>"Fail"</formula>
    </cfRule>
    <cfRule type="cellIs" dxfId="920" priority="918" stopIfTrue="1" operator="equal">
      <formula>"Pass"</formula>
    </cfRule>
  </conditionalFormatting>
  <conditionalFormatting sqref="V36">
    <cfRule type="cellIs" dxfId="919" priority="915" stopIfTrue="1" operator="equal">
      <formula>"Fail"</formula>
    </cfRule>
    <cfRule type="cellIs" dxfId="918" priority="916" stopIfTrue="1" operator="equal">
      <formula>"Pass"</formula>
    </cfRule>
  </conditionalFormatting>
  <conditionalFormatting sqref="V36">
    <cfRule type="cellIs" dxfId="917" priority="913" stopIfTrue="1" operator="equal">
      <formula>"Fail"</formula>
    </cfRule>
    <cfRule type="cellIs" dxfId="916" priority="914" stopIfTrue="1" operator="equal">
      <formula>"Pass"</formula>
    </cfRule>
  </conditionalFormatting>
  <conditionalFormatting sqref="V37">
    <cfRule type="cellIs" dxfId="915" priority="911" stopIfTrue="1" operator="equal">
      <formula>"Fail"</formula>
    </cfRule>
    <cfRule type="cellIs" dxfId="914" priority="912" stopIfTrue="1" operator="equal">
      <formula>"Pass"</formula>
    </cfRule>
  </conditionalFormatting>
  <conditionalFormatting sqref="V37">
    <cfRule type="cellIs" dxfId="913" priority="909" stopIfTrue="1" operator="equal">
      <formula>"Fail"</formula>
    </cfRule>
    <cfRule type="cellIs" dxfId="912" priority="910" stopIfTrue="1" operator="equal">
      <formula>"Pass"</formula>
    </cfRule>
  </conditionalFormatting>
  <conditionalFormatting sqref="V37">
    <cfRule type="cellIs" dxfId="911" priority="907" stopIfTrue="1" operator="equal">
      <formula>"Fail"</formula>
    </cfRule>
    <cfRule type="cellIs" dxfId="910" priority="908" stopIfTrue="1" operator="equal">
      <formula>"Pass"</formula>
    </cfRule>
  </conditionalFormatting>
  <conditionalFormatting sqref="V37">
    <cfRule type="cellIs" dxfId="909" priority="905" stopIfTrue="1" operator="equal">
      <formula>"Fail"</formula>
    </cfRule>
    <cfRule type="cellIs" dxfId="908" priority="906" stopIfTrue="1" operator="equal">
      <formula>"Pass"</formula>
    </cfRule>
  </conditionalFormatting>
  <conditionalFormatting sqref="V37">
    <cfRule type="cellIs" dxfId="907" priority="903" stopIfTrue="1" operator="equal">
      <formula>"Fail"</formula>
    </cfRule>
    <cfRule type="cellIs" dxfId="906" priority="904" stopIfTrue="1" operator="equal">
      <formula>"Pass"</formula>
    </cfRule>
  </conditionalFormatting>
  <conditionalFormatting sqref="V37">
    <cfRule type="cellIs" dxfId="905" priority="901" stopIfTrue="1" operator="equal">
      <formula>"Fail"</formula>
    </cfRule>
    <cfRule type="cellIs" dxfId="904" priority="902" stopIfTrue="1" operator="equal">
      <formula>"Pass"</formula>
    </cfRule>
  </conditionalFormatting>
  <conditionalFormatting sqref="V37">
    <cfRule type="cellIs" dxfId="903" priority="899" stopIfTrue="1" operator="equal">
      <formula>"Fail"</formula>
    </cfRule>
    <cfRule type="cellIs" dxfId="902" priority="900" stopIfTrue="1" operator="equal">
      <formula>"Pass"</formula>
    </cfRule>
  </conditionalFormatting>
  <conditionalFormatting sqref="V37">
    <cfRule type="cellIs" dxfId="901" priority="897" stopIfTrue="1" operator="equal">
      <formula>"Fail"</formula>
    </cfRule>
    <cfRule type="cellIs" dxfId="900" priority="898" stopIfTrue="1" operator="equal">
      <formula>"Pass"</formula>
    </cfRule>
  </conditionalFormatting>
  <conditionalFormatting sqref="V37">
    <cfRule type="cellIs" dxfId="899" priority="895" stopIfTrue="1" operator="equal">
      <formula>"Fail"</formula>
    </cfRule>
    <cfRule type="cellIs" dxfId="898" priority="896" stopIfTrue="1" operator="equal">
      <formula>"Pass"</formula>
    </cfRule>
  </conditionalFormatting>
  <conditionalFormatting sqref="V24">
    <cfRule type="cellIs" dxfId="897" priority="893" stopIfTrue="1" operator="equal">
      <formula>"Fail"</formula>
    </cfRule>
    <cfRule type="cellIs" dxfId="896" priority="894" stopIfTrue="1" operator="equal">
      <formula>"Pass"</formula>
    </cfRule>
  </conditionalFormatting>
  <conditionalFormatting sqref="V24">
    <cfRule type="cellIs" dxfId="895" priority="891" stopIfTrue="1" operator="equal">
      <formula>"Fail"</formula>
    </cfRule>
    <cfRule type="cellIs" dxfId="894" priority="892" stopIfTrue="1" operator="equal">
      <formula>"Pass"</formula>
    </cfRule>
  </conditionalFormatting>
  <conditionalFormatting sqref="V24">
    <cfRule type="cellIs" dxfId="893" priority="889" stopIfTrue="1" operator="equal">
      <formula>"Fail"</formula>
    </cfRule>
    <cfRule type="cellIs" dxfId="892" priority="890" stopIfTrue="1" operator="equal">
      <formula>"Pass"</formula>
    </cfRule>
  </conditionalFormatting>
  <conditionalFormatting sqref="V25">
    <cfRule type="cellIs" dxfId="891" priority="887" stopIfTrue="1" operator="equal">
      <formula>"Fail"</formula>
    </cfRule>
    <cfRule type="cellIs" dxfId="890" priority="888" stopIfTrue="1" operator="equal">
      <formula>"Pass"</formula>
    </cfRule>
  </conditionalFormatting>
  <conditionalFormatting sqref="V25">
    <cfRule type="cellIs" dxfId="889" priority="885" stopIfTrue="1" operator="equal">
      <formula>"Fail"</formula>
    </cfRule>
    <cfRule type="cellIs" dxfId="888" priority="886" stopIfTrue="1" operator="equal">
      <formula>"Pass"</formula>
    </cfRule>
  </conditionalFormatting>
  <conditionalFormatting sqref="V25">
    <cfRule type="cellIs" dxfId="887" priority="883" stopIfTrue="1" operator="equal">
      <formula>"Fail"</formula>
    </cfRule>
    <cfRule type="cellIs" dxfId="886" priority="884" stopIfTrue="1" operator="equal">
      <formula>"Pass"</formula>
    </cfRule>
  </conditionalFormatting>
  <conditionalFormatting sqref="V26">
    <cfRule type="cellIs" dxfId="885" priority="881" stopIfTrue="1" operator="equal">
      <formula>"Fail"</formula>
    </cfRule>
    <cfRule type="cellIs" dxfId="884" priority="882" stopIfTrue="1" operator="equal">
      <formula>"Pass"</formula>
    </cfRule>
  </conditionalFormatting>
  <conditionalFormatting sqref="V26">
    <cfRule type="cellIs" dxfId="883" priority="879" stopIfTrue="1" operator="equal">
      <formula>"Fail"</formula>
    </cfRule>
    <cfRule type="cellIs" dxfId="882" priority="880" stopIfTrue="1" operator="equal">
      <formula>"Pass"</formula>
    </cfRule>
  </conditionalFormatting>
  <conditionalFormatting sqref="V26">
    <cfRule type="cellIs" dxfId="881" priority="877" stopIfTrue="1" operator="equal">
      <formula>"Fail"</formula>
    </cfRule>
    <cfRule type="cellIs" dxfId="880" priority="878" stopIfTrue="1" operator="equal">
      <formula>"Pass"</formula>
    </cfRule>
  </conditionalFormatting>
  <conditionalFormatting sqref="V27">
    <cfRule type="cellIs" dxfId="879" priority="875" stopIfTrue="1" operator="equal">
      <formula>"Fail"</formula>
    </cfRule>
    <cfRule type="cellIs" dxfId="878" priority="876" stopIfTrue="1" operator="equal">
      <formula>"Pass"</formula>
    </cfRule>
  </conditionalFormatting>
  <conditionalFormatting sqref="V27">
    <cfRule type="cellIs" dxfId="877" priority="873" stopIfTrue="1" operator="equal">
      <formula>"Fail"</formula>
    </cfRule>
    <cfRule type="cellIs" dxfId="876" priority="874" stopIfTrue="1" operator="equal">
      <formula>"Pass"</formula>
    </cfRule>
  </conditionalFormatting>
  <conditionalFormatting sqref="V27">
    <cfRule type="cellIs" dxfId="875" priority="871" stopIfTrue="1" operator="equal">
      <formula>"Fail"</formula>
    </cfRule>
    <cfRule type="cellIs" dxfId="874" priority="872" stopIfTrue="1" operator="equal">
      <formula>"Pass"</formula>
    </cfRule>
  </conditionalFormatting>
  <conditionalFormatting sqref="V28">
    <cfRule type="cellIs" dxfId="873" priority="869" stopIfTrue="1" operator="equal">
      <formula>"Fail"</formula>
    </cfRule>
    <cfRule type="cellIs" dxfId="872" priority="870" stopIfTrue="1" operator="equal">
      <formula>"Pass"</formula>
    </cfRule>
  </conditionalFormatting>
  <conditionalFormatting sqref="V28">
    <cfRule type="cellIs" dxfId="871" priority="867" stopIfTrue="1" operator="equal">
      <formula>"Fail"</formula>
    </cfRule>
    <cfRule type="cellIs" dxfId="870" priority="868" stopIfTrue="1" operator="equal">
      <formula>"Pass"</formula>
    </cfRule>
  </conditionalFormatting>
  <conditionalFormatting sqref="V28">
    <cfRule type="cellIs" dxfId="869" priority="865" stopIfTrue="1" operator="equal">
      <formula>"Fail"</formula>
    </cfRule>
    <cfRule type="cellIs" dxfId="868" priority="866" stopIfTrue="1" operator="equal">
      <formula>"Pass"</formula>
    </cfRule>
  </conditionalFormatting>
  <conditionalFormatting sqref="V29">
    <cfRule type="cellIs" dxfId="867" priority="863" stopIfTrue="1" operator="equal">
      <formula>"Fail"</formula>
    </cfRule>
    <cfRule type="cellIs" dxfId="866" priority="864" stopIfTrue="1" operator="equal">
      <formula>"Pass"</formula>
    </cfRule>
  </conditionalFormatting>
  <conditionalFormatting sqref="V29">
    <cfRule type="cellIs" dxfId="865" priority="861" stopIfTrue="1" operator="equal">
      <formula>"Fail"</formula>
    </cfRule>
    <cfRule type="cellIs" dxfId="864" priority="862" stopIfTrue="1" operator="equal">
      <formula>"Pass"</formula>
    </cfRule>
  </conditionalFormatting>
  <conditionalFormatting sqref="V29">
    <cfRule type="cellIs" dxfId="863" priority="859" stopIfTrue="1" operator="equal">
      <formula>"Fail"</formula>
    </cfRule>
    <cfRule type="cellIs" dxfId="862" priority="860" stopIfTrue="1" operator="equal">
      <formula>"Pass"</formula>
    </cfRule>
  </conditionalFormatting>
  <conditionalFormatting sqref="V30">
    <cfRule type="cellIs" dxfId="861" priority="857" stopIfTrue="1" operator="equal">
      <formula>"Fail"</formula>
    </cfRule>
    <cfRule type="cellIs" dxfId="860" priority="858" stopIfTrue="1" operator="equal">
      <formula>"Pass"</formula>
    </cfRule>
  </conditionalFormatting>
  <conditionalFormatting sqref="V30">
    <cfRule type="cellIs" dxfId="859" priority="855" stopIfTrue="1" operator="equal">
      <formula>"Fail"</formula>
    </cfRule>
    <cfRule type="cellIs" dxfId="858" priority="856" stopIfTrue="1" operator="equal">
      <formula>"Pass"</formula>
    </cfRule>
  </conditionalFormatting>
  <conditionalFormatting sqref="V30">
    <cfRule type="cellIs" dxfId="857" priority="853" stopIfTrue="1" operator="equal">
      <formula>"Fail"</formula>
    </cfRule>
    <cfRule type="cellIs" dxfId="856" priority="854" stopIfTrue="1" operator="equal">
      <formula>"Pass"</formula>
    </cfRule>
  </conditionalFormatting>
  <conditionalFormatting sqref="V31">
    <cfRule type="cellIs" dxfId="855" priority="851" stopIfTrue="1" operator="equal">
      <formula>"Fail"</formula>
    </cfRule>
    <cfRule type="cellIs" dxfId="854" priority="852" stopIfTrue="1" operator="equal">
      <formula>"Pass"</formula>
    </cfRule>
  </conditionalFormatting>
  <conditionalFormatting sqref="V31">
    <cfRule type="cellIs" dxfId="853" priority="849" stopIfTrue="1" operator="equal">
      <formula>"Fail"</formula>
    </cfRule>
    <cfRule type="cellIs" dxfId="852" priority="850" stopIfTrue="1" operator="equal">
      <formula>"Pass"</formula>
    </cfRule>
  </conditionalFormatting>
  <conditionalFormatting sqref="V31">
    <cfRule type="cellIs" dxfId="851" priority="847" stopIfTrue="1" operator="equal">
      <formula>"Fail"</formula>
    </cfRule>
    <cfRule type="cellIs" dxfId="850" priority="848" stopIfTrue="1" operator="equal">
      <formula>"Pass"</formula>
    </cfRule>
  </conditionalFormatting>
  <conditionalFormatting sqref="V32">
    <cfRule type="cellIs" dxfId="849" priority="845" stopIfTrue="1" operator="equal">
      <formula>"Fail"</formula>
    </cfRule>
    <cfRule type="cellIs" dxfId="848" priority="846" stopIfTrue="1" operator="equal">
      <formula>"Pass"</formula>
    </cfRule>
  </conditionalFormatting>
  <conditionalFormatting sqref="V32">
    <cfRule type="cellIs" dxfId="847" priority="843" stopIfTrue="1" operator="equal">
      <formula>"Fail"</formula>
    </cfRule>
    <cfRule type="cellIs" dxfId="846" priority="844" stopIfTrue="1" operator="equal">
      <formula>"Pass"</formula>
    </cfRule>
  </conditionalFormatting>
  <conditionalFormatting sqref="V32">
    <cfRule type="cellIs" dxfId="845" priority="841" stopIfTrue="1" operator="equal">
      <formula>"Fail"</formula>
    </cfRule>
    <cfRule type="cellIs" dxfId="844" priority="842" stopIfTrue="1" operator="equal">
      <formula>"Pass"</formula>
    </cfRule>
  </conditionalFormatting>
  <conditionalFormatting sqref="V32">
    <cfRule type="cellIs" dxfId="843" priority="839" stopIfTrue="1" operator="equal">
      <formula>"Fail"</formula>
    </cfRule>
    <cfRule type="cellIs" dxfId="842" priority="840" stopIfTrue="1" operator="equal">
      <formula>"Pass"</formula>
    </cfRule>
  </conditionalFormatting>
  <conditionalFormatting sqref="V32">
    <cfRule type="cellIs" dxfId="841" priority="837" stopIfTrue="1" operator="equal">
      <formula>"Fail"</formula>
    </cfRule>
    <cfRule type="cellIs" dxfId="840" priority="838" stopIfTrue="1" operator="equal">
      <formula>"Pass"</formula>
    </cfRule>
  </conditionalFormatting>
  <conditionalFormatting sqref="V32">
    <cfRule type="cellIs" dxfId="839" priority="835" stopIfTrue="1" operator="equal">
      <formula>"Fail"</formula>
    </cfRule>
    <cfRule type="cellIs" dxfId="838" priority="836" stopIfTrue="1" operator="equal">
      <formula>"Pass"</formula>
    </cfRule>
  </conditionalFormatting>
  <conditionalFormatting sqref="V33">
    <cfRule type="cellIs" dxfId="837" priority="833" stopIfTrue="1" operator="equal">
      <formula>"Fail"</formula>
    </cfRule>
    <cfRule type="cellIs" dxfId="836" priority="834" stopIfTrue="1" operator="equal">
      <formula>"Pass"</formula>
    </cfRule>
  </conditionalFormatting>
  <conditionalFormatting sqref="V33">
    <cfRule type="cellIs" dxfId="835" priority="831" stopIfTrue="1" operator="equal">
      <formula>"Fail"</formula>
    </cfRule>
    <cfRule type="cellIs" dxfId="834" priority="832" stopIfTrue="1" operator="equal">
      <formula>"Pass"</formula>
    </cfRule>
  </conditionalFormatting>
  <conditionalFormatting sqref="V33">
    <cfRule type="cellIs" dxfId="833" priority="829" stopIfTrue="1" operator="equal">
      <formula>"Fail"</formula>
    </cfRule>
    <cfRule type="cellIs" dxfId="832" priority="830" stopIfTrue="1" operator="equal">
      <formula>"Pass"</formula>
    </cfRule>
  </conditionalFormatting>
  <conditionalFormatting sqref="V33">
    <cfRule type="cellIs" dxfId="831" priority="827" stopIfTrue="1" operator="equal">
      <formula>"Fail"</formula>
    </cfRule>
    <cfRule type="cellIs" dxfId="830" priority="828" stopIfTrue="1" operator="equal">
      <formula>"Pass"</formula>
    </cfRule>
  </conditionalFormatting>
  <conditionalFormatting sqref="V33">
    <cfRule type="cellIs" dxfId="829" priority="825" stopIfTrue="1" operator="equal">
      <formula>"Fail"</formula>
    </cfRule>
    <cfRule type="cellIs" dxfId="828" priority="826" stopIfTrue="1" operator="equal">
      <formula>"Pass"</formula>
    </cfRule>
  </conditionalFormatting>
  <conditionalFormatting sqref="V33">
    <cfRule type="cellIs" dxfId="827" priority="823" stopIfTrue="1" operator="equal">
      <formula>"Fail"</formula>
    </cfRule>
    <cfRule type="cellIs" dxfId="826" priority="824" stopIfTrue="1" operator="equal">
      <formula>"Pass"</formula>
    </cfRule>
  </conditionalFormatting>
  <conditionalFormatting sqref="V34">
    <cfRule type="cellIs" dxfId="825" priority="821" stopIfTrue="1" operator="equal">
      <formula>"Fail"</formula>
    </cfRule>
    <cfRule type="cellIs" dxfId="824" priority="822" stopIfTrue="1" operator="equal">
      <formula>"Pass"</formula>
    </cfRule>
  </conditionalFormatting>
  <conditionalFormatting sqref="V34">
    <cfRule type="cellIs" dxfId="823" priority="819" stopIfTrue="1" operator="equal">
      <formula>"Fail"</formula>
    </cfRule>
    <cfRule type="cellIs" dxfId="822" priority="820" stopIfTrue="1" operator="equal">
      <formula>"Pass"</formula>
    </cfRule>
  </conditionalFormatting>
  <conditionalFormatting sqref="V34">
    <cfRule type="cellIs" dxfId="821" priority="817" stopIfTrue="1" operator="equal">
      <formula>"Fail"</formula>
    </cfRule>
    <cfRule type="cellIs" dxfId="820" priority="818" stopIfTrue="1" operator="equal">
      <formula>"Pass"</formula>
    </cfRule>
  </conditionalFormatting>
  <conditionalFormatting sqref="V34">
    <cfRule type="cellIs" dxfId="819" priority="815" stopIfTrue="1" operator="equal">
      <formula>"Fail"</formula>
    </cfRule>
    <cfRule type="cellIs" dxfId="818" priority="816" stopIfTrue="1" operator="equal">
      <formula>"Pass"</formula>
    </cfRule>
  </conditionalFormatting>
  <conditionalFormatting sqref="V34">
    <cfRule type="cellIs" dxfId="817" priority="813" stopIfTrue="1" operator="equal">
      <formula>"Fail"</formula>
    </cfRule>
    <cfRule type="cellIs" dxfId="816" priority="814" stopIfTrue="1" operator="equal">
      <formula>"Pass"</formula>
    </cfRule>
  </conditionalFormatting>
  <conditionalFormatting sqref="V34">
    <cfRule type="cellIs" dxfId="815" priority="811" stopIfTrue="1" operator="equal">
      <formula>"Fail"</formula>
    </cfRule>
    <cfRule type="cellIs" dxfId="814" priority="812" stopIfTrue="1" operator="equal">
      <formula>"Pass"</formula>
    </cfRule>
  </conditionalFormatting>
  <conditionalFormatting sqref="V35">
    <cfRule type="cellIs" dxfId="813" priority="809" stopIfTrue="1" operator="equal">
      <formula>"Fail"</formula>
    </cfRule>
    <cfRule type="cellIs" dxfId="812" priority="810" stopIfTrue="1" operator="equal">
      <formula>"Pass"</formula>
    </cfRule>
  </conditionalFormatting>
  <conditionalFormatting sqref="V35">
    <cfRule type="cellIs" dxfId="811" priority="807" stopIfTrue="1" operator="equal">
      <formula>"Fail"</formula>
    </cfRule>
    <cfRule type="cellIs" dxfId="810" priority="808" stopIfTrue="1" operator="equal">
      <formula>"Pass"</formula>
    </cfRule>
  </conditionalFormatting>
  <conditionalFormatting sqref="V35">
    <cfRule type="cellIs" dxfId="809" priority="805" stopIfTrue="1" operator="equal">
      <formula>"Fail"</formula>
    </cfRule>
    <cfRule type="cellIs" dxfId="808" priority="806" stopIfTrue="1" operator="equal">
      <formula>"Pass"</formula>
    </cfRule>
  </conditionalFormatting>
  <conditionalFormatting sqref="V35">
    <cfRule type="cellIs" dxfId="807" priority="803" stopIfTrue="1" operator="equal">
      <formula>"Fail"</formula>
    </cfRule>
    <cfRule type="cellIs" dxfId="806" priority="804" stopIfTrue="1" operator="equal">
      <formula>"Pass"</formula>
    </cfRule>
  </conditionalFormatting>
  <conditionalFormatting sqref="V35">
    <cfRule type="cellIs" dxfId="805" priority="801" stopIfTrue="1" operator="equal">
      <formula>"Fail"</formula>
    </cfRule>
    <cfRule type="cellIs" dxfId="804" priority="802" stopIfTrue="1" operator="equal">
      <formula>"Pass"</formula>
    </cfRule>
  </conditionalFormatting>
  <conditionalFormatting sqref="V35">
    <cfRule type="cellIs" dxfId="803" priority="799" stopIfTrue="1" operator="equal">
      <formula>"Fail"</formula>
    </cfRule>
    <cfRule type="cellIs" dxfId="802" priority="800" stopIfTrue="1" operator="equal">
      <formula>"Pass"</formula>
    </cfRule>
  </conditionalFormatting>
  <conditionalFormatting sqref="V36">
    <cfRule type="cellIs" dxfId="801" priority="797" stopIfTrue="1" operator="equal">
      <formula>"Fail"</formula>
    </cfRule>
    <cfRule type="cellIs" dxfId="800" priority="798" stopIfTrue="1" operator="equal">
      <formula>"Pass"</formula>
    </cfRule>
  </conditionalFormatting>
  <conditionalFormatting sqref="V36">
    <cfRule type="cellIs" dxfId="799" priority="795" stopIfTrue="1" operator="equal">
      <formula>"Fail"</formula>
    </cfRule>
    <cfRule type="cellIs" dxfId="798" priority="796" stopIfTrue="1" operator="equal">
      <formula>"Pass"</formula>
    </cfRule>
  </conditionalFormatting>
  <conditionalFormatting sqref="V36">
    <cfRule type="cellIs" dxfId="797" priority="793" stopIfTrue="1" operator="equal">
      <formula>"Fail"</formula>
    </cfRule>
    <cfRule type="cellIs" dxfId="796" priority="794" stopIfTrue="1" operator="equal">
      <formula>"Pass"</formula>
    </cfRule>
  </conditionalFormatting>
  <conditionalFormatting sqref="V36">
    <cfRule type="cellIs" dxfId="795" priority="791" stopIfTrue="1" operator="equal">
      <formula>"Fail"</formula>
    </cfRule>
    <cfRule type="cellIs" dxfId="794" priority="792" stopIfTrue="1" operator="equal">
      <formula>"Pass"</formula>
    </cfRule>
  </conditionalFormatting>
  <conditionalFormatting sqref="V36">
    <cfRule type="cellIs" dxfId="793" priority="789" stopIfTrue="1" operator="equal">
      <formula>"Fail"</formula>
    </cfRule>
    <cfRule type="cellIs" dxfId="792" priority="790" stopIfTrue="1" operator="equal">
      <formula>"Pass"</formula>
    </cfRule>
  </conditionalFormatting>
  <conditionalFormatting sqref="V36">
    <cfRule type="cellIs" dxfId="791" priority="787" stopIfTrue="1" operator="equal">
      <formula>"Fail"</formula>
    </cfRule>
    <cfRule type="cellIs" dxfId="790" priority="788" stopIfTrue="1" operator="equal">
      <formula>"Pass"</formula>
    </cfRule>
  </conditionalFormatting>
  <conditionalFormatting sqref="V36">
    <cfRule type="cellIs" dxfId="789" priority="785" stopIfTrue="1" operator="equal">
      <formula>"Fail"</formula>
    </cfRule>
    <cfRule type="cellIs" dxfId="788" priority="786" stopIfTrue="1" operator="equal">
      <formula>"Pass"</formula>
    </cfRule>
  </conditionalFormatting>
  <conditionalFormatting sqref="V36">
    <cfRule type="cellIs" dxfId="787" priority="783" stopIfTrue="1" operator="equal">
      <formula>"Fail"</formula>
    </cfRule>
    <cfRule type="cellIs" dxfId="786" priority="784" stopIfTrue="1" operator="equal">
      <formula>"Pass"</formula>
    </cfRule>
  </conditionalFormatting>
  <conditionalFormatting sqref="V36">
    <cfRule type="cellIs" dxfId="785" priority="781" stopIfTrue="1" operator="equal">
      <formula>"Fail"</formula>
    </cfRule>
    <cfRule type="cellIs" dxfId="784" priority="782" stopIfTrue="1" operator="equal">
      <formula>"Pass"</formula>
    </cfRule>
  </conditionalFormatting>
  <conditionalFormatting sqref="M3">
    <cfRule type="cellIs" dxfId="783" priority="779" stopIfTrue="1" operator="equal">
      <formula>"Fail"</formula>
    </cfRule>
    <cfRule type="cellIs" dxfId="782" priority="780" stopIfTrue="1" operator="equal">
      <formula>"Pass"</formula>
    </cfRule>
  </conditionalFormatting>
  <conditionalFormatting sqref="M4">
    <cfRule type="cellIs" dxfId="781" priority="777" stopIfTrue="1" operator="equal">
      <formula>"Fail"</formula>
    </cfRule>
    <cfRule type="cellIs" dxfId="780" priority="778" stopIfTrue="1" operator="equal">
      <formula>"Pass"</formula>
    </cfRule>
  </conditionalFormatting>
  <conditionalFormatting sqref="M5">
    <cfRule type="cellIs" dxfId="779" priority="775" stopIfTrue="1" operator="equal">
      <formula>"Fail"</formula>
    </cfRule>
    <cfRule type="cellIs" dxfId="778" priority="776" stopIfTrue="1" operator="equal">
      <formula>"Pass"</formula>
    </cfRule>
  </conditionalFormatting>
  <conditionalFormatting sqref="M6">
    <cfRule type="cellIs" dxfId="777" priority="773" stopIfTrue="1" operator="equal">
      <formula>"Fail"</formula>
    </cfRule>
    <cfRule type="cellIs" dxfId="776" priority="774" stopIfTrue="1" operator="equal">
      <formula>"Pass"</formula>
    </cfRule>
  </conditionalFormatting>
  <conditionalFormatting sqref="M7">
    <cfRule type="cellIs" dxfId="775" priority="771" stopIfTrue="1" operator="equal">
      <formula>"Fail"</formula>
    </cfRule>
    <cfRule type="cellIs" dxfId="774" priority="772" stopIfTrue="1" operator="equal">
      <formula>"Pass"</formula>
    </cfRule>
  </conditionalFormatting>
  <conditionalFormatting sqref="M7">
    <cfRule type="cellIs" dxfId="773" priority="769" stopIfTrue="1" operator="equal">
      <formula>"Fail"</formula>
    </cfRule>
    <cfRule type="cellIs" dxfId="772" priority="770" stopIfTrue="1" operator="equal">
      <formula>"Pass"</formula>
    </cfRule>
  </conditionalFormatting>
  <conditionalFormatting sqref="M8">
    <cfRule type="cellIs" dxfId="771" priority="767" stopIfTrue="1" operator="equal">
      <formula>"Fail"</formula>
    </cfRule>
    <cfRule type="cellIs" dxfId="770" priority="768" stopIfTrue="1" operator="equal">
      <formula>"Pass"</formula>
    </cfRule>
  </conditionalFormatting>
  <conditionalFormatting sqref="M9">
    <cfRule type="cellIs" dxfId="769" priority="765" stopIfTrue="1" operator="equal">
      <formula>"Fail"</formula>
    </cfRule>
    <cfRule type="cellIs" dxfId="768" priority="766" stopIfTrue="1" operator="equal">
      <formula>"Pass"</formula>
    </cfRule>
  </conditionalFormatting>
  <conditionalFormatting sqref="M10">
    <cfRule type="cellIs" dxfId="767" priority="763" stopIfTrue="1" operator="equal">
      <formula>"Fail"</formula>
    </cfRule>
    <cfRule type="cellIs" dxfId="766" priority="764" stopIfTrue="1" operator="equal">
      <formula>"Pass"</formula>
    </cfRule>
  </conditionalFormatting>
  <conditionalFormatting sqref="M11">
    <cfRule type="cellIs" dxfId="765" priority="761" stopIfTrue="1" operator="equal">
      <formula>"Fail"</formula>
    </cfRule>
    <cfRule type="cellIs" dxfId="764" priority="762" stopIfTrue="1" operator="equal">
      <formula>"Pass"</formula>
    </cfRule>
  </conditionalFormatting>
  <conditionalFormatting sqref="M11">
    <cfRule type="cellIs" dxfId="763" priority="759" stopIfTrue="1" operator="equal">
      <formula>"Fail"</formula>
    </cfRule>
    <cfRule type="cellIs" dxfId="762" priority="760" stopIfTrue="1" operator="equal">
      <formula>"Pass"</formula>
    </cfRule>
  </conditionalFormatting>
  <conditionalFormatting sqref="M11">
    <cfRule type="cellIs" dxfId="761" priority="757" stopIfTrue="1" operator="equal">
      <formula>"Fail"</formula>
    </cfRule>
    <cfRule type="cellIs" dxfId="760" priority="758" stopIfTrue="1" operator="equal">
      <formula>"Pass"</formula>
    </cfRule>
  </conditionalFormatting>
  <conditionalFormatting sqref="M12">
    <cfRule type="cellIs" dxfId="759" priority="755" stopIfTrue="1" operator="equal">
      <formula>"Fail"</formula>
    </cfRule>
    <cfRule type="cellIs" dxfId="758" priority="756" stopIfTrue="1" operator="equal">
      <formula>"Pass"</formula>
    </cfRule>
  </conditionalFormatting>
  <conditionalFormatting sqref="M13">
    <cfRule type="cellIs" dxfId="757" priority="753" stopIfTrue="1" operator="equal">
      <formula>"Fail"</formula>
    </cfRule>
    <cfRule type="cellIs" dxfId="756" priority="754" stopIfTrue="1" operator="equal">
      <formula>"Pass"</formula>
    </cfRule>
  </conditionalFormatting>
  <conditionalFormatting sqref="M13">
    <cfRule type="cellIs" dxfId="755" priority="751" stopIfTrue="1" operator="equal">
      <formula>"Fail"</formula>
    </cfRule>
    <cfRule type="cellIs" dxfId="754" priority="752" stopIfTrue="1" operator="equal">
      <formula>"Pass"</formula>
    </cfRule>
  </conditionalFormatting>
  <conditionalFormatting sqref="M13">
    <cfRule type="cellIs" dxfId="753" priority="749" stopIfTrue="1" operator="equal">
      <formula>"Fail"</formula>
    </cfRule>
    <cfRule type="cellIs" dxfId="752" priority="750" stopIfTrue="1" operator="equal">
      <formula>"Pass"</formula>
    </cfRule>
  </conditionalFormatting>
  <conditionalFormatting sqref="M13">
    <cfRule type="cellIs" dxfId="751" priority="747" stopIfTrue="1" operator="equal">
      <formula>"Fail"</formula>
    </cfRule>
    <cfRule type="cellIs" dxfId="750" priority="748" stopIfTrue="1" operator="equal">
      <formula>"Pass"</formula>
    </cfRule>
  </conditionalFormatting>
  <conditionalFormatting sqref="M14">
    <cfRule type="cellIs" dxfId="749" priority="745" stopIfTrue="1" operator="equal">
      <formula>"Fail"</formula>
    </cfRule>
    <cfRule type="cellIs" dxfId="748" priority="746" stopIfTrue="1" operator="equal">
      <formula>"Pass"</formula>
    </cfRule>
  </conditionalFormatting>
  <conditionalFormatting sqref="M14">
    <cfRule type="cellIs" dxfId="747" priority="743" stopIfTrue="1" operator="equal">
      <formula>"Fail"</formula>
    </cfRule>
    <cfRule type="cellIs" dxfId="746" priority="744" stopIfTrue="1" operator="equal">
      <formula>"Pass"</formula>
    </cfRule>
  </conditionalFormatting>
  <conditionalFormatting sqref="M14">
    <cfRule type="cellIs" dxfId="745" priority="741" stopIfTrue="1" operator="equal">
      <formula>"Fail"</formula>
    </cfRule>
    <cfRule type="cellIs" dxfId="744" priority="742" stopIfTrue="1" operator="equal">
      <formula>"Pass"</formula>
    </cfRule>
  </conditionalFormatting>
  <conditionalFormatting sqref="M14">
    <cfRule type="cellIs" dxfId="743" priority="739" stopIfTrue="1" operator="equal">
      <formula>"Fail"</formula>
    </cfRule>
    <cfRule type="cellIs" dxfId="742" priority="740" stopIfTrue="1" operator="equal">
      <formula>"Pass"</formula>
    </cfRule>
  </conditionalFormatting>
  <conditionalFormatting sqref="M15">
    <cfRule type="cellIs" dxfId="741" priority="737" stopIfTrue="1" operator="equal">
      <formula>"Fail"</formula>
    </cfRule>
    <cfRule type="cellIs" dxfId="740" priority="738" stopIfTrue="1" operator="equal">
      <formula>"Pass"</formula>
    </cfRule>
  </conditionalFormatting>
  <conditionalFormatting sqref="M15">
    <cfRule type="cellIs" dxfId="739" priority="735" stopIfTrue="1" operator="equal">
      <formula>"Fail"</formula>
    </cfRule>
    <cfRule type="cellIs" dxfId="738" priority="736" stopIfTrue="1" operator="equal">
      <formula>"Pass"</formula>
    </cfRule>
  </conditionalFormatting>
  <conditionalFormatting sqref="M15">
    <cfRule type="cellIs" dxfId="737" priority="733" stopIfTrue="1" operator="equal">
      <formula>"Fail"</formula>
    </cfRule>
    <cfRule type="cellIs" dxfId="736" priority="734" stopIfTrue="1" operator="equal">
      <formula>"Pass"</formula>
    </cfRule>
  </conditionalFormatting>
  <conditionalFormatting sqref="M15">
    <cfRule type="cellIs" dxfId="735" priority="731" stopIfTrue="1" operator="equal">
      <formula>"Fail"</formula>
    </cfRule>
    <cfRule type="cellIs" dxfId="734" priority="732" stopIfTrue="1" operator="equal">
      <formula>"Pass"</formula>
    </cfRule>
  </conditionalFormatting>
  <conditionalFormatting sqref="M16">
    <cfRule type="cellIs" dxfId="733" priority="729" stopIfTrue="1" operator="equal">
      <formula>"Fail"</formula>
    </cfRule>
    <cfRule type="cellIs" dxfId="732" priority="730" stopIfTrue="1" operator="equal">
      <formula>"Pass"</formula>
    </cfRule>
  </conditionalFormatting>
  <conditionalFormatting sqref="M16">
    <cfRule type="cellIs" dxfId="731" priority="727" stopIfTrue="1" operator="equal">
      <formula>"Fail"</formula>
    </cfRule>
    <cfRule type="cellIs" dxfId="730" priority="728" stopIfTrue="1" operator="equal">
      <formula>"Pass"</formula>
    </cfRule>
  </conditionalFormatting>
  <conditionalFormatting sqref="M16">
    <cfRule type="cellIs" dxfId="729" priority="725" stopIfTrue="1" operator="equal">
      <formula>"Fail"</formula>
    </cfRule>
    <cfRule type="cellIs" dxfId="728" priority="726" stopIfTrue="1" operator="equal">
      <formula>"Pass"</formula>
    </cfRule>
  </conditionalFormatting>
  <conditionalFormatting sqref="M16">
    <cfRule type="cellIs" dxfId="727" priority="723" stopIfTrue="1" operator="equal">
      <formula>"Fail"</formula>
    </cfRule>
    <cfRule type="cellIs" dxfId="726" priority="724" stopIfTrue="1" operator="equal">
      <formula>"Pass"</formula>
    </cfRule>
  </conditionalFormatting>
  <conditionalFormatting sqref="M17">
    <cfRule type="cellIs" dxfId="725" priority="721" stopIfTrue="1" operator="equal">
      <formula>"Fail"</formula>
    </cfRule>
    <cfRule type="cellIs" dxfId="724" priority="722" stopIfTrue="1" operator="equal">
      <formula>"Pass"</formula>
    </cfRule>
  </conditionalFormatting>
  <conditionalFormatting sqref="M17">
    <cfRule type="cellIs" dxfId="723" priority="719" stopIfTrue="1" operator="equal">
      <formula>"Fail"</formula>
    </cfRule>
    <cfRule type="cellIs" dxfId="722" priority="720" stopIfTrue="1" operator="equal">
      <formula>"Pass"</formula>
    </cfRule>
  </conditionalFormatting>
  <conditionalFormatting sqref="M17">
    <cfRule type="cellIs" dxfId="721" priority="717" stopIfTrue="1" operator="equal">
      <formula>"Fail"</formula>
    </cfRule>
    <cfRule type="cellIs" dxfId="720" priority="718" stopIfTrue="1" operator="equal">
      <formula>"Pass"</formula>
    </cfRule>
  </conditionalFormatting>
  <conditionalFormatting sqref="M17">
    <cfRule type="cellIs" dxfId="719" priority="715" stopIfTrue="1" operator="equal">
      <formula>"Fail"</formula>
    </cfRule>
    <cfRule type="cellIs" dxfId="718" priority="716" stopIfTrue="1" operator="equal">
      <formula>"Pass"</formula>
    </cfRule>
  </conditionalFormatting>
  <conditionalFormatting sqref="M18">
    <cfRule type="cellIs" dxfId="717" priority="713" stopIfTrue="1" operator="equal">
      <formula>"Fail"</formula>
    </cfRule>
    <cfRule type="cellIs" dxfId="716" priority="714" stopIfTrue="1" operator="equal">
      <formula>"Pass"</formula>
    </cfRule>
  </conditionalFormatting>
  <conditionalFormatting sqref="M18">
    <cfRule type="cellIs" dxfId="715" priority="711" stopIfTrue="1" operator="equal">
      <formula>"Fail"</formula>
    </cfRule>
    <cfRule type="cellIs" dxfId="714" priority="712" stopIfTrue="1" operator="equal">
      <formula>"Pass"</formula>
    </cfRule>
  </conditionalFormatting>
  <conditionalFormatting sqref="M18">
    <cfRule type="cellIs" dxfId="713" priority="709" stopIfTrue="1" operator="equal">
      <formula>"Fail"</formula>
    </cfRule>
    <cfRule type="cellIs" dxfId="712" priority="710" stopIfTrue="1" operator="equal">
      <formula>"Pass"</formula>
    </cfRule>
  </conditionalFormatting>
  <conditionalFormatting sqref="M19">
    <cfRule type="cellIs" dxfId="711" priority="707" stopIfTrue="1" operator="equal">
      <formula>"Fail"</formula>
    </cfRule>
    <cfRule type="cellIs" dxfId="710" priority="708" stopIfTrue="1" operator="equal">
      <formula>"Pass"</formula>
    </cfRule>
  </conditionalFormatting>
  <conditionalFormatting sqref="M19">
    <cfRule type="cellIs" dxfId="709" priority="705" stopIfTrue="1" operator="equal">
      <formula>"Fail"</formula>
    </cfRule>
    <cfRule type="cellIs" dxfId="708" priority="706" stopIfTrue="1" operator="equal">
      <formula>"Pass"</formula>
    </cfRule>
  </conditionalFormatting>
  <conditionalFormatting sqref="M19">
    <cfRule type="cellIs" dxfId="707" priority="703" stopIfTrue="1" operator="equal">
      <formula>"Fail"</formula>
    </cfRule>
    <cfRule type="cellIs" dxfId="706" priority="704" stopIfTrue="1" operator="equal">
      <formula>"Pass"</formula>
    </cfRule>
  </conditionalFormatting>
  <conditionalFormatting sqref="M20">
    <cfRule type="cellIs" dxfId="705" priority="701" stopIfTrue="1" operator="equal">
      <formula>"Fail"</formula>
    </cfRule>
    <cfRule type="cellIs" dxfId="704" priority="702" stopIfTrue="1" operator="equal">
      <formula>"Pass"</formula>
    </cfRule>
  </conditionalFormatting>
  <conditionalFormatting sqref="M20">
    <cfRule type="cellIs" dxfId="703" priority="699" stopIfTrue="1" operator="equal">
      <formula>"Fail"</formula>
    </cfRule>
    <cfRule type="cellIs" dxfId="702" priority="700" stopIfTrue="1" operator="equal">
      <formula>"Pass"</formula>
    </cfRule>
  </conditionalFormatting>
  <conditionalFormatting sqref="M20">
    <cfRule type="cellIs" dxfId="701" priority="697" stopIfTrue="1" operator="equal">
      <formula>"Fail"</formula>
    </cfRule>
    <cfRule type="cellIs" dxfId="700" priority="698" stopIfTrue="1" operator="equal">
      <formula>"Pass"</formula>
    </cfRule>
  </conditionalFormatting>
  <conditionalFormatting sqref="M21">
    <cfRule type="cellIs" dxfId="699" priority="695" stopIfTrue="1" operator="equal">
      <formula>"Fail"</formula>
    </cfRule>
    <cfRule type="cellIs" dxfId="698" priority="696" stopIfTrue="1" operator="equal">
      <formula>"Pass"</formula>
    </cfRule>
  </conditionalFormatting>
  <conditionalFormatting sqref="M21">
    <cfRule type="cellIs" dxfId="697" priority="693" stopIfTrue="1" operator="equal">
      <formula>"Fail"</formula>
    </cfRule>
    <cfRule type="cellIs" dxfId="696" priority="694" stopIfTrue="1" operator="equal">
      <formula>"Pass"</formula>
    </cfRule>
  </conditionalFormatting>
  <conditionalFormatting sqref="M21">
    <cfRule type="cellIs" dxfId="695" priority="691" stopIfTrue="1" operator="equal">
      <formula>"Fail"</formula>
    </cfRule>
    <cfRule type="cellIs" dxfId="694" priority="692" stopIfTrue="1" operator="equal">
      <formula>"Pass"</formula>
    </cfRule>
  </conditionalFormatting>
  <conditionalFormatting sqref="M21">
    <cfRule type="cellIs" dxfId="693" priority="689" stopIfTrue="1" operator="equal">
      <formula>"Fail"</formula>
    </cfRule>
    <cfRule type="cellIs" dxfId="692" priority="690" stopIfTrue="1" operator="equal">
      <formula>"Pass"</formula>
    </cfRule>
  </conditionalFormatting>
  <conditionalFormatting sqref="M21">
    <cfRule type="cellIs" dxfId="691" priority="687" stopIfTrue="1" operator="equal">
      <formula>"Fail"</formula>
    </cfRule>
    <cfRule type="cellIs" dxfId="690" priority="688" stopIfTrue="1" operator="equal">
      <formula>"Pass"</formula>
    </cfRule>
  </conditionalFormatting>
  <conditionalFormatting sqref="M21">
    <cfRule type="cellIs" dxfId="689" priority="685" stopIfTrue="1" operator="equal">
      <formula>"Fail"</formula>
    </cfRule>
    <cfRule type="cellIs" dxfId="688" priority="686" stopIfTrue="1" operator="equal">
      <formula>"Pass"</formula>
    </cfRule>
  </conditionalFormatting>
  <conditionalFormatting sqref="M22">
    <cfRule type="cellIs" dxfId="687" priority="683" stopIfTrue="1" operator="equal">
      <formula>"Fail"</formula>
    </cfRule>
    <cfRule type="cellIs" dxfId="686" priority="684" stopIfTrue="1" operator="equal">
      <formula>"Pass"</formula>
    </cfRule>
  </conditionalFormatting>
  <conditionalFormatting sqref="M22">
    <cfRule type="cellIs" dxfId="685" priority="681" stopIfTrue="1" operator="equal">
      <formula>"Fail"</formula>
    </cfRule>
    <cfRule type="cellIs" dxfId="684" priority="682" stopIfTrue="1" operator="equal">
      <formula>"Pass"</formula>
    </cfRule>
  </conditionalFormatting>
  <conditionalFormatting sqref="M22">
    <cfRule type="cellIs" dxfId="683" priority="679" stopIfTrue="1" operator="equal">
      <formula>"Fail"</formula>
    </cfRule>
    <cfRule type="cellIs" dxfId="682" priority="680" stopIfTrue="1" operator="equal">
      <formula>"Pass"</formula>
    </cfRule>
  </conditionalFormatting>
  <conditionalFormatting sqref="M22">
    <cfRule type="cellIs" dxfId="681" priority="677" stopIfTrue="1" operator="equal">
      <formula>"Fail"</formula>
    </cfRule>
    <cfRule type="cellIs" dxfId="680" priority="678" stopIfTrue="1" operator="equal">
      <formula>"Pass"</formula>
    </cfRule>
  </conditionalFormatting>
  <conditionalFormatting sqref="M22">
    <cfRule type="cellIs" dxfId="679" priority="675" stopIfTrue="1" operator="equal">
      <formula>"Fail"</formula>
    </cfRule>
    <cfRule type="cellIs" dxfId="678" priority="676" stopIfTrue="1" operator="equal">
      <formula>"Pass"</formula>
    </cfRule>
  </conditionalFormatting>
  <conditionalFormatting sqref="M22">
    <cfRule type="cellIs" dxfId="677" priority="673" stopIfTrue="1" operator="equal">
      <formula>"Fail"</formula>
    </cfRule>
    <cfRule type="cellIs" dxfId="676" priority="674" stopIfTrue="1" operator="equal">
      <formula>"Pass"</formula>
    </cfRule>
  </conditionalFormatting>
  <conditionalFormatting sqref="M23">
    <cfRule type="cellIs" dxfId="675" priority="671" stopIfTrue="1" operator="equal">
      <formula>"Fail"</formula>
    </cfRule>
    <cfRule type="cellIs" dxfId="674" priority="672" stopIfTrue="1" operator="equal">
      <formula>"Pass"</formula>
    </cfRule>
  </conditionalFormatting>
  <conditionalFormatting sqref="M23">
    <cfRule type="cellIs" dxfId="673" priority="669" stopIfTrue="1" operator="equal">
      <formula>"Fail"</formula>
    </cfRule>
    <cfRule type="cellIs" dxfId="672" priority="670" stopIfTrue="1" operator="equal">
      <formula>"Pass"</formula>
    </cfRule>
  </conditionalFormatting>
  <conditionalFormatting sqref="M23">
    <cfRule type="cellIs" dxfId="671" priority="667" stopIfTrue="1" operator="equal">
      <formula>"Fail"</formula>
    </cfRule>
    <cfRule type="cellIs" dxfId="670" priority="668" stopIfTrue="1" operator="equal">
      <formula>"Pass"</formula>
    </cfRule>
  </conditionalFormatting>
  <conditionalFormatting sqref="M24">
    <cfRule type="cellIs" dxfId="669" priority="665" stopIfTrue="1" operator="equal">
      <formula>"Fail"</formula>
    </cfRule>
    <cfRule type="cellIs" dxfId="668" priority="666" stopIfTrue="1" operator="equal">
      <formula>"Pass"</formula>
    </cfRule>
  </conditionalFormatting>
  <conditionalFormatting sqref="M24">
    <cfRule type="cellIs" dxfId="667" priority="663" stopIfTrue="1" operator="equal">
      <formula>"Fail"</formula>
    </cfRule>
    <cfRule type="cellIs" dxfId="666" priority="664" stopIfTrue="1" operator="equal">
      <formula>"Pass"</formula>
    </cfRule>
  </conditionalFormatting>
  <conditionalFormatting sqref="M24">
    <cfRule type="cellIs" dxfId="665" priority="661" stopIfTrue="1" operator="equal">
      <formula>"Fail"</formula>
    </cfRule>
    <cfRule type="cellIs" dxfId="664" priority="662" stopIfTrue="1" operator="equal">
      <formula>"Pass"</formula>
    </cfRule>
  </conditionalFormatting>
  <conditionalFormatting sqref="M25">
    <cfRule type="cellIs" dxfId="663" priority="659" stopIfTrue="1" operator="equal">
      <formula>"Fail"</formula>
    </cfRule>
    <cfRule type="cellIs" dxfId="662" priority="660" stopIfTrue="1" operator="equal">
      <formula>"Pass"</formula>
    </cfRule>
  </conditionalFormatting>
  <conditionalFormatting sqref="M25">
    <cfRule type="cellIs" dxfId="661" priority="657" stopIfTrue="1" operator="equal">
      <formula>"Fail"</formula>
    </cfRule>
    <cfRule type="cellIs" dxfId="660" priority="658" stopIfTrue="1" operator="equal">
      <formula>"Pass"</formula>
    </cfRule>
  </conditionalFormatting>
  <conditionalFormatting sqref="M25">
    <cfRule type="cellIs" dxfId="659" priority="655" stopIfTrue="1" operator="equal">
      <formula>"Fail"</formula>
    </cfRule>
    <cfRule type="cellIs" dxfId="658" priority="656" stopIfTrue="1" operator="equal">
      <formula>"Pass"</formula>
    </cfRule>
  </conditionalFormatting>
  <conditionalFormatting sqref="M26">
    <cfRule type="cellIs" dxfId="657" priority="653" stopIfTrue="1" operator="equal">
      <formula>"Fail"</formula>
    </cfRule>
    <cfRule type="cellIs" dxfId="656" priority="654" stopIfTrue="1" operator="equal">
      <formula>"Pass"</formula>
    </cfRule>
  </conditionalFormatting>
  <conditionalFormatting sqref="M26">
    <cfRule type="cellIs" dxfId="655" priority="651" stopIfTrue="1" operator="equal">
      <formula>"Fail"</formula>
    </cfRule>
    <cfRule type="cellIs" dxfId="654" priority="652" stopIfTrue="1" operator="equal">
      <formula>"Pass"</formula>
    </cfRule>
  </conditionalFormatting>
  <conditionalFormatting sqref="M26">
    <cfRule type="cellIs" dxfId="653" priority="649" stopIfTrue="1" operator="equal">
      <formula>"Fail"</formula>
    </cfRule>
    <cfRule type="cellIs" dxfId="652" priority="650" stopIfTrue="1" operator="equal">
      <formula>"Pass"</formula>
    </cfRule>
  </conditionalFormatting>
  <conditionalFormatting sqref="M27">
    <cfRule type="cellIs" dxfId="651" priority="647" stopIfTrue="1" operator="equal">
      <formula>"Fail"</formula>
    </cfRule>
    <cfRule type="cellIs" dxfId="650" priority="648" stopIfTrue="1" operator="equal">
      <formula>"Pass"</formula>
    </cfRule>
  </conditionalFormatting>
  <conditionalFormatting sqref="M27">
    <cfRule type="cellIs" dxfId="649" priority="645" stopIfTrue="1" operator="equal">
      <formula>"Fail"</formula>
    </cfRule>
    <cfRule type="cellIs" dxfId="648" priority="646" stopIfTrue="1" operator="equal">
      <formula>"Pass"</formula>
    </cfRule>
  </conditionalFormatting>
  <conditionalFormatting sqref="M27">
    <cfRule type="cellIs" dxfId="647" priority="643" stopIfTrue="1" operator="equal">
      <formula>"Fail"</formula>
    </cfRule>
    <cfRule type="cellIs" dxfId="646" priority="644" stopIfTrue="1" operator="equal">
      <formula>"Pass"</formula>
    </cfRule>
  </conditionalFormatting>
  <conditionalFormatting sqref="M28">
    <cfRule type="cellIs" dxfId="645" priority="641" stopIfTrue="1" operator="equal">
      <formula>"Fail"</formula>
    </cfRule>
    <cfRule type="cellIs" dxfId="644" priority="642" stopIfTrue="1" operator="equal">
      <formula>"Pass"</formula>
    </cfRule>
  </conditionalFormatting>
  <conditionalFormatting sqref="M28">
    <cfRule type="cellIs" dxfId="643" priority="639" stopIfTrue="1" operator="equal">
      <formula>"Fail"</formula>
    </cfRule>
    <cfRule type="cellIs" dxfId="642" priority="640" stopIfTrue="1" operator="equal">
      <formula>"Pass"</formula>
    </cfRule>
  </conditionalFormatting>
  <conditionalFormatting sqref="M28">
    <cfRule type="cellIs" dxfId="641" priority="637" stopIfTrue="1" operator="equal">
      <formula>"Fail"</formula>
    </cfRule>
    <cfRule type="cellIs" dxfId="640" priority="638" stopIfTrue="1" operator="equal">
      <formula>"Pass"</formula>
    </cfRule>
  </conditionalFormatting>
  <conditionalFormatting sqref="M29">
    <cfRule type="cellIs" dxfId="639" priority="635" stopIfTrue="1" operator="equal">
      <formula>"Fail"</formula>
    </cfRule>
    <cfRule type="cellIs" dxfId="638" priority="636" stopIfTrue="1" operator="equal">
      <formula>"Pass"</formula>
    </cfRule>
  </conditionalFormatting>
  <conditionalFormatting sqref="M29">
    <cfRule type="cellIs" dxfId="637" priority="633" stopIfTrue="1" operator="equal">
      <formula>"Fail"</formula>
    </cfRule>
    <cfRule type="cellIs" dxfId="636" priority="634" stopIfTrue="1" operator="equal">
      <formula>"Pass"</formula>
    </cfRule>
  </conditionalFormatting>
  <conditionalFormatting sqref="M29">
    <cfRule type="cellIs" dxfId="635" priority="631" stopIfTrue="1" operator="equal">
      <formula>"Fail"</formula>
    </cfRule>
    <cfRule type="cellIs" dxfId="634" priority="632" stopIfTrue="1" operator="equal">
      <formula>"Pass"</formula>
    </cfRule>
  </conditionalFormatting>
  <conditionalFormatting sqref="M30">
    <cfRule type="cellIs" dxfId="633" priority="629" stopIfTrue="1" operator="equal">
      <formula>"Fail"</formula>
    </cfRule>
    <cfRule type="cellIs" dxfId="632" priority="630" stopIfTrue="1" operator="equal">
      <formula>"Pass"</formula>
    </cfRule>
  </conditionalFormatting>
  <conditionalFormatting sqref="M30">
    <cfRule type="cellIs" dxfId="631" priority="627" stopIfTrue="1" operator="equal">
      <formula>"Fail"</formula>
    </cfRule>
    <cfRule type="cellIs" dxfId="630" priority="628" stopIfTrue="1" operator="equal">
      <formula>"Pass"</formula>
    </cfRule>
  </conditionalFormatting>
  <conditionalFormatting sqref="M30">
    <cfRule type="cellIs" dxfId="629" priority="625" stopIfTrue="1" operator="equal">
      <formula>"Fail"</formula>
    </cfRule>
    <cfRule type="cellIs" dxfId="628" priority="626" stopIfTrue="1" operator="equal">
      <formula>"Pass"</formula>
    </cfRule>
  </conditionalFormatting>
  <conditionalFormatting sqref="M31">
    <cfRule type="cellIs" dxfId="627" priority="623" stopIfTrue="1" operator="equal">
      <formula>"Fail"</formula>
    </cfRule>
    <cfRule type="cellIs" dxfId="626" priority="624" stopIfTrue="1" operator="equal">
      <formula>"Pass"</formula>
    </cfRule>
  </conditionalFormatting>
  <conditionalFormatting sqref="M31">
    <cfRule type="cellIs" dxfId="625" priority="621" stopIfTrue="1" operator="equal">
      <formula>"Fail"</formula>
    </cfRule>
    <cfRule type="cellIs" dxfId="624" priority="622" stopIfTrue="1" operator="equal">
      <formula>"Pass"</formula>
    </cfRule>
  </conditionalFormatting>
  <conditionalFormatting sqref="M31">
    <cfRule type="cellIs" dxfId="623" priority="619" stopIfTrue="1" operator="equal">
      <formula>"Fail"</formula>
    </cfRule>
    <cfRule type="cellIs" dxfId="622" priority="620" stopIfTrue="1" operator="equal">
      <formula>"Pass"</formula>
    </cfRule>
  </conditionalFormatting>
  <conditionalFormatting sqref="M32">
    <cfRule type="cellIs" dxfId="621" priority="617" stopIfTrue="1" operator="equal">
      <formula>"Fail"</formula>
    </cfRule>
    <cfRule type="cellIs" dxfId="620" priority="618" stopIfTrue="1" operator="equal">
      <formula>"Pass"</formula>
    </cfRule>
  </conditionalFormatting>
  <conditionalFormatting sqref="M32">
    <cfRule type="cellIs" dxfId="619" priority="615" stopIfTrue="1" operator="equal">
      <formula>"Fail"</formula>
    </cfRule>
    <cfRule type="cellIs" dxfId="618" priority="616" stopIfTrue="1" operator="equal">
      <formula>"Pass"</formula>
    </cfRule>
  </conditionalFormatting>
  <conditionalFormatting sqref="M32">
    <cfRule type="cellIs" dxfId="617" priority="613" stopIfTrue="1" operator="equal">
      <formula>"Fail"</formula>
    </cfRule>
    <cfRule type="cellIs" dxfId="616" priority="614" stopIfTrue="1" operator="equal">
      <formula>"Pass"</formula>
    </cfRule>
  </conditionalFormatting>
  <conditionalFormatting sqref="M33">
    <cfRule type="cellIs" dxfId="615" priority="611" stopIfTrue="1" operator="equal">
      <formula>"Fail"</formula>
    </cfRule>
    <cfRule type="cellIs" dxfId="614" priority="612" stopIfTrue="1" operator="equal">
      <formula>"Pass"</formula>
    </cfRule>
  </conditionalFormatting>
  <conditionalFormatting sqref="M33">
    <cfRule type="cellIs" dxfId="613" priority="609" stopIfTrue="1" operator="equal">
      <formula>"Fail"</formula>
    </cfRule>
    <cfRule type="cellIs" dxfId="612" priority="610" stopIfTrue="1" operator="equal">
      <formula>"Pass"</formula>
    </cfRule>
  </conditionalFormatting>
  <conditionalFormatting sqref="M33">
    <cfRule type="cellIs" dxfId="611" priority="607" stopIfTrue="1" operator="equal">
      <formula>"Fail"</formula>
    </cfRule>
    <cfRule type="cellIs" dxfId="610" priority="608" stopIfTrue="1" operator="equal">
      <formula>"Pass"</formula>
    </cfRule>
  </conditionalFormatting>
  <conditionalFormatting sqref="M33">
    <cfRule type="cellIs" dxfId="609" priority="605" stopIfTrue="1" operator="equal">
      <formula>"Fail"</formula>
    </cfRule>
    <cfRule type="cellIs" dxfId="608" priority="606" stopIfTrue="1" operator="equal">
      <formula>"Pass"</formula>
    </cfRule>
  </conditionalFormatting>
  <conditionalFormatting sqref="M33">
    <cfRule type="cellIs" dxfId="607" priority="603" stopIfTrue="1" operator="equal">
      <formula>"Fail"</formula>
    </cfRule>
    <cfRule type="cellIs" dxfId="606" priority="604" stopIfTrue="1" operator="equal">
      <formula>"Pass"</formula>
    </cfRule>
  </conditionalFormatting>
  <conditionalFormatting sqref="M33">
    <cfRule type="cellIs" dxfId="605" priority="601" stopIfTrue="1" operator="equal">
      <formula>"Fail"</formula>
    </cfRule>
    <cfRule type="cellIs" dxfId="604" priority="602" stopIfTrue="1" operator="equal">
      <formula>"Pass"</formula>
    </cfRule>
  </conditionalFormatting>
  <conditionalFormatting sqref="M34">
    <cfRule type="cellIs" dxfId="603" priority="599" stopIfTrue="1" operator="equal">
      <formula>"Fail"</formula>
    </cfRule>
    <cfRule type="cellIs" dxfId="602" priority="600" stopIfTrue="1" operator="equal">
      <formula>"Pass"</formula>
    </cfRule>
  </conditionalFormatting>
  <conditionalFormatting sqref="M34">
    <cfRule type="cellIs" dxfId="601" priority="597" stopIfTrue="1" operator="equal">
      <formula>"Fail"</formula>
    </cfRule>
    <cfRule type="cellIs" dxfId="600" priority="598" stopIfTrue="1" operator="equal">
      <formula>"Pass"</formula>
    </cfRule>
  </conditionalFormatting>
  <conditionalFormatting sqref="M34">
    <cfRule type="cellIs" dxfId="599" priority="595" stopIfTrue="1" operator="equal">
      <formula>"Fail"</formula>
    </cfRule>
    <cfRule type="cellIs" dxfId="598" priority="596" stopIfTrue="1" operator="equal">
      <formula>"Pass"</formula>
    </cfRule>
  </conditionalFormatting>
  <conditionalFormatting sqref="M34">
    <cfRule type="cellIs" dxfId="597" priority="593" stopIfTrue="1" operator="equal">
      <formula>"Fail"</formula>
    </cfRule>
    <cfRule type="cellIs" dxfId="596" priority="594" stopIfTrue="1" operator="equal">
      <formula>"Pass"</formula>
    </cfRule>
  </conditionalFormatting>
  <conditionalFormatting sqref="M34">
    <cfRule type="cellIs" dxfId="595" priority="591" stopIfTrue="1" operator="equal">
      <formula>"Fail"</formula>
    </cfRule>
    <cfRule type="cellIs" dxfId="594" priority="592" stopIfTrue="1" operator="equal">
      <formula>"Pass"</formula>
    </cfRule>
  </conditionalFormatting>
  <conditionalFormatting sqref="M34">
    <cfRule type="cellIs" dxfId="593" priority="589" stopIfTrue="1" operator="equal">
      <formula>"Fail"</formula>
    </cfRule>
    <cfRule type="cellIs" dxfId="592" priority="590" stopIfTrue="1" operator="equal">
      <formula>"Pass"</formula>
    </cfRule>
  </conditionalFormatting>
  <conditionalFormatting sqref="M35">
    <cfRule type="cellIs" dxfId="591" priority="587" stopIfTrue="1" operator="equal">
      <formula>"Fail"</formula>
    </cfRule>
    <cfRule type="cellIs" dxfId="590" priority="588" stopIfTrue="1" operator="equal">
      <formula>"Pass"</formula>
    </cfRule>
  </conditionalFormatting>
  <conditionalFormatting sqref="M35">
    <cfRule type="cellIs" dxfId="589" priority="585" stopIfTrue="1" operator="equal">
      <formula>"Fail"</formula>
    </cfRule>
    <cfRule type="cellIs" dxfId="588" priority="586" stopIfTrue="1" operator="equal">
      <formula>"Pass"</formula>
    </cfRule>
  </conditionalFormatting>
  <conditionalFormatting sqref="M35">
    <cfRule type="cellIs" dxfId="587" priority="583" stopIfTrue="1" operator="equal">
      <formula>"Fail"</formula>
    </cfRule>
    <cfRule type="cellIs" dxfId="586" priority="584" stopIfTrue="1" operator="equal">
      <formula>"Pass"</formula>
    </cfRule>
  </conditionalFormatting>
  <conditionalFormatting sqref="M35">
    <cfRule type="cellIs" dxfId="585" priority="581" stopIfTrue="1" operator="equal">
      <formula>"Fail"</formula>
    </cfRule>
    <cfRule type="cellIs" dxfId="584" priority="582" stopIfTrue="1" operator="equal">
      <formula>"Pass"</formula>
    </cfRule>
  </conditionalFormatting>
  <conditionalFormatting sqref="M35">
    <cfRule type="cellIs" dxfId="583" priority="579" stopIfTrue="1" operator="equal">
      <formula>"Fail"</formula>
    </cfRule>
    <cfRule type="cellIs" dxfId="582" priority="580" stopIfTrue="1" operator="equal">
      <formula>"Pass"</formula>
    </cfRule>
  </conditionalFormatting>
  <conditionalFormatting sqref="M35">
    <cfRule type="cellIs" dxfId="581" priority="577" stopIfTrue="1" operator="equal">
      <formula>"Fail"</formula>
    </cfRule>
    <cfRule type="cellIs" dxfId="580" priority="578" stopIfTrue="1" operator="equal">
      <formula>"Pass"</formula>
    </cfRule>
  </conditionalFormatting>
  <conditionalFormatting sqref="M36">
    <cfRule type="cellIs" dxfId="579" priority="575" stopIfTrue="1" operator="equal">
      <formula>"Fail"</formula>
    </cfRule>
    <cfRule type="cellIs" dxfId="578" priority="576" stopIfTrue="1" operator="equal">
      <formula>"Pass"</formula>
    </cfRule>
  </conditionalFormatting>
  <conditionalFormatting sqref="M36">
    <cfRule type="cellIs" dxfId="577" priority="573" stopIfTrue="1" operator="equal">
      <formula>"Fail"</formula>
    </cfRule>
    <cfRule type="cellIs" dxfId="576" priority="574" stopIfTrue="1" operator="equal">
      <formula>"Pass"</formula>
    </cfRule>
  </conditionalFormatting>
  <conditionalFormatting sqref="M36">
    <cfRule type="cellIs" dxfId="575" priority="571" stopIfTrue="1" operator="equal">
      <formula>"Fail"</formula>
    </cfRule>
    <cfRule type="cellIs" dxfId="574" priority="572" stopIfTrue="1" operator="equal">
      <formula>"Pass"</formula>
    </cfRule>
  </conditionalFormatting>
  <conditionalFormatting sqref="M36">
    <cfRule type="cellIs" dxfId="573" priority="569" stopIfTrue="1" operator="equal">
      <formula>"Fail"</formula>
    </cfRule>
    <cfRule type="cellIs" dxfId="572" priority="570" stopIfTrue="1" operator="equal">
      <formula>"Pass"</formula>
    </cfRule>
  </conditionalFormatting>
  <conditionalFormatting sqref="M36">
    <cfRule type="cellIs" dxfId="571" priority="567" stopIfTrue="1" operator="equal">
      <formula>"Fail"</formula>
    </cfRule>
    <cfRule type="cellIs" dxfId="570" priority="568" stopIfTrue="1" operator="equal">
      <formula>"Pass"</formula>
    </cfRule>
  </conditionalFormatting>
  <conditionalFormatting sqref="M36">
    <cfRule type="cellIs" dxfId="569" priority="565" stopIfTrue="1" operator="equal">
      <formula>"Fail"</formula>
    </cfRule>
    <cfRule type="cellIs" dxfId="568" priority="566" stopIfTrue="1" operator="equal">
      <formula>"Pass"</formula>
    </cfRule>
  </conditionalFormatting>
  <conditionalFormatting sqref="M24">
    <cfRule type="cellIs" dxfId="567" priority="563" stopIfTrue="1" operator="equal">
      <formula>"Fail"</formula>
    </cfRule>
    <cfRule type="cellIs" dxfId="566" priority="564" stopIfTrue="1" operator="equal">
      <formula>"Pass"</formula>
    </cfRule>
  </conditionalFormatting>
  <conditionalFormatting sqref="M24">
    <cfRule type="cellIs" dxfId="565" priority="561" stopIfTrue="1" operator="equal">
      <formula>"Fail"</formula>
    </cfRule>
    <cfRule type="cellIs" dxfId="564" priority="562" stopIfTrue="1" operator="equal">
      <formula>"Pass"</formula>
    </cfRule>
  </conditionalFormatting>
  <conditionalFormatting sqref="M24">
    <cfRule type="cellIs" dxfId="563" priority="559" stopIfTrue="1" operator="equal">
      <formula>"Fail"</formula>
    </cfRule>
    <cfRule type="cellIs" dxfId="562" priority="560" stopIfTrue="1" operator="equal">
      <formula>"Pass"</formula>
    </cfRule>
  </conditionalFormatting>
  <conditionalFormatting sqref="M25">
    <cfRule type="cellIs" dxfId="561" priority="557" stopIfTrue="1" operator="equal">
      <formula>"Fail"</formula>
    </cfRule>
    <cfRule type="cellIs" dxfId="560" priority="558" stopIfTrue="1" operator="equal">
      <formula>"Pass"</formula>
    </cfRule>
  </conditionalFormatting>
  <conditionalFormatting sqref="M25">
    <cfRule type="cellIs" dxfId="559" priority="555" stopIfTrue="1" operator="equal">
      <formula>"Fail"</formula>
    </cfRule>
    <cfRule type="cellIs" dxfId="558" priority="556" stopIfTrue="1" operator="equal">
      <formula>"Pass"</formula>
    </cfRule>
  </conditionalFormatting>
  <conditionalFormatting sqref="M25">
    <cfRule type="cellIs" dxfId="557" priority="553" stopIfTrue="1" operator="equal">
      <formula>"Fail"</formula>
    </cfRule>
    <cfRule type="cellIs" dxfId="556" priority="554" stopIfTrue="1" operator="equal">
      <formula>"Pass"</formula>
    </cfRule>
  </conditionalFormatting>
  <conditionalFormatting sqref="M26">
    <cfRule type="cellIs" dxfId="555" priority="551" stopIfTrue="1" operator="equal">
      <formula>"Fail"</formula>
    </cfRule>
    <cfRule type="cellIs" dxfId="554" priority="552" stopIfTrue="1" operator="equal">
      <formula>"Pass"</formula>
    </cfRule>
  </conditionalFormatting>
  <conditionalFormatting sqref="M26">
    <cfRule type="cellIs" dxfId="553" priority="549" stopIfTrue="1" operator="equal">
      <formula>"Fail"</formula>
    </cfRule>
    <cfRule type="cellIs" dxfId="552" priority="550" stopIfTrue="1" operator="equal">
      <formula>"Pass"</formula>
    </cfRule>
  </conditionalFormatting>
  <conditionalFormatting sqref="M26">
    <cfRule type="cellIs" dxfId="551" priority="547" stopIfTrue="1" operator="equal">
      <formula>"Fail"</formula>
    </cfRule>
    <cfRule type="cellIs" dxfId="550" priority="548" stopIfTrue="1" operator="equal">
      <formula>"Pass"</formula>
    </cfRule>
  </conditionalFormatting>
  <conditionalFormatting sqref="M27">
    <cfRule type="cellIs" dxfId="549" priority="545" stopIfTrue="1" operator="equal">
      <formula>"Fail"</formula>
    </cfRule>
    <cfRule type="cellIs" dxfId="548" priority="546" stopIfTrue="1" operator="equal">
      <formula>"Pass"</formula>
    </cfRule>
  </conditionalFormatting>
  <conditionalFormatting sqref="M27">
    <cfRule type="cellIs" dxfId="547" priority="543" stopIfTrue="1" operator="equal">
      <formula>"Fail"</formula>
    </cfRule>
    <cfRule type="cellIs" dxfId="546" priority="544" stopIfTrue="1" operator="equal">
      <formula>"Pass"</formula>
    </cfRule>
  </conditionalFormatting>
  <conditionalFormatting sqref="M27">
    <cfRule type="cellIs" dxfId="545" priority="541" stopIfTrue="1" operator="equal">
      <formula>"Fail"</formula>
    </cfRule>
    <cfRule type="cellIs" dxfId="544" priority="542" stopIfTrue="1" operator="equal">
      <formula>"Pass"</formula>
    </cfRule>
  </conditionalFormatting>
  <conditionalFormatting sqref="M28">
    <cfRule type="cellIs" dxfId="543" priority="539" stopIfTrue="1" operator="equal">
      <formula>"Fail"</formula>
    </cfRule>
    <cfRule type="cellIs" dxfId="542" priority="540" stopIfTrue="1" operator="equal">
      <formula>"Pass"</formula>
    </cfRule>
  </conditionalFormatting>
  <conditionalFormatting sqref="M28">
    <cfRule type="cellIs" dxfId="541" priority="537" stopIfTrue="1" operator="equal">
      <formula>"Fail"</formula>
    </cfRule>
    <cfRule type="cellIs" dxfId="540" priority="538" stopIfTrue="1" operator="equal">
      <formula>"Pass"</formula>
    </cfRule>
  </conditionalFormatting>
  <conditionalFormatting sqref="M28">
    <cfRule type="cellIs" dxfId="539" priority="535" stopIfTrue="1" operator="equal">
      <formula>"Fail"</formula>
    </cfRule>
    <cfRule type="cellIs" dxfId="538" priority="536" stopIfTrue="1" operator="equal">
      <formula>"Pass"</formula>
    </cfRule>
  </conditionalFormatting>
  <conditionalFormatting sqref="M29">
    <cfRule type="cellIs" dxfId="537" priority="533" stopIfTrue="1" operator="equal">
      <formula>"Fail"</formula>
    </cfRule>
    <cfRule type="cellIs" dxfId="536" priority="534" stopIfTrue="1" operator="equal">
      <formula>"Pass"</formula>
    </cfRule>
  </conditionalFormatting>
  <conditionalFormatting sqref="M29">
    <cfRule type="cellIs" dxfId="535" priority="531" stopIfTrue="1" operator="equal">
      <formula>"Fail"</formula>
    </cfRule>
    <cfRule type="cellIs" dxfId="534" priority="532" stopIfTrue="1" operator="equal">
      <formula>"Pass"</formula>
    </cfRule>
  </conditionalFormatting>
  <conditionalFormatting sqref="M29">
    <cfRule type="cellIs" dxfId="533" priority="529" stopIfTrue="1" operator="equal">
      <formula>"Fail"</formula>
    </cfRule>
    <cfRule type="cellIs" dxfId="532" priority="530" stopIfTrue="1" operator="equal">
      <formula>"Pass"</formula>
    </cfRule>
  </conditionalFormatting>
  <conditionalFormatting sqref="M30">
    <cfRule type="cellIs" dxfId="531" priority="527" stopIfTrue="1" operator="equal">
      <formula>"Fail"</formula>
    </cfRule>
    <cfRule type="cellIs" dxfId="530" priority="528" stopIfTrue="1" operator="equal">
      <formula>"Pass"</formula>
    </cfRule>
  </conditionalFormatting>
  <conditionalFormatting sqref="M30">
    <cfRule type="cellIs" dxfId="529" priority="525" stopIfTrue="1" operator="equal">
      <formula>"Fail"</formula>
    </cfRule>
    <cfRule type="cellIs" dxfId="528" priority="526" stopIfTrue="1" operator="equal">
      <formula>"Pass"</formula>
    </cfRule>
  </conditionalFormatting>
  <conditionalFormatting sqref="M30">
    <cfRule type="cellIs" dxfId="527" priority="523" stopIfTrue="1" operator="equal">
      <formula>"Fail"</formula>
    </cfRule>
    <cfRule type="cellIs" dxfId="526" priority="524" stopIfTrue="1" operator="equal">
      <formula>"Pass"</formula>
    </cfRule>
  </conditionalFormatting>
  <conditionalFormatting sqref="M31">
    <cfRule type="cellIs" dxfId="525" priority="521" stopIfTrue="1" operator="equal">
      <formula>"Fail"</formula>
    </cfRule>
    <cfRule type="cellIs" dxfId="524" priority="522" stopIfTrue="1" operator="equal">
      <formula>"Pass"</formula>
    </cfRule>
  </conditionalFormatting>
  <conditionalFormatting sqref="M31">
    <cfRule type="cellIs" dxfId="523" priority="519" stopIfTrue="1" operator="equal">
      <formula>"Fail"</formula>
    </cfRule>
    <cfRule type="cellIs" dxfId="522" priority="520" stopIfTrue="1" operator="equal">
      <formula>"Pass"</formula>
    </cfRule>
  </conditionalFormatting>
  <conditionalFormatting sqref="M31">
    <cfRule type="cellIs" dxfId="521" priority="517" stopIfTrue="1" operator="equal">
      <formula>"Fail"</formula>
    </cfRule>
    <cfRule type="cellIs" dxfId="520" priority="518" stopIfTrue="1" operator="equal">
      <formula>"Pass"</formula>
    </cfRule>
  </conditionalFormatting>
  <conditionalFormatting sqref="M32">
    <cfRule type="cellIs" dxfId="519" priority="515" stopIfTrue="1" operator="equal">
      <formula>"Fail"</formula>
    </cfRule>
    <cfRule type="cellIs" dxfId="518" priority="516" stopIfTrue="1" operator="equal">
      <formula>"Pass"</formula>
    </cfRule>
  </conditionalFormatting>
  <conditionalFormatting sqref="M32">
    <cfRule type="cellIs" dxfId="517" priority="513" stopIfTrue="1" operator="equal">
      <formula>"Fail"</formula>
    </cfRule>
    <cfRule type="cellIs" dxfId="516" priority="514" stopIfTrue="1" operator="equal">
      <formula>"Pass"</formula>
    </cfRule>
  </conditionalFormatting>
  <conditionalFormatting sqref="M32">
    <cfRule type="cellIs" dxfId="515" priority="511" stopIfTrue="1" operator="equal">
      <formula>"Fail"</formula>
    </cfRule>
    <cfRule type="cellIs" dxfId="514" priority="512" stopIfTrue="1" operator="equal">
      <formula>"Pass"</formula>
    </cfRule>
  </conditionalFormatting>
  <conditionalFormatting sqref="M32">
    <cfRule type="cellIs" dxfId="513" priority="509" stopIfTrue="1" operator="equal">
      <formula>"Fail"</formula>
    </cfRule>
    <cfRule type="cellIs" dxfId="512" priority="510" stopIfTrue="1" operator="equal">
      <formula>"Pass"</formula>
    </cfRule>
  </conditionalFormatting>
  <conditionalFormatting sqref="M32">
    <cfRule type="cellIs" dxfId="511" priority="507" stopIfTrue="1" operator="equal">
      <formula>"Fail"</formula>
    </cfRule>
    <cfRule type="cellIs" dxfId="510" priority="508" stopIfTrue="1" operator="equal">
      <formula>"Pass"</formula>
    </cfRule>
  </conditionalFormatting>
  <conditionalFormatting sqref="M32">
    <cfRule type="cellIs" dxfId="509" priority="505" stopIfTrue="1" operator="equal">
      <formula>"Fail"</formula>
    </cfRule>
    <cfRule type="cellIs" dxfId="508" priority="506" stopIfTrue="1" operator="equal">
      <formula>"Pass"</formula>
    </cfRule>
  </conditionalFormatting>
  <conditionalFormatting sqref="M33">
    <cfRule type="cellIs" dxfId="507" priority="503" stopIfTrue="1" operator="equal">
      <formula>"Fail"</formula>
    </cfRule>
    <cfRule type="cellIs" dxfId="506" priority="504" stopIfTrue="1" operator="equal">
      <formula>"Pass"</formula>
    </cfRule>
  </conditionalFormatting>
  <conditionalFormatting sqref="M33">
    <cfRule type="cellIs" dxfId="505" priority="501" stopIfTrue="1" operator="equal">
      <formula>"Fail"</formula>
    </cfRule>
    <cfRule type="cellIs" dxfId="504" priority="502" stopIfTrue="1" operator="equal">
      <formula>"Pass"</formula>
    </cfRule>
  </conditionalFormatting>
  <conditionalFormatting sqref="M33">
    <cfRule type="cellIs" dxfId="503" priority="499" stopIfTrue="1" operator="equal">
      <formula>"Fail"</formula>
    </cfRule>
    <cfRule type="cellIs" dxfId="502" priority="500" stopIfTrue="1" operator="equal">
      <formula>"Pass"</formula>
    </cfRule>
  </conditionalFormatting>
  <conditionalFormatting sqref="M33">
    <cfRule type="cellIs" dxfId="501" priority="497" stopIfTrue="1" operator="equal">
      <formula>"Fail"</formula>
    </cfRule>
    <cfRule type="cellIs" dxfId="500" priority="498" stopIfTrue="1" operator="equal">
      <formula>"Pass"</formula>
    </cfRule>
  </conditionalFormatting>
  <conditionalFormatting sqref="M33">
    <cfRule type="cellIs" dxfId="499" priority="495" stopIfTrue="1" operator="equal">
      <formula>"Fail"</formula>
    </cfRule>
    <cfRule type="cellIs" dxfId="498" priority="496" stopIfTrue="1" operator="equal">
      <formula>"Pass"</formula>
    </cfRule>
  </conditionalFormatting>
  <conditionalFormatting sqref="M33">
    <cfRule type="cellIs" dxfId="497" priority="493" stopIfTrue="1" operator="equal">
      <formula>"Fail"</formula>
    </cfRule>
    <cfRule type="cellIs" dxfId="496" priority="494" stopIfTrue="1" operator="equal">
      <formula>"Pass"</formula>
    </cfRule>
  </conditionalFormatting>
  <conditionalFormatting sqref="M34">
    <cfRule type="cellIs" dxfId="495" priority="491" stopIfTrue="1" operator="equal">
      <formula>"Fail"</formula>
    </cfRule>
    <cfRule type="cellIs" dxfId="494" priority="492" stopIfTrue="1" operator="equal">
      <formula>"Pass"</formula>
    </cfRule>
  </conditionalFormatting>
  <conditionalFormatting sqref="M34">
    <cfRule type="cellIs" dxfId="493" priority="489" stopIfTrue="1" operator="equal">
      <formula>"Fail"</formula>
    </cfRule>
    <cfRule type="cellIs" dxfId="492" priority="490" stopIfTrue="1" operator="equal">
      <formula>"Pass"</formula>
    </cfRule>
  </conditionalFormatting>
  <conditionalFormatting sqref="M34">
    <cfRule type="cellIs" dxfId="491" priority="487" stopIfTrue="1" operator="equal">
      <formula>"Fail"</formula>
    </cfRule>
    <cfRule type="cellIs" dxfId="490" priority="488" stopIfTrue="1" operator="equal">
      <formula>"Pass"</formula>
    </cfRule>
  </conditionalFormatting>
  <conditionalFormatting sqref="M34">
    <cfRule type="cellIs" dxfId="489" priority="485" stopIfTrue="1" operator="equal">
      <formula>"Fail"</formula>
    </cfRule>
    <cfRule type="cellIs" dxfId="488" priority="486" stopIfTrue="1" operator="equal">
      <formula>"Pass"</formula>
    </cfRule>
  </conditionalFormatting>
  <conditionalFormatting sqref="M34">
    <cfRule type="cellIs" dxfId="487" priority="483" stopIfTrue="1" operator="equal">
      <formula>"Fail"</formula>
    </cfRule>
    <cfRule type="cellIs" dxfId="486" priority="484" stopIfTrue="1" operator="equal">
      <formula>"Pass"</formula>
    </cfRule>
  </conditionalFormatting>
  <conditionalFormatting sqref="M34">
    <cfRule type="cellIs" dxfId="485" priority="481" stopIfTrue="1" operator="equal">
      <formula>"Fail"</formula>
    </cfRule>
    <cfRule type="cellIs" dxfId="484" priority="482" stopIfTrue="1" operator="equal">
      <formula>"Pass"</formula>
    </cfRule>
  </conditionalFormatting>
  <conditionalFormatting sqref="M35">
    <cfRule type="cellIs" dxfId="483" priority="479" stopIfTrue="1" operator="equal">
      <formula>"Fail"</formula>
    </cfRule>
    <cfRule type="cellIs" dxfId="482" priority="480" stopIfTrue="1" operator="equal">
      <formula>"Pass"</formula>
    </cfRule>
  </conditionalFormatting>
  <conditionalFormatting sqref="M35">
    <cfRule type="cellIs" dxfId="481" priority="477" stopIfTrue="1" operator="equal">
      <formula>"Fail"</formula>
    </cfRule>
    <cfRule type="cellIs" dxfId="480" priority="478" stopIfTrue="1" operator="equal">
      <formula>"Pass"</formula>
    </cfRule>
  </conditionalFormatting>
  <conditionalFormatting sqref="M35">
    <cfRule type="cellIs" dxfId="479" priority="475" stopIfTrue="1" operator="equal">
      <formula>"Fail"</formula>
    </cfRule>
    <cfRule type="cellIs" dxfId="478" priority="476" stopIfTrue="1" operator="equal">
      <formula>"Pass"</formula>
    </cfRule>
  </conditionalFormatting>
  <conditionalFormatting sqref="M35">
    <cfRule type="cellIs" dxfId="477" priority="473" stopIfTrue="1" operator="equal">
      <formula>"Fail"</formula>
    </cfRule>
    <cfRule type="cellIs" dxfId="476" priority="474" stopIfTrue="1" operator="equal">
      <formula>"Pass"</formula>
    </cfRule>
  </conditionalFormatting>
  <conditionalFormatting sqref="M35">
    <cfRule type="cellIs" dxfId="475" priority="471" stopIfTrue="1" operator="equal">
      <formula>"Fail"</formula>
    </cfRule>
    <cfRule type="cellIs" dxfId="474" priority="472" stopIfTrue="1" operator="equal">
      <formula>"Pass"</formula>
    </cfRule>
  </conditionalFormatting>
  <conditionalFormatting sqref="M35">
    <cfRule type="cellIs" dxfId="473" priority="469" stopIfTrue="1" operator="equal">
      <formula>"Fail"</formula>
    </cfRule>
    <cfRule type="cellIs" dxfId="472" priority="470" stopIfTrue="1" operator="equal">
      <formula>"Pass"</formula>
    </cfRule>
  </conditionalFormatting>
  <conditionalFormatting sqref="M36">
    <cfRule type="cellIs" dxfId="471" priority="467" stopIfTrue="1" operator="equal">
      <formula>"Fail"</formula>
    </cfRule>
    <cfRule type="cellIs" dxfId="470" priority="468" stopIfTrue="1" operator="equal">
      <formula>"Pass"</formula>
    </cfRule>
  </conditionalFormatting>
  <conditionalFormatting sqref="M36">
    <cfRule type="cellIs" dxfId="469" priority="465" stopIfTrue="1" operator="equal">
      <formula>"Fail"</formula>
    </cfRule>
    <cfRule type="cellIs" dxfId="468" priority="466" stopIfTrue="1" operator="equal">
      <formula>"Pass"</formula>
    </cfRule>
  </conditionalFormatting>
  <conditionalFormatting sqref="M36">
    <cfRule type="cellIs" dxfId="467" priority="463" stopIfTrue="1" operator="equal">
      <formula>"Fail"</formula>
    </cfRule>
    <cfRule type="cellIs" dxfId="466" priority="464" stopIfTrue="1" operator="equal">
      <formula>"Pass"</formula>
    </cfRule>
  </conditionalFormatting>
  <conditionalFormatting sqref="M36">
    <cfRule type="cellIs" dxfId="465" priority="461" stopIfTrue="1" operator="equal">
      <formula>"Fail"</formula>
    </cfRule>
    <cfRule type="cellIs" dxfId="464" priority="462" stopIfTrue="1" operator="equal">
      <formula>"Pass"</formula>
    </cfRule>
  </conditionalFormatting>
  <conditionalFormatting sqref="M36">
    <cfRule type="cellIs" dxfId="463" priority="459" stopIfTrue="1" operator="equal">
      <formula>"Fail"</formula>
    </cfRule>
    <cfRule type="cellIs" dxfId="462" priority="460" stopIfTrue="1" operator="equal">
      <formula>"Pass"</formula>
    </cfRule>
  </conditionalFormatting>
  <conditionalFormatting sqref="M36">
    <cfRule type="cellIs" dxfId="461" priority="457" stopIfTrue="1" operator="equal">
      <formula>"Fail"</formula>
    </cfRule>
    <cfRule type="cellIs" dxfId="460" priority="458" stopIfTrue="1" operator="equal">
      <formula>"Pass"</formula>
    </cfRule>
  </conditionalFormatting>
  <conditionalFormatting sqref="M36">
    <cfRule type="cellIs" dxfId="459" priority="455" stopIfTrue="1" operator="equal">
      <formula>"Fail"</formula>
    </cfRule>
    <cfRule type="cellIs" dxfId="458" priority="456" stopIfTrue="1" operator="equal">
      <formula>"Pass"</formula>
    </cfRule>
  </conditionalFormatting>
  <conditionalFormatting sqref="M36">
    <cfRule type="cellIs" dxfId="457" priority="453" stopIfTrue="1" operator="equal">
      <formula>"Fail"</formula>
    </cfRule>
    <cfRule type="cellIs" dxfId="456" priority="454" stopIfTrue="1" operator="equal">
      <formula>"Pass"</formula>
    </cfRule>
  </conditionalFormatting>
  <conditionalFormatting sqref="M36">
    <cfRule type="cellIs" dxfId="455" priority="451" stopIfTrue="1" operator="equal">
      <formula>"Fail"</formula>
    </cfRule>
    <cfRule type="cellIs" dxfId="454" priority="452" stopIfTrue="1" operator="equal">
      <formula>"Pass"</formula>
    </cfRule>
  </conditionalFormatting>
  <conditionalFormatting sqref="V3">
    <cfRule type="cellIs" dxfId="453" priority="449" stopIfTrue="1" operator="equal">
      <formula>"Fail"</formula>
    </cfRule>
    <cfRule type="cellIs" dxfId="452" priority="450" stopIfTrue="1" operator="equal">
      <formula>"Pass"</formula>
    </cfRule>
  </conditionalFormatting>
  <conditionalFormatting sqref="V3">
    <cfRule type="cellIs" dxfId="451" priority="447" stopIfTrue="1" operator="equal">
      <formula>"Fail"</formula>
    </cfRule>
    <cfRule type="cellIs" dxfId="450" priority="448" stopIfTrue="1" operator="equal">
      <formula>"Pass"</formula>
    </cfRule>
  </conditionalFormatting>
  <conditionalFormatting sqref="V3">
    <cfRule type="cellIs" dxfId="449" priority="445" stopIfTrue="1" operator="equal">
      <formula>"Fail"</formula>
    </cfRule>
    <cfRule type="cellIs" dxfId="448" priority="446" stopIfTrue="1" operator="equal">
      <formula>"Pass"</formula>
    </cfRule>
  </conditionalFormatting>
  <conditionalFormatting sqref="V4">
    <cfRule type="cellIs" dxfId="447" priority="443" stopIfTrue="1" operator="equal">
      <formula>"Fail"</formula>
    </cfRule>
    <cfRule type="cellIs" dxfId="446" priority="444" stopIfTrue="1" operator="equal">
      <formula>"Pass"</formula>
    </cfRule>
  </conditionalFormatting>
  <conditionalFormatting sqref="V5">
    <cfRule type="cellIs" dxfId="445" priority="441" stopIfTrue="1" operator="equal">
      <formula>"Fail"</formula>
    </cfRule>
    <cfRule type="cellIs" dxfId="444" priority="442" stopIfTrue="1" operator="equal">
      <formula>"Pass"</formula>
    </cfRule>
  </conditionalFormatting>
  <conditionalFormatting sqref="V5">
    <cfRule type="cellIs" dxfId="443" priority="439" stopIfTrue="1" operator="equal">
      <formula>"Fail"</formula>
    </cfRule>
    <cfRule type="cellIs" dxfId="442" priority="440" stopIfTrue="1" operator="equal">
      <formula>"Pass"</formula>
    </cfRule>
  </conditionalFormatting>
  <conditionalFormatting sqref="V5">
    <cfRule type="cellIs" dxfId="441" priority="437" stopIfTrue="1" operator="equal">
      <formula>"Fail"</formula>
    </cfRule>
    <cfRule type="cellIs" dxfId="440" priority="438" stopIfTrue="1" operator="equal">
      <formula>"Pass"</formula>
    </cfRule>
  </conditionalFormatting>
  <conditionalFormatting sqref="V5">
    <cfRule type="cellIs" dxfId="439" priority="435" stopIfTrue="1" operator="equal">
      <formula>"Fail"</formula>
    </cfRule>
    <cfRule type="cellIs" dxfId="438" priority="436" stopIfTrue="1" operator="equal">
      <formula>"Pass"</formula>
    </cfRule>
  </conditionalFormatting>
  <conditionalFormatting sqref="V6">
    <cfRule type="cellIs" dxfId="437" priority="433" stopIfTrue="1" operator="equal">
      <formula>"Fail"</formula>
    </cfRule>
    <cfRule type="cellIs" dxfId="436" priority="434" stopIfTrue="1" operator="equal">
      <formula>"Pass"</formula>
    </cfRule>
  </conditionalFormatting>
  <conditionalFormatting sqref="V6">
    <cfRule type="cellIs" dxfId="435" priority="431" stopIfTrue="1" operator="equal">
      <formula>"Fail"</formula>
    </cfRule>
    <cfRule type="cellIs" dxfId="434" priority="432" stopIfTrue="1" operator="equal">
      <formula>"Pass"</formula>
    </cfRule>
  </conditionalFormatting>
  <conditionalFormatting sqref="V6">
    <cfRule type="cellIs" dxfId="433" priority="429" stopIfTrue="1" operator="equal">
      <formula>"Fail"</formula>
    </cfRule>
    <cfRule type="cellIs" dxfId="432" priority="430" stopIfTrue="1" operator="equal">
      <formula>"Pass"</formula>
    </cfRule>
  </conditionalFormatting>
  <conditionalFormatting sqref="V6">
    <cfRule type="cellIs" dxfId="431" priority="427" stopIfTrue="1" operator="equal">
      <formula>"Fail"</formula>
    </cfRule>
    <cfRule type="cellIs" dxfId="430" priority="428" stopIfTrue="1" operator="equal">
      <formula>"Pass"</formula>
    </cfRule>
  </conditionalFormatting>
  <conditionalFormatting sqref="V7">
    <cfRule type="cellIs" dxfId="429" priority="425" stopIfTrue="1" operator="equal">
      <formula>"Fail"</formula>
    </cfRule>
    <cfRule type="cellIs" dxfId="428" priority="426" stopIfTrue="1" operator="equal">
      <formula>"Pass"</formula>
    </cfRule>
  </conditionalFormatting>
  <conditionalFormatting sqref="V7">
    <cfRule type="cellIs" dxfId="427" priority="423" stopIfTrue="1" operator="equal">
      <formula>"Fail"</formula>
    </cfRule>
    <cfRule type="cellIs" dxfId="426" priority="424" stopIfTrue="1" operator="equal">
      <formula>"Pass"</formula>
    </cfRule>
  </conditionalFormatting>
  <conditionalFormatting sqref="V7">
    <cfRule type="cellIs" dxfId="425" priority="421" stopIfTrue="1" operator="equal">
      <formula>"Fail"</formula>
    </cfRule>
    <cfRule type="cellIs" dxfId="424" priority="422" stopIfTrue="1" operator="equal">
      <formula>"Pass"</formula>
    </cfRule>
  </conditionalFormatting>
  <conditionalFormatting sqref="V7">
    <cfRule type="cellIs" dxfId="423" priority="419" stopIfTrue="1" operator="equal">
      <formula>"Fail"</formula>
    </cfRule>
    <cfRule type="cellIs" dxfId="422" priority="420" stopIfTrue="1" operator="equal">
      <formula>"Pass"</formula>
    </cfRule>
  </conditionalFormatting>
  <conditionalFormatting sqref="V8">
    <cfRule type="cellIs" dxfId="421" priority="417" stopIfTrue="1" operator="equal">
      <formula>"Fail"</formula>
    </cfRule>
    <cfRule type="cellIs" dxfId="420" priority="418" stopIfTrue="1" operator="equal">
      <formula>"Pass"</formula>
    </cfRule>
  </conditionalFormatting>
  <conditionalFormatting sqref="V8">
    <cfRule type="cellIs" dxfId="419" priority="415" stopIfTrue="1" operator="equal">
      <formula>"Fail"</formula>
    </cfRule>
    <cfRule type="cellIs" dxfId="418" priority="416" stopIfTrue="1" operator="equal">
      <formula>"Pass"</formula>
    </cfRule>
  </conditionalFormatting>
  <conditionalFormatting sqref="V8">
    <cfRule type="cellIs" dxfId="417" priority="413" stopIfTrue="1" operator="equal">
      <formula>"Fail"</formula>
    </cfRule>
    <cfRule type="cellIs" dxfId="416" priority="414" stopIfTrue="1" operator="equal">
      <formula>"Pass"</formula>
    </cfRule>
  </conditionalFormatting>
  <conditionalFormatting sqref="V8">
    <cfRule type="cellIs" dxfId="415" priority="411" stopIfTrue="1" operator="equal">
      <formula>"Fail"</formula>
    </cfRule>
    <cfRule type="cellIs" dxfId="414" priority="412" stopIfTrue="1" operator="equal">
      <formula>"Pass"</formula>
    </cfRule>
  </conditionalFormatting>
  <conditionalFormatting sqref="V9">
    <cfRule type="cellIs" dxfId="413" priority="409" stopIfTrue="1" operator="equal">
      <formula>"Fail"</formula>
    </cfRule>
    <cfRule type="cellIs" dxfId="412" priority="410" stopIfTrue="1" operator="equal">
      <formula>"Pass"</formula>
    </cfRule>
  </conditionalFormatting>
  <conditionalFormatting sqref="V9">
    <cfRule type="cellIs" dxfId="411" priority="407" stopIfTrue="1" operator="equal">
      <formula>"Fail"</formula>
    </cfRule>
    <cfRule type="cellIs" dxfId="410" priority="408" stopIfTrue="1" operator="equal">
      <formula>"Pass"</formula>
    </cfRule>
  </conditionalFormatting>
  <conditionalFormatting sqref="V9">
    <cfRule type="cellIs" dxfId="409" priority="405" stopIfTrue="1" operator="equal">
      <formula>"Fail"</formula>
    </cfRule>
    <cfRule type="cellIs" dxfId="408" priority="406" stopIfTrue="1" operator="equal">
      <formula>"Pass"</formula>
    </cfRule>
  </conditionalFormatting>
  <conditionalFormatting sqref="V9">
    <cfRule type="cellIs" dxfId="407" priority="403" stopIfTrue="1" operator="equal">
      <formula>"Fail"</formula>
    </cfRule>
    <cfRule type="cellIs" dxfId="406" priority="404" stopIfTrue="1" operator="equal">
      <formula>"Pass"</formula>
    </cfRule>
  </conditionalFormatting>
  <conditionalFormatting sqref="V10">
    <cfRule type="cellIs" dxfId="405" priority="401" stopIfTrue="1" operator="equal">
      <formula>"Fail"</formula>
    </cfRule>
    <cfRule type="cellIs" dxfId="404" priority="402" stopIfTrue="1" operator="equal">
      <formula>"Pass"</formula>
    </cfRule>
  </conditionalFormatting>
  <conditionalFormatting sqref="V10">
    <cfRule type="cellIs" dxfId="403" priority="399" stopIfTrue="1" operator="equal">
      <formula>"Fail"</formula>
    </cfRule>
    <cfRule type="cellIs" dxfId="402" priority="400" stopIfTrue="1" operator="equal">
      <formula>"Pass"</formula>
    </cfRule>
  </conditionalFormatting>
  <conditionalFormatting sqref="V10">
    <cfRule type="cellIs" dxfId="401" priority="397" stopIfTrue="1" operator="equal">
      <formula>"Fail"</formula>
    </cfRule>
    <cfRule type="cellIs" dxfId="400" priority="398" stopIfTrue="1" operator="equal">
      <formula>"Pass"</formula>
    </cfRule>
  </conditionalFormatting>
  <conditionalFormatting sqref="V11">
    <cfRule type="cellIs" dxfId="399" priority="395" stopIfTrue="1" operator="equal">
      <formula>"Fail"</formula>
    </cfRule>
    <cfRule type="cellIs" dxfId="398" priority="396" stopIfTrue="1" operator="equal">
      <formula>"Pass"</formula>
    </cfRule>
  </conditionalFormatting>
  <conditionalFormatting sqref="V11">
    <cfRule type="cellIs" dxfId="397" priority="393" stopIfTrue="1" operator="equal">
      <formula>"Fail"</formula>
    </cfRule>
    <cfRule type="cellIs" dxfId="396" priority="394" stopIfTrue="1" operator="equal">
      <formula>"Pass"</formula>
    </cfRule>
  </conditionalFormatting>
  <conditionalFormatting sqref="V11">
    <cfRule type="cellIs" dxfId="395" priority="391" stopIfTrue="1" operator="equal">
      <formula>"Fail"</formula>
    </cfRule>
    <cfRule type="cellIs" dxfId="394" priority="392" stopIfTrue="1" operator="equal">
      <formula>"Pass"</formula>
    </cfRule>
  </conditionalFormatting>
  <conditionalFormatting sqref="V12">
    <cfRule type="cellIs" dxfId="393" priority="389" stopIfTrue="1" operator="equal">
      <formula>"Fail"</formula>
    </cfRule>
    <cfRule type="cellIs" dxfId="392" priority="390" stopIfTrue="1" operator="equal">
      <formula>"Pass"</formula>
    </cfRule>
  </conditionalFormatting>
  <conditionalFormatting sqref="V12">
    <cfRule type="cellIs" dxfId="391" priority="387" stopIfTrue="1" operator="equal">
      <formula>"Fail"</formula>
    </cfRule>
    <cfRule type="cellIs" dxfId="390" priority="388" stopIfTrue="1" operator="equal">
      <formula>"Pass"</formula>
    </cfRule>
  </conditionalFormatting>
  <conditionalFormatting sqref="V12">
    <cfRule type="cellIs" dxfId="389" priority="385" stopIfTrue="1" operator="equal">
      <formula>"Fail"</formula>
    </cfRule>
    <cfRule type="cellIs" dxfId="388" priority="386" stopIfTrue="1" operator="equal">
      <formula>"Pass"</formula>
    </cfRule>
  </conditionalFormatting>
  <conditionalFormatting sqref="V13">
    <cfRule type="cellIs" dxfId="387" priority="383" stopIfTrue="1" operator="equal">
      <formula>"Fail"</formula>
    </cfRule>
    <cfRule type="cellIs" dxfId="386" priority="384" stopIfTrue="1" operator="equal">
      <formula>"Pass"</formula>
    </cfRule>
  </conditionalFormatting>
  <conditionalFormatting sqref="V13">
    <cfRule type="cellIs" dxfId="385" priority="381" stopIfTrue="1" operator="equal">
      <formula>"Fail"</formula>
    </cfRule>
    <cfRule type="cellIs" dxfId="384" priority="382" stopIfTrue="1" operator="equal">
      <formula>"Pass"</formula>
    </cfRule>
  </conditionalFormatting>
  <conditionalFormatting sqref="V13">
    <cfRule type="cellIs" dxfId="383" priority="379" stopIfTrue="1" operator="equal">
      <formula>"Fail"</formula>
    </cfRule>
    <cfRule type="cellIs" dxfId="382" priority="380" stopIfTrue="1" operator="equal">
      <formula>"Pass"</formula>
    </cfRule>
  </conditionalFormatting>
  <conditionalFormatting sqref="V13">
    <cfRule type="cellIs" dxfId="381" priority="377" stopIfTrue="1" operator="equal">
      <formula>"Fail"</formula>
    </cfRule>
    <cfRule type="cellIs" dxfId="380" priority="378" stopIfTrue="1" operator="equal">
      <formula>"Pass"</formula>
    </cfRule>
  </conditionalFormatting>
  <conditionalFormatting sqref="V13">
    <cfRule type="cellIs" dxfId="379" priority="375" stopIfTrue="1" operator="equal">
      <formula>"Fail"</formula>
    </cfRule>
    <cfRule type="cellIs" dxfId="378" priority="376" stopIfTrue="1" operator="equal">
      <formula>"Pass"</formula>
    </cfRule>
  </conditionalFormatting>
  <conditionalFormatting sqref="V13">
    <cfRule type="cellIs" dxfId="377" priority="373" stopIfTrue="1" operator="equal">
      <formula>"Fail"</formula>
    </cfRule>
    <cfRule type="cellIs" dxfId="376" priority="374" stopIfTrue="1" operator="equal">
      <formula>"Pass"</formula>
    </cfRule>
  </conditionalFormatting>
  <conditionalFormatting sqref="V14">
    <cfRule type="cellIs" dxfId="375" priority="371" stopIfTrue="1" operator="equal">
      <formula>"Fail"</formula>
    </cfRule>
    <cfRule type="cellIs" dxfId="374" priority="372" stopIfTrue="1" operator="equal">
      <formula>"Pass"</formula>
    </cfRule>
  </conditionalFormatting>
  <conditionalFormatting sqref="V14">
    <cfRule type="cellIs" dxfId="373" priority="369" stopIfTrue="1" operator="equal">
      <formula>"Fail"</formula>
    </cfRule>
    <cfRule type="cellIs" dxfId="372" priority="370" stopIfTrue="1" operator="equal">
      <formula>"Pass"</formula>
    </cfRule>
  </conditionalFormatting>
  <conditionalFormatting sqref="V14">
    <cfRule type="cellIs" dxfId="371" priority="367" stopIfTrue="1" operator="equal">
      <formula>"Fail"</formula>
    </cfRule>
    <cfRule type="cellIs" dxfId="370" priority="368" stopIfTrue="1" operator="equal">
      <formula>"Pass"</formula>
    </cfRule>
  </conditionalFormatting>
  <conditionalFormatting sqref="V14">
    <cfRule type="cellIs" dxfId="369" priority="365" stopIfTrue="1" operator="equal">
      <formula>"Fail"</formula>
    </cfRule>
    <cfRule type="cellIs" dxfId="368" priority="366" stopIfTrue="1" operator="equal">
      <formula>"Pass"</formula>
    </cfRule>
  </conditionalFormatting>
  <conditionalFormatting sqref="V14">
    <cfRule type="cellIs" dxfId="367" priority="363" stopIfTrue="1" operator="equal">
      <formula>"Fail"</formula>
    </cfRule>
    <cfRule type="cellIs" dxfId="366" priority="364" stopIfTrue="1" operator="equal">
      <formula>"Pass"</formula>
    </cfRule>
  </conditionalFormatting>
  <conditionalFormatting sqref="V14">
    <cfRule type="cellIs" dxfId="365" priority="361" stopIfTrue="1" operator="equal">
      <formula>"Fail"</formula>
    </cfRule>
    <cfRule type="cellIs" dxfId="364" priority="362" stopIfTrue="1" operator="equal">
      <formula>"Pass"</formula>
    </cfRule>
  </conditionalFormatting>
  <conditionalFormatting sqref="V15">
    <cfRule type="cellIs" dxfId="363" priority="359" stopIfTrue="1" operator="equal">
      <formula>"Fail"</formula>
    </cfRule>
    <cfRule type="cellIs" dxfId="362" priority="360" stopIfTrue="1" operator="equal">
      <formula>"Pass"</formula>
    </cfRule>
  </conditionalFormatting>
  <conditionalFormatting sqref="V15">
    <cfRule type="cellIs" dxfId="361" priority="357" stopIfTrue="1" operator="equal">
      <formula>"Fail"</formula>
    </cfRule>
    <cfRule type="cellIs" dxfId="360" priority="358" stopIfTrue="1" operator="equal">
      <formula>"Pass"</formula>
    </cfRule>
  </conditionalFormatting>
  <conditionalFormatting sqref="V15">
    <cfRule type="cellIs" dxfId="359" priority="355" stopIfTrue="1" operator="equal">
      <formula>"Fail"</formula>
    </cfRule>
    <cfRule type="cellIs" dxfId="358" priority="356" stopIfTrue="1" operator="equal">
      <formula>"Pass"</formula>
    </cfRule>
  </conditionalFormatting>
  <conditionalFormatting sqref="V16">
    <cfRule type="cellIs" dxfId="357" priority="353" stopIfTrue="1" operator="equal">
      <formula>"Fail"</formula>
    </cfRule>
    <cfRule type="cellIs" dxfId="356" priority="354" stopIfTrue="1" operator="equal">
      <formula>"Pass"</formula>
    </cfRule>
  </conditionalFormatting>
  <conditionalFormatting sqref="V16">
    <cfRule type="cellIs" dxfId="355" priority="351" stopIfTrue="1" operator="equal">
      <formula>"Fail"</formula>
    </cfRule>
    <cfRule type="cellIs" dxfId="354" priority="352" stopIfTrue="1" operator="equal">
      <formula>"Pass"</formula>
    </cfRule>
  </conditionalFormatting>
  <conditionalFormatting sqref="V16">
    <cfRule type="cellIs" dxfId="353" priority="349" stopIfTrue="1" operator="equal">
      <formula>"Fail"</formula>
    </cfRule>
    <cfRule type="cellIs" dxfId="352" priority="350" stopIfTrue="1" operator="equal">
      <formula>"Pass"</formula>
    </cfRule>
  </conditionalFormatting>
  <conditionalFormatting sqref="V17">
    <cfRule type="cellIs" dxfId="351" priority="347" stopIfTrue="1" operator="equal">
      <formula>"Fail"</formula>
    </cfRule>
    <cfRule type="cellIs" dxfId="350" priority="348" stopIfTrue="1" operator="equal">
      <formula>"Pass"</formula>
    </cfRule>
  </conditionalFormatting>
  <conditionalFormatting sqref="V17">
    <cfRule type="cellIs" dxfId="349" priority="345" stopIfTrue="1" operator="equal">
      <formula>"Fail"</formula>
    </cfRule>
    <cfRule type="cellIs" dxfId="348" priority="346" stopIfTrue="1" operator="equal">
      <formula>"Pass"</formula>
    </cfRule>
  </conditionalFormatting>
  <conditionalFormatting sqref="V17">
    <cfRule type="cellIs" dxfId="347" priority="343" stopIfTrue="1" operator="equal">
      <formula>"Fail"</formula>
    </cfRule>
    <cfRule type="cellIs" dxfId="346" priority="344" stopIfTrue="1" operator="equal">
      <formula>"Pass"</formula>
    </cfRule>
  </conditionalFormatting>
  <conditionalFormatting sqref="V18">
    <cfRule type="cellIs" dxfId="345" priority="341" stopIfTrue="1" operator="equal">
      <formula>"Fail"</formula>
    </cfRule>
    <cfRule type="cellIs" dxfId="344" priority="342" stopIfTrue="1" operator="equal">
      <formula>"Pass"</formula>
    </cfRule>
  </conditionalFormatting>
  <conditionalFormatting sqref="V18">
    <cfRule type="cellIs" dxfId="343" priority="339" stopIfTrue="1" operator="equal">
      <formula>"Fail"</formula>
    </cfRule>
    <cfRule type="cellIs" dxfId="342" priority="340" stopIfTrue="1" operator="equal">
      <formula>"Pass"</formula>
    </cfRule>
  </conditionalFormatting>
  <conditionalFormatting sqref="V18">
    <cfRule type="cellIs" dxfId="341" priority="337" stopIfTrue="1" operator="equal">
      <formula>"Fail"</formula>
    </cfRule>
    <cfRule type="cellIs" dxfId="340" priority="338" stopIfTrue="1" operator="equal">
      <formula>"Pass"</formula>
    </cfRule>
  </conditionalFormatting>
  <conditionalFormatting sqref="V19">
    <cfRule type="cellIs" dxfId="339" priority="335" stopIfTrue="1" operator="equal">
      <formula>"Fail"</formula>
    </cfRule>
    <cfRule type="cellIs" dxfId="338" priority="336" stopIfTrue="1" operator="equal">
      <formula>"Pass"</formula>
    </cfRule>
  </conditionalFormatting>
  <conditionalFormatting sqref="V19">
    <cfRule type="cellIs" dxfId="337" priority="333" stopIfTrue="1" operator="equal">
      <formula>"Fail"</formula>
    </cfRule>
    <cfRule type="cellIs" dxfId="336" priority="334" stopIfTrue="1" operator="equal">
      <formula>"Pass"</formula>
    </cfRule>
  </conditionalFormatting>
  <conditionalFormatting sqref="V19">
    <cfRule type="cellIs" dxfId="335" priority="331" stopIfTrue="1" operator="equal">
      <formula>"Fail"</formula>
    </cfRule>
    <cfRule type="cellIs" dxfId="334" priority="332" stopIfTrue="1" operator="equal">
      <formula>"Pass"</formula>
    </cfRule>
  </conditionalFormatting>
  <conditionalFormatting sqref="V20">
    <cfRule type="cellIs" dxfId="333" priority="329" stopIfTrue="1" operator="equal">
      <formula>"Fail"</formula>
    </cfRule>
    <cfRule type="cellIs" dxfId="332" priority="330" stopIfTrue="1" operator="equal">
      <formula>"Pass"</formula>
    </cfRule>
  </conditionalFormatting>
  <conditionalFormatting sqref="V20">
    <cfRule type="cellIs" dxfId="331" priority="327" stopIfTrue="1" operator="equal">
      <formula>"Fail"</formula>
    </cfRule>
    <cfRule type="cellIs" dxfId="330" priority="328" stopIfTrue="1" operator="equal">
      <formula>"Pass"</formula>
    </cfRule>
  </conditionalFormatting>
  <conditionalFormatting sqref="V20">
    <cfRule type="cellIs" dxfId="329" priority="325" stopIfTrue="1" operator="equal">
      <formula>"Fail"</formula>
    </cfRule>
    <cfRule type="cellIs" dxfId="328" priority="326" stopIfTrue="1" operator="equal">
      <formula>"Pass"</formula>
    </cfRule>
  </conditionalFormatting>
  <conditionalFormatting sqref="V21">
    <cfRule type="cellIs" dxfId="327" priority="323" stopIfTrue="1" operator="equal">
      <formula>"Fail"</formula>
    </cfRule>
    <cfRule type="cellIs" dxfId="326" priority="324" stopIfTrue="1" operator="equal">
      <formula>"Pass"</formula>
    </cfRule>
  </conditionalFormatting>
  <conditionalFormatting sqref="V21">
    <cfRule type="cellIs" dxfId="325" priority="321" stopIfTrue="1" operator="equal">
      <formula>"Fail"</formula>
    </cfRule>
    <cfRule type="cellIs" dxfId="324" priority="322" stopIfTrue="1" operator="equal">
      <formula>"Pass"</formula>
    </cfRule>
  </conditionalFormatting>
  <conditionalFormatting sqref="V21">
    <cfRule type="cellIs" dxfId="323" priority="319" stopIfTrue="1" operator="equal">
      <formula>"Fail"</formula>
    </cfRule>
    <cfRule type="cellIs" dxfId="322" priority="320" stopIfTrue="1" operator="equal">
      <formula>"Pass"</formula>
    </cfRule>
  </conditionalFormatting>
  <conditionalFormatting sqref="V22">
    <cfRule type="cellIs" dxfId="321" priority="317" stopIfTrue="1" operator="equal">
      <formula>"Fail"</formula>
    </cfRule>
    <cfRule type="cellIs" dxfId="320" priority="318" stopIfTrue="1" operator="equal">
      <formula>"Pass"</formula>
    </cfRule>
  </conditionalFormatting>
  <conditionalFormatting sqref="V22">
    <cfRule type="cellIs" dxfId="319" priority="315" stopIfTrue="1" operator="equal">
      <formula>"Fail"</formula>
    </cfRule>
    <cfRule type="cellIs" dxfId="318" priority="316" stopIfTrue="1" operator="equal">
      <formula>"Pass"</formula>
    </cfRule>
  </conditionalFormatting>
  <conditionalFormatting sqref="V22">
    <cfRule type="cellIs" dxfId="317" priority="313" stopIfTrue="1" operator="equal">
      <formula>"Fail"</formula>
    </cfRule>
    <cfRule type="cellIs" dxfId="316" priority="314" stopIfTrue="1" operator="equal">
      <formula>"Pass"</formula>
    </cfRule>
  </conditionalFormatting>
  <conditionalFormatting sqref="V23">
    <cfRule type="cellIs" dxfId="315" priority="311" stopIfTrue="1" operator="equal">
      <formula>"Fail"</formula>
    </cfRule>
    <cfRule type="cellIs" dxfId="314" priority="312" stopIfTrue="1" operator="equal">
      <formula>"Pass"</formula>
    </cfRule>
  </conditionalFormatting>
  <conditionalFormatting sqref="V23">
    <cfRule type="cellIs" dxfId="313" priority="309" stopIfTrue="1" operator="equal">
      <formula>"Fail"</formula>
    </cfRule>
    <cfRule type="cellIs" dxfId="312" priority="310" stopIfTrue="1" operator="equal">
      <formula>"Pass"</formula>
    </cfRule>
  </conditionalFormatting>
  <conditionalFormatting sqref="V23">
    <cfRule type="cellIs" dxfId="311" priority="307" stopIfTrue="1" operator="equal">
      <formula>"Fail"</formula>
    </cfRule>
    <cfRule type="cellIs" dxfId="310" priority="308" stopIfTrue="1" operator="equal">
      <formula>"Pass"</formula>
    </cfRule>
  </conditionalFormatting>
  <conditionalFormatting sqref="V24">
    <cfRule type="cellIs" dxfId="309" priority="305" stopIfTrue="1" operator="equal">
      <formula>"Fail"</formula>
    </cfRule>
    <cfRule type="cellIs" dxfId="308" priority="306" stopIfTrue="1" operator="equal">
      <formula>"Pass"</formula>
    </cfRule>
  </conditionalFormatting>
  <conditionalFormatting sqref="V24">
    <cfRule type="cellIs" dxfId="307" priority="303" stopIfTrue="1" operator="equal">
      <formula>"Fail"</formula>
    </cfRule>
    <cfRule type="cellIs" dxfId="306" priority="304" stopIfTrue="1" operator="equal">
      <formula>"Pass"</formula>
    </cfRule>
  </conditionalFormatting>
  <conditionalFormatting sqref="V24">
    <cfRule type="cellIs" dxfId="305" priority="301" stopIfTrue="1" operator="equal">
      <formula>"Fail"</formula>
    </cfRule>
    <cfRule type="cellIs" dxfId="304" priority="302" stopIfTrue="1" operator="equal">
      <formula>"Pass"</formula>
    </cfRule>
  </conditionalFormatting>
  <conditionalFormatting sqref="V25">
    <cfRule type="cellIs" dxfId="303" priority="299" stopIfTrue="1" operator="equal">
      <formula>"Fail"</formula>
    </cfRule>
    <cfRule type="cellIs" dxfId="302" priority="300" stopIfTrue="1" operator="equal">
      <formula>"Pass"</formula>
    </cfRule>
  </conditionalFormatting>
  <conditionalFormatting sqref="V25">
    <cfRule type="cellIs" dxfId="301" priority="297" stopIfTrue="1" operator="equal">
      <formula>"Fail"</formula>
    </cfRule>
    <cfRule type="cellIs" dxfId="300" priority="298" stopIfTrue="1" operator="equal">
      <formula>"Pass"</formula>
    </cfRule>
  </conditionalFormatting>
  <conditionalFormatting sqref="V25">
    <cfRule type="cellIs" dxfId="299" priority="295" stopIfTrue="1" operator="equal">
      <formula>"Fail"</formula>
    </cfRule>
    <cfRule type="cellIs" dxfId="298" priority="296" stopIfTrue="1" operator="equal">
      <formula>"Pass"</formula>
    </cfRule>
  </conditionalFormatting>
  <conditionalFormatting sqref="V25">
    <cfRule type="cellIs" dxfId="297" priority="293" stopIfTrue="1" operator="equal">
      <formula>"Fail"</formula>
    </cfRule>
    <cfRule type="cellIs" dxfId="296" priority="294" stopIfTrue="1" operator="equal">
      <formula>"Pass"</formula>
    </cfRule>
  </conditionalFormatting>
  <conditionalFormatting sqref="V25">
    <cfRule type="cellIs" dxfId="295" priority="291" stopIfTrue="1" operator="equal">
      <formula>"Fail"</formula>
    </cfRule>
    <cfRule type="cellIs" dxfId="294" priority="292" stopIfTrue="1" operator="equal">
      <formula>"Pass"</formula>
    </cfRule>
  </conditionalFormatting>
  <conditionalFormatting sqref="V25">
    <cfRule type="cellIs" dxfId="293" priority="289" stopIfTrue="1" operator="equal">
      <formula>"Fail"</formula>
    </cfRule>
    <cfRule type="cellIs" dxfId="292" priority="290" stopIfTrue="1" operator="equal">
      <formula>"Pass"</formula>
    </cfRule>
  </conditionalFormatting>
  <conditionalFormatting sqref="V26">
    <cfRule type="cellIs" dxfId="291" priority="287" stopIfTrue="1" operator="equal">
      <formula>"Fail"</formula>
    </cfRule>
    <cfRule type="cellIs" dxfId="290" priority="288" stopIfTrue="1" operator="equal">
      <formula>"Pass"</formula>
    </cfRule>
  </conditionalFormatting>
  <conditionalFormatting sqref="V26">
    <cfRule type="cellIs" dxfId="289" priority="285" stopIfTrue="1" operator="equal">
      <formula>"Fail"</formula>
    </cfRule>
    <cfRule type="cellIs" dxfId="288" priority="286" stopIfTrue="1" operator="equal">
      <formula>"Pass"</formula>
    </cfRule>
  </conditionalFormatting>
  <conditionalFormatting sqref="V26">
    <cfRule type="cellIs" dxfId="287" priority="283" stopIfTrue="1" operator="equal">
      <formula>"Fail"</formula>
    </cfRule>
    <cfRule type="cellIs" dxfId="286" priority="284" stopIfTrue="1" operator="equal">
      <formula>"Pass"</formula>
    </cfRule>
  </conditionalFormatting>
  <conditionalFormatting sqref="V26">
    <cfRule type="cellIs" dxfId="285" priority="281" stopIfTrue="1" operator="equal">
      <formula>"Fail"</formula>
    </cfRule>
    <cfRule type="cellIs" dxfId="284" priority="282" stopIfTrue="1" operator="equal">
      <formula>"Pass"</formula>
    </cfRule>
  </conditionalFormatting>
  <conditionalFormatting sqref="V26">
    <cfRule type="cellIs" dxfId="283" priority="279" stopIfTrue="1" operator="equal">
      <formula>"Fail"</formula>
    </cfRule>
    <cfRule type="cellIs" dxfId="282" priority="280" stopIfTrue="1" operator="equal">
      <formula>"Pass"</formula>
    </cfRule>
  </conditionalFormatting>
  <conditionalFormatting sqref="V26">
    <cfRule type="cellIs" dxfId="281" priority="277" stopIfTrue="1" operator="equal">
      <formula>"Fail"</formula>
    </cfRule>
    <cfRule type="cellIs" dxfId="280" priority="278" stopIfTrue="1" operator="equal">
      <formula>"Pass"</formula>
    </cfRule>
  </conditionalFormatting>
  <conditionalFormatting sqref="V27">
    <cfRule type="cellIs" dxfId="279" priority="275" stopIfTrue="1" operator="equal">
      <formula>"Fail"</formula>
    </cfRule>
    <cfRule type="cellIs" dxfId="278" priority="276" stopIfTrue="1" operator="equal">
      <formula>"Pass"</formula>
    </cfRule>
  </conditionalFormatting>
  <conditionalFormatting sqref="V27">
    <cfRule type="cellIs" dxfId="277" priority="273" stopIfTrue="1" operator="equal">
      <formula>"Fail"</formula>
    </cfRule>
    <cfRule type="cellIs" dxfId="276" priority="274" stopIfTrue="1" operator="equal">
      <formula>"Pass"</formula>
    </cfRule>
  </conditionalFormatting>
  <conditionalFormatting sqref="V27">
    <cfRule type="cellIs" dxfId="275" priority="271" stopIfTrue="1" operator="equal">
      <formula>"Fail"</formula>
    </cfRule>
    <cfRule type="cellIs" dxfId="274" priority="272" stopIfTrue="1" operator="equal">
      <formula>"Pass"</formula>
    </cfRule>
  </conditionalFormatting>
  <conditionalFormatting sqref="V27">
    <cfRule type="cellIs" dxfId="273" priority="269" stopIfTrue="1" operator="equal">
      <formula>"Fail"</formula>
    </cfRule>
    <cfRule type="cellIs" dxfId="272" priority="270" stopIfTrue="1" operator="equal">
      <formula>"Pass"</formula>
    </cfRule>
  </conditionalFormatting>
  <conditionalFormatting sqref="V27">
    <cfRule type="cellIs" dxfId="271" priority="267" stopIfTrue="1" operator="equal">
      <formula>"Fail"</formula>
    </cfRule>
    <cfRule type="cellIs" dxfId="270" priority="268" stopIfTrue="1" operator="equal">
      <formula>"Pass"</formula>
    </cfRule>
  </conditionalFormatting>
  <conditionalFormatting sqref="V27">
    <cfRule type="cellIs" dxfId="269" priority="265" stopIfTrue="1" operator="equal">
      <formula>"Fail"</formula>
    </cfRule>
    <cfRule type="cellIs" dxfId="268" priority="266" stopIfTrue="1" operator="equal">
      <formula>"Pass"</formula>
    </cfRule>
  </conditionalFormatting>
  <conditionalFormatting sqref="V28">
    <cfRule type="cellIs" dxfId="267" priority="263" stopIfTrue="1" operator="equal">
      <formula>"Fail"</formula>
    </cfRule>
    <cfRule type="cellIs" dxfId="266" priority="264" stopIfTrue="1" operator="equal">
      <formula>"Pass"</formula>
    </cfRule>
  </conditionalFormatting>
  <conditionalFormatting sqref="V28">
    <cfRule type="cellIs" dxfId="265" priority="261" stopIfTrue="1" operator="equal">
      <formula>"Fail"</formula>
    </cfRule>
    <cfRule type="cellIs" dxfId="264" priority="262" stopIfTrue="1" operator="equal">
      <formula>"Pass"</formula>
    </cfRule>
  </conditionalFormatting>
  <conditionalFormatting sqref="V28">
    <cfRule type="cellIs" dxfId="263" priority="259" stopIfTrue="1" operator="equal">
      <formula>"Fail"</formula>
    </cfRule>
    <cfRule type="cellIs" dxfId="262" priority="260" stopIfTrue="1" operator="equal">
      <formula>"Pass"</formula>
    </cfRule>
  </conditionalFormatting>
  <conditionalFormatting sqref="V28">
    <cfRule type="cellIs" dxfId="261" priority="257" stopIfTrue="1" operator="equal">
      <formula>"Fail"</formula>
    </cfRule>
    <cfRule type="cellIs" dxfId="260" priority="258" stopIfTrue="1" operator="equal">
      <formula>"Pass"</formula>
    </cfRule>
  </conditionalFormatting>
  <conditionalFormatting sqref="V28">
    <cfRule type="cellIs" dxfId="259" priority="255" stopIfTrue="1" operator="equal">
      <formula>"Fail"</formula>
    </cfRule>
    <cfRule type="cellIs" dxfId="258" priority="256" stopIfTrue="1" operator="equal">
      <formula>"Pass"</formula>
    </cfRule>
  </conditionalFormatting>
  <conditionalFormatting sqref="V28">
    <cfRule type="cellIs" dxfId="257" priority="253" stopIfTrue="1" operator="equal">
      <formula>"Fail"</formula>
    </cfRule>
    <cfRule type="cellIs" dxfId="256" priority="254" stopIfTrue="1" operator="equal">
      <formula>"Pass"</formula>
    </cfRule>
  </conditionalFormatting>
  <conditionalFormatting sqref="V29">
    <cfRule type="cellIs" dxfId="255" priority="251" stopIfTrue="1" operator="equal">
      <formula>"Fail"</formula>
    </cfRule>
    <cfRule type="cellIs" dxfId="254" priority="252" stopIfTrue="1" operator="equal">
      <formula>"Pass"</formula>
    </cfRule>
  </conditionalFormatting>
  <conditionalFormatting sqref="V29">
    <cfRule type="cellIs" dxfId="253" priority="249" stopIfTrue="1" operator="equal">
      <formula>"Fail"</formula>
    </cfRule>
    <cfRule type="cellIs" dxfId="252" priority="250" stopIfTrue="1" operator="equal">
      <formula>"Pass"</formula>
    </cfRule>
  </conditionalFormatting>
  <conditionalFormatting sqref="V29">
    <cfRule type="cellIs" dxfId="251" priority="247" stopIfTrue="1" operator="equal">
      <formula>"Fail"</formula>
    </cfRule>
    <cfRule type="cellIs" dxfId="250" priority="248" stopIfTrue="1" operator="equal">
      <formula>"Pass"</formula>
    </cfRule>
  </conditionalFormatting>
  <conditionalFormatting sqref="V29">
    <cfRule type="cellIs" dxfId="249" priority="245" stopIfTrue="1" operator="equal">
      <formula>"Fail"</formula>
    </cfRule>
    <cfRule type="cellIs" dxfId="248" priority="246" stopIfTrue="1" operator="equal">
      <formula>"Pass"</formula>
    </cfRule>
  </conditionalFormatting>
  <conditionalFormatting sqref="V29">
    <cfRule type="cellIs" dxfId="247" priority="243" stopIfTrue="1" operator="equal">
      <formula>"Fail"</formula>
    </cfRule>
    <cfRule type="cellIs" dxfId="246" priority="244" stopIfTrue="1" operator="equal">
      <formula>"Pass"</formula>
    </cfRule>
  </conditionalFormatting>
  <conditionalFormatting sqref="V29">
    <cfRule type="cellIs" dxfId="245" priority="241" stopIfTrue="1" operator="equal">
      <formula>"Fail"</formula>
    </cfRule>
    <cfRule type="cellIs" dxfId="244" priority="242" stopIfTrue="1" operator="equal">
      <formula>"Pass"</formula>
    </cfRule>
  </conditionalFormatting>
  <conditionalFormatting sqref="V29">
    <cfRule type="cellIs" dxfId="243" priority="239" stopIfTrue="1" operator="equal">
      <formula>"Fail"</formula>
    </cfRule>
    <cfRule type="cellIs" dxfId="242" priority="240" stopIfTrue="1" operator="equal">
      <formula>"Pass"</formula>
    </cfRule>
  </conditionalFormatting>
  <conditionalFormatting sqref="V29">
    <cfRule type="cellIs" dxfId="241" priority="237" stopIfTrue="1" operator="equal">
      <formula>"Fail"</formula>
    </cfRule>
    <cfRule type="cellIs" dxfId="240" priority="238" stopIfTrue="1" operator="equal">
      <formula>"Pass"</formula>
    </cfRule>
  </conditionalFormatting>
  <conditionalFormatting sqref="V29">
    <cfRule type="cellIs" dxfId="239" priority="235" stopIfTrue="1" operator="equal">
      <formula>"Fail"</formula>
    </cfRule>
    <cfRule type="cellIs" dxfId="238" priority="236" stopIfTrue="1" operator="equal">
      <formula>"Pass"</formula>
    </cfRule>
  </conditionalFormatting>
  <conditionalFormatting sqref="V3:V8">
    <cfRule type="cellIs" dxfId="237" priority="233" stopIfTrue="1" operator="equal">
      <formula>"Fail"</formula>
    </cfRule>
    <cfRule type="cellIs" dxfId="236" priority="234" stopIfTrue="1" operator="equal">
      <formula>"Pass"</formula>
    </cfRule>
  </conditionalFormatting>
  <conditionalFormatting sqref="V9">
    <cfRule type="cellIs" dxfId="235" priority="231" stopIfTrue="1" operator="equal">
      <formula>"Fail"</formula>
    </cfRule>
    <cfRule type="cellIs" dxfId="234" priority="232" stopIfTrue="1" operator="equal">
      <formula>"Pass"</formula>
    </cfRule>
  </conditionalFormatting>
  <conditionalFormatting sqref="V10">
    <cfRule type="cellIs" dxfId="233" priority="229" stopIfTrue="1" operator="equal">
      <formula>"Fail"</formula>
    </cfRule>
    <cfRule type="cellIs" dxfId="232" priority="230" stopIfTrue="1" operator="equal">
      <formula>"Pass"</formula>
    </cfRule>
  </conditionalFormatting>
  <conditionalFormatting sqref="V11">
    <cfRule type="cellIs" dxfId="231" priority="227" stopIfTrue="1" operator="equal">
      <formula>"Fail"</formula>
    </cfRule>
    <cfRule type="cellIs" dxfId="230" priority="228" stopIfTrue="1" operator="equal">
      <formula>"Pass"</formula>
    </cfRule>
  </conditionalFormatting>
  <conditionalFormatting sqref="V12">
    <cfRule type="cellIs" dxfId="229" priority="225" stopIfTrue="1" operator="equal">
      <formula>"Fail"</formula>
    </cfRule>
    <cfRule type="cellIs" dxfId="228" priority="226" stopIfTrue="1" operator="equal">
      <formula>"Pass"</formula>
    </cfRule>
  </conditionalFormatting>
  <conditionalFormatting sqref="V12">
    <cfRule type="cellIs" dxfId="227" priority="223" stopIfTrue="1" operator="equal">
      <formula>"Fail"</formula>
    </cfRule>
    <cfRule type="cellIs" dxfId="226" priority="224" stopIfTrue="1" operator="equal">
      <formula>"Pass"</formula>
    </cfRule>
  </conditionalFormatting>
  <conditionalFormatting sqref="V13">
    <cfRule type="cellIs" dxfId="225" priority="221" stopIfTrue="1" operator="equal">
      <formula>"Fail"</formula>
    </cfRule>
    <cfRule type="cellIs" dxfId="224" priority="222" stopIfTrue="1" operator="equal">
      <formula>"Pass"</formula>
    </cfRule>
  </conditionalFormatting>
  <conditionalFormatting sqref="V14">
    <cfRule type="cellIs" dxfId="223" priority="219" stopIfTrue="1" operator="equal">
      <formula>"Fail"</formula>
    </cfRule>
    <cfRule type="cellIs" dxfId="222" priority="220" stopIfTrue="1" operator="equal">
      <formula>"Pass"</formula>
    </cfRule>
  </conditionalFormatting>
  <conditionalFormatting sqref="V15">
    <cfRule type="cellIs" dxfId="221" priority="217" stopIfTrue="1" operator="equal">
      <formula>"Fail"</formula>
    </cfRule>
    <cfRule type="cellIs" dxfId="220" priority="218" stopIfTrue="1" operator="equal">
      <formula>"Pass"</formula>
    </cfRule>
  </conditionalFormatting>
  <conditionalFormatting sqref="V16">
    <cfRule type="cellIs" dxfId="219" priority="215" stopIfTrue="1" operator="equal">
      <formula>"Fail"</formula>
    </cfRule>
    <cfRule type="cellIs" dxfId="218" priority="216" stopIfTrue="1" operator="equal">
      <formula>"Pass"</formula>
    </cfRule>
  </conditionalFormatting>
  <conditionalFormatting sqref="V16">
    <cfRule type="cellIs" dxfId="217" priority="213" stopIfTrue="1" operator="equal">
      <formula>"Fail"</formula>
    </cfRule>
    <cfRule type="cellIs" dxfId="216" priority="214" stopIfTrue="1" operator="equal">
      <formula>"Pass"</formula>
    </cfRule>
  </conditionalFormatting>
  <conditionalFormatting sqref="V16">
    <cfRule type="cellIs" dxfId="215" priority="211" stopIfTrue="1" operator="equal">
      <formula>"Fail"</formula>
    </cfRule>
    <cfRule type="cellIs" dxfId="214" priority="212" stopIfTrue="1" operator="equal">
      <formula>"Pass"</formula>
    </cfRule>
  </conditionalFormatting>
  <conditionalFormatting sqref="V17">
    <cfRule type="cellIs" dxfId="213" priority="209" stopIfTrue="1" operator="equal">
      <formula>"Fail"</formula>
    </cfRule>
    <cfRule type="cellIs" dxfId="212" priority="210" stopIfTrue="1" operator="equal">
      <formula>"Pass"</formula>
    </cfRule>
  </conditionalFormatting>
  <conditionalFormatting sqref="V18">
    <cfRule type="cellIs" dxfId="211" priority="207" stopIfTrue="1" operator="equal">
      <formula>"Fail"</formula>
    </cfRule>
    <cfRule type="cellIs" dxfId="210" priority="208" stopIfTrue="1" operator="equal">
      <formula>"Pass"</formula>
    </cfRule>
  </conditionalFormatting>
  <conditionalFormatting sqref="V18">
    <cfRule type="cellIs" dxfId="209" priority="205" stopIfTrue="1" operator="equal">
      <formula>"Fail"</formula>
    </cfRule>
    <cfRule type="cellIs" dxfId="208" priority="206" stopIfTrue="1" operator="equal">
      <formula>"Pass"</formula>
    </cfRule>
  </conditionalFormatting>
  <conditionalFormatting sqref="V18">
    <cfRule type="cellIs" dxfId="207" priority="203" stopIfTrue="1" operator="equal">
      <formula>"Fail"</formula>
    </cfRule>
    <cfRule type="cellIs" dxfId="206" priority="204" stopIfTrue="1" operator="equal">
      <formula>"Pass"</formula>
    </cfRule>
  </conditionalFormatting>
  <conditionalFormatting sqref="V18">
    <cfRule type="cellIs" dxfId="205" priority="201" stopIfTrue="1" operator="equal">
      <formula>"Fail"</formula>
    </cfRule>
    <cfRule type="cellIs" dxfId="204" priority="202" stopIfTrue="1" operator="equal">
      <formula>"Pass"</formula>
    </cfRule>
  </conditionalFormatting>
  <conditionalFormatting sqref="V19">
    <cfRule type="cellIs" dxfId="203" priority="199" stopIfTrue="1" operator="equal">
      <formula>"Fail"</formula>
    </cfRule>
    <cfRule type="cellIs" dxfId="202" priority="200" stopIfTrue="1" operator="equal">
      <formula>"Pass"</formula>
    </cfRule>
  </conditionalFormatting>
  <conditionalFormatting sqref="V19">
    <cfRule type="cellIs" dxfId="201" priority="197" stopIfTrue="1" operator="equal">
      <formula>"Fail"</formula>
    </cfRule>
    <cfRule type="cellIs" dxfId="200" priority="198" stopIfTrue="1" operator="equal">
      <formula>"Pass"</formula>
    </cfRule>
  </conditionalFormatting>
  <conditionalFormatting sqref="V19">
    <cfRule type="cellIs" dxfId="199" priority="195" stopIfTrue="1" operator="equal">
      <formula>"Fail"</formula>
    </cfRule>
    <cfRule type="cellIs" dxfId="198" priority="196" stopIfTrue="1" operator="equal">
      <formula>"Pass"</formula>
    </cfRule>
  </conditionalFormatting>
  <conditionalFormatting sqref="V19">
    <cfRule type="cellIs" dxfId="197" priority="193" stopIfTrue="1" operator="equal">
      <formula>"Fail"</formula>
    </cfRule>
    <cfRule type="cellIs" dxfId="196" priority="194" stopIfTrue="1" operator="equal">
      <formula>"Pass"</formula>
    </cfRule>
  </conditionalFormatting>
  <conditionalFormatting sqref="V20">
    <cfRule type="cellIs" dxfId="195" priority="191" stopIfTrue="1" operator="equal">
      <formula>"Fail"</formula>
    </cfRule>
    <cfRule type="cellIs" dxfId="194" priority="192" stopIfTrue="1" operator="equal">
      <formula>"Pass"</formula>
    </cfRule>
  </conditionalFormatting>
  <conditionalFormatting sqref="V20">
    <cfRule type="cellIs" dxfId="193" priority="189" stopIfTrue="1" operator="equal">
      <formula>"Fail"</formula>
    </cfRule>
    <cfRule type="cellIs" dxfId="192" priority="190" stopIfTrue="1" operator="equal">
      <formula>"Pass"</formula>
    </cfRule>
  </conditionalFormatting>
  <conditionalFormatting sqref="V20">
    <cfRule type="cellIs" dxfId="191" priority="187" stopIfTrue="1" operator="equal">
      <formula>"Fail"</formula>
    </cfRule>
    <cfRule type="cellIs" dxfId="190" priority="188" stopIfTrue="1" operator="equal">
      <formula>"Pass"</formula>
    </cfRule>
  </conditionalFormatting>
  <conditionalFormatting sqref="V20">
    <cfRule type="cellIs" dxfId="189" priority="185" stopIfTrue="1" operator="equal">
      <formula>"Fail"</formula>
    </cfRule>
    <cfRule type="cellIs" dxfId="188" priority="186" stopIfTrue="1" operator="equal">
      <formula>"Pass"</formula>
    </cfRule>
  </conditionalFormatting>
  <conditionalFormatting sqref="V21">
    <cfRule type="cellIs" dxfId="187" priority="183" stopIfTrue="1" operator="equal">
      <formula>"Fail"</formula>
    </cfRule>
    <cfRule type="cellIs" dxfId="186" priority="184" stopIfTrue="1" operator="equal">
      <formula>"Pass"</formula>
    </cfRule>
  </conditionalFormatting>
  <conditionalFormatting sqref="V21">
    <cfRule type="cellIs" dxfId="185" priority="181" stopIfTrue="1" operator="equal">
      <formula>"Fail"</formula>
    </cfRule>
    <cfRule type="cellIs" dxfId="184" priority="182" stopIfTrue="1" operator="equal">
      <formula>"Pass"</formula>
    </cfRule>
  </conditionalFormatting>
  <conditionalFormatting sqref="V21">
    <cfRule type="cellIs" dxfId="183" priority="179" stopIfTrue="1" operator="equal">
      <formula>"Fail"</formula>
    </cfRule>
    <cfRule type="cellIs" dxfId="182" priority="180" stopIfTrue="1" operator="equal">
      <formula>"Pass"</formula>
    </cfRule>
  </conditionalFormatting>
  <conditionalFormatting sqref="V21">
    <cfRule type="cellIs" dxfId="181" priority="177" stopIfTrue="1" operator="equal">
      <formula>"Fail"</formula>
    </cfRule>
    <cfRule type="cellIs" dxfId="180" priority="178" stopIfTrue="1" operator="equal">
      <formula>"Pass"</formula>
    </cfRule>
  </conditionalFormatting>
  <conditionalFormatting sqref="V22">
    <cfRule type="cellIs" dxfId="179" priority="175" stopIfTrue="1" operator="equal">
      <formula>"Fail"</formula>
    </cfRule>
    <cfRule type="cellIs" dxfId="178" priority="176" stopIfTrue="1" operator="equal">
      <formula>"Pass"</formula>
    </cfRule>
  </conditionalFormatting>
  <conditionalFormatting sqref="V22">
    <cfRule type="cellIs" dxfId="177" priority="173" stopIfTrue="1" operator="equal">
      <formula>"Fail"</formula>
    </cfRule>
    <cfRule type="cellIs" dxfId="176" priority="174" stopIfTrue="1" operator="equal">
      <formula>"Pass"</formula>
    </cfRule>
  </conditionalFormatting>
  <conditionalFormatting sqref="V22">
    <cfRule type="cellIs" dxfId="175" priority="171" stopIfTrue="1" operator="equal">
      <formula>"Fail"</formula>
    </cfRule>
    <cfRule type="cellIs" dxfId="174" priority="172" stopIfTrue="1" operator="equal">
      <formula>"Pass"</formula>
    </cfRule>
  </conditionalFormatting>
  <conditionalFormatting sqref="V22">
    <cfRule type="cellIs" dxfId="173" priority="169" stopIfTrue="1" operator="equal">
      <formula>"Fail"</formula>
    </cfRule>
    <cfRule type="cellIs" dxfId="172" priority="170" stopIfTrue="1" operator="equal">
      <formula>"Pass"</formula>
    </cfRule>
  </conditionalFormatting>
  <conditionalFormatting sqref="V23">
    <cfRule type="cellIs" dxfId="171" priority="167" stopIfTrue="1" operator="equal">
      <formula>"Fail"</formula>
    </cfRule>
    <cfRule type="cellIs" dxfId="170" priority="168" stopIfTrue="1" operator="equal">
      <formula>"Pass"</formula>
    </cfRule>
  </conditionalFormatting>
  <conditionalFormatting sqref="V23">
    <cfRule type="cellIs" dxfId="169" priority="165" stopIfTrue="1" operator="equal">
      <formula>"Fail"</formula>
    </cfRule>
    <cfRule type="cellIs" dxfId="168" priority="166" stopIfTrue="1" operator="equal">
      <formula>"Pass"</formula>
    </cfRule>
  </conditionalFormatting>
  <conditionalFormatting sqref="V23">
    <cfRule type="cellIs" dxfId="167" priority="163" stopIfTrue="1" operator="equal">
      <formula>"Fail"</formula>
    </cfRule>
    <cfRule type="cellIs" dxfId="166" priority="164" stopIfTrue="1" operator="equal">
      <formula>"Pass"</formula>
    </cfRule>
  </conditionalFormatting>
  <conditionalFormatting sqref="V24">
    <cfRule type="cellIs" dxfId="165" priority="161" stopIfTrue="1" operator="equal">
      <formula>"Fail"</formula>
    </cfRule>
    <cfRule type="cellIs" dxfId="164" priority="162" stopIfTrue="1" operator="equal">
      <formula>"Pass"</formula>
    </cfRule>
  </conditionalFormatting>
  <conditionalFormatting sqref="V24">
    <cfRule type="cellIs" dxfId="163" priority="159" stopIfTrue="1" operator="equal">
      <formula>"Fail"</formula>
    </cfRule>
    <cfRule type="cellIs" dxfId="162" priority="160" stopIfTrue="1" operator="equal">
      <formula>"Pass"</formula>
    </cfRule>
  </conditionalFormatting>
  <conditionalFormatting sqref="V24">
    <cfRule type="cellIs" dxfId="161" priority="157" stopIfTrue="1" operator="equal">
      <formula>"Fail"</formula>
    </cfRule>
    <cfRule type="cellIs" dxfId="160" priority="158" stopIfTrue="1" operator="equal">
      <formula>"Pass"</formula>
    </cfRule>
  </conditionalFormatting>
  <conditionalFormatting sqref="V25">
    <cfRule type="cellIs" dxfId="159" priority="155" stopIfTrue="1" operator="equal">
      <formula>"Fail"</formula>
    </cfRule>
    <cfRule type="cellIs" dxfId="158" priority="156" stopIfTrue="1" operator="equal">
      <formula>"Pass"</formula>
    </cfRule>
  </conditionalFormatting>
  <conditionalFormatting sqref="V25">
    <cfRule type="cellIs" dxfId="157" priority="153" stopIfTrue="1" operator="equal">
      <formula>"Fail"</formula>
    </cfRule>
    <cfRule type="cellIs" dxfId="156" priority="154" stopIfTrue="1" operator="equal">
      <formula>"Pass"</formula>
    </cfRule>
  </conditionalFormatting>
  <conditionalFormatting sqref="V25">
    <cfRule type="cellIs" dxfId="155" priority="151" stopIfTrue="1" operator="equal">
      <formula>"Fail"</formula>
    </cfRule>
    <cfRule type="cellIs" dxfId="154" priority="152" stopIfTrue="1" operator="equal">
      <formula>"Pass"</formula>
    </cfRule>
  </conditionalFormatting>
  <conditionalFormatting sqref="V26">
    <cfRule type="cellIs" dxfId="153" priority="149" stopIfTrue="1" operator="equal">
      <formula>"Fail"</formula>
    </cfRule>
    <cfRule type="cellIs" dxfId="152" priority="150" stopIfTrue="1" operator="equal">
      <formula>"Pass"</formula>
    </cfRule>
  </conditionalFormatting>
  <conditionalFormatting sqref="V26">
    <cfRule type="cellIs" dxfId="151" priority="147" stopIfTrue="1" operator="equal">
      <formula>"Fail"</formula>
    </cfRule>
    <cfRule type="cellIs" dxfId="150" priority="148" stopIfTrue="1" operator="equal">
      <formula>"Pass"</formula>
    </cfRule>
  </conditionalFormatting>
  <conditionalFormatting sqref="V26">
    <cfRule type="cellIs" dxfId="149" priority="145" stopIfTrue="1" operator="equal">
      <formula>"Fail"</formula>
    </cfRule>
    <cfRule type="cellIs" dxfId="148" priority="146" stopIfTrue="1" operator="equal">
      <formula>"Pass"</formula>
    </cfRule>
  </conditionalFormatting>
  <conditionalFormatting sqref="V26">
    <cfRule type="cellIs" dxfId="147" priority="143" stopIfTrue="1" operator="equal">
      <formula>"Fail"</formula>
    </cfRule>
    <cfRule type="cellIs" dxfId="146" priority="144" stopIfTrue="1" operator="equal">
      <formula>"Pass"</formula>
    </cfRule>
  </conditionalFormatting>
  <conditionalFormatting sqref="V26">
    <cfRule type="cellIs" dxfId="145" priority="141" stopIfTrue="1" operator="equal">
      <formula>"Fail"</formula>
    </cfRule>
    <cfRule type="cellIs" dxfId="144" priority="142" stopIfTrue="1" operator="equal">
      <formula>"Pass"</formula>
    </cfRule>
  </conditionalFormatting>
  <conditionalFormatting sqref="V26">
    <cfRule type="cellIs" dxfId="143" priority="139" stopIfTrue="1" operator="equal">
      <formula>"Fail"</formula>
    </cfRule>
    <cfRule type="cellIs" dxfId="142" priority="140" stopIfTrue="1" operator="equal">
      <formula>"Pass"</formula>
    </cfRule>
  </conditionalFormatting>
  <conditionalFormatting sqref="V27">
    <cfRule type="cellIs" dxfId="141" priority="137" stopIfTrue="1" operator="equal">
      <formula>"Fail"</formula>
    </cfRule>
    <cfRule type="cellIs" dxfId="140" priority="138" stopIfTrue="1" operator="equal">
      <formula>"Pass"</formula>
    </cfRule>
  </conditionalFormatting>
  <conditionalFormatting sqref="V27">
    <cfRule type="cellIs" dxfId="139" priority="135" stopIfTrue="1" operator="equal">
      <formula>"Fail"</formula>
    </cfRule>
    <cfRule type="cellIs" dxfId="138" priority="136" stopIfTrue="1" operator="equal">
      <formula>"Pass"</formula>
    </cfRule>
  </conditionalFormatting>
  <conditionalFormatting sqref="V27">
    <cfRule type="cellIs" dxfId="137" priority="133" stopIfTrue="1" operator="equal">
      <formula>"Fail"</formula>
    </cfRule>
    <cfRule type="cellIs" dxfId="136" priority="134" stopIfTrue="1" operator="equal">
      <formula>"Pass"</formula>
    </cfRule>
  </conditionalFormatting>
  <conditionalFormatting sqref="V27">
    <cfRule type="cellIs" dxfId="135" priority="131" stopIfTrue="1" operator="equal">
      <formula>"Fail"</formula>
    </cfRule>
    <cfRule type="cellIs" dxfId="134" priority="132" stopIfTrue="1" operator="equal">
      <formula>"Pass"</formula>
    </cfRule>
  </conditionalFormatting>
  <conditionalFormatting sqref="V27">
    <cfRule type="cellIs" dxfId="133" priority="129" stopIfTrue="1" operator="equal">
      <formula>"Fail"</formula>
    </cfRule>
    <cfRule type="cellIs" dxfId="132" priority="130" stopIfTrue="1" operator="equal">
      <formula>"Pass"</formula>
    </cfRule>
  </conditionalFormatting>
  <conditionalFormatting sqref="V27">
    <cfRule type="cellIs" dxfId="131" priority="127" stopIfTrue="1" operator="equal">
      <formula>"Fail"</formula>
    </cfRule>
    <cfRule type="cellIs" dxfId="130" priority="128" stopIfTrue="1" operator="equal">
      <formula>"Pass"</formula>
    </cfRule>
  </conditionalFormatting>
  <conditionalFormatting sqref="V28">
    <cfRule type="cellIs" dxfId="129" priority="125" stopIfTrue="1" operator="equal">
      <formula>"Fail"</formula>
    </cfRule>
    <cfRule type="cellIs" dxfId="128" priority="126" stopIfTrue="1" operator="equal">
      <formula>"Pass"</formula>
    </cfRule>
  </conditionalFormatting>
  <conditionalFormatting sqref="V28">
    <cfRule type="cellIs" dxfId="127" priority="123" stopIfTrue="1" operator="equal">
      <formula>"Fail"</formula>
    </cfRule>
    <cfRule type="cellIs" dxfId="126" priority="124" stopIfTrue="1" operator="equal">
      <formula>"Pass"</formula>
    </cfRule>
  </conditionalFormatting>
  <conditionalFormatting sqref="V28">
    <cfRule type="cellIs" dxfId="125" priority="121" stopIfTrue="1" operator="equal">
      <formula>"Fail"</formula>
    </cfRule>
    <cfRule type="cellIs" dxfId="124" priority="122" stopIfTrue="1" operator="equal">
      <formula>"Pass"</formula>
    </cfRule>
  </conditionalFormatting>
  <conditionalFormatting sqref="V29">
    <cfRule type="cellIs" dxfId="123" priority="119" stopIfTrue="1" operator="equal">
      <formula>"Fail"</formula>
    </cfRule>
    <cfRule type="cellIs" dxfId="122" priority="120" stopIfTrue="1" operator="equal">
      <formula>"Pass"</formula>
    </cfRule>
  </conditionalFormatting>
  <conditionalFormatting sqref="V29">
    <cfRule type="cellIs" dxfId="121" priority="117" stopIfTrue="1" operator="equal">
      <formula>"Fail"</formula>
    </cfRule>
    <cfRule type="cellIs" dxfId="120" priority="118" stopIfTrue="1" operator="equal">
      <formula>"Pass"</formula>
    </cfRule>
  </conditionalFormatting>
  <conditionalFormatting sqref="V29">
    <cfRule type="cellIs" dxfId="119" priority="115" stopIfTrue="1" operator="equal">
      <formula>"Fail"</formula>
    </cfRule>
    <cfRule type="cellIs" dxfId="118" priority="116" stopIfTrue="1" operator="equal">
      <formula>"Pass"</formula>
    </cfRule>
  </conditionalFormatting>
  <conditionalFormatting sqref="V30">
    <cfRule type="cellIs" dxfId="117" priority="113" stopIfTrue="1" operator="equal">
      <formula>"Fail"</formula>
    </cfRule>
    <cfRule type="cellIs" dxfId="116" priority="114" stopIfTrue="1" operator="equal">
      <formula>"Pass"</formula>
    </cfRule>
  </conditionalFormatting>
  <conditionalFormatting sqref="V30">
    <cfRule type="cellIs" dxfId="115" priority="111" stopIfTrue="1" operator="equal">
      <formula>"Fail"</formula>
    </cfRule>
    <cfRule type="cellIs" dxfId="114" priority="112" stopIfTrue="1" operator="equal">
      <formula>"Pass"</formula>
    </cfRule>
  </conditionalFormatting>
  <conditionalFormatting sqref="V30">
    <cfRule type="cellIs" dxfId="113" priority="109" stopIfTrue="1" operator="equal">
      <formula>"Fail"</formula>
    </cfRule>
    <cfRule type="cellIs" dxfId="112" priority="110" stopIfTrue="1" operator="equal">
      <formula>"Pass"</formula>
    </cfRule>
  </conditionalFormatting>
  <conditionalFormatting sqref="V31">
    <cfRule type="cellIs" dxfId="111" priority="107" stopIfTrue="1" operator="equal">
      <formula>"Fail"</formula>
    </cfRule>
    <cfRule type="cellIs" dxfId="110" priority="108" stopIfTrue="1" operator="equal">
      <formula>"Pass"</formula>
    </cfRule>
  </conditionalFormatting>
  <conditionalFormatting sqref="V31">
    <cfRule type="cellIs" dxfId="109" priority="105" stopIfTrue="1" operator="equal">
      <formula>"Fail"</formula>
    </cfRule>
    <cfRule type="cellIs" dxfId="108" priority="106" stopIfTrue="1" operator="equal">
      <formula>"Pass"</formula>
    </cfRule>
  </conditionalFormatting>
  <conditionalFormatting sqref="V31">
    <cfRule type="cellIs" dxfId="107" priority="103" stopIfTrue="1" operator="equal">
      <formula>"Fail"</formula>
    </cfRule>
    <cfRule type="cellIs" dxfId="106" priority="104" stopIfTrue="1" operator="equal">
      <formula>"Pass"</formula>
    </cfRule>
  </conditionalFormatting>
  <conditionalFormatting sqref="V32">
    <cfRule type="cellIs" dxfId="105" priority="101" stopIfTrue="1" operator="equal">
      <formula>"Fail"</formula>
    </cfRule>
    <cfRule type="cellIs" dxfId="104" priority="102" stopIfTrue="1" operator="equal">
      <formula>"Pass"</formula>
    </cfRule>
  </conditionalFormatting>
  <conditionalFormatting sqref="V32">
    <cfRule type="cellIs" dxfId="103" priority="99" stopIfTrue="1" operator="equal">
      <formula>"Fail"</formula>
    </cfRule>
    <cfRule type="cellIs" dxfId="102" priority="100" stopIfTrue="1" operator="equal">
      <formula>"Pass"</formula>
    </cfRule>
  </conditionalFormatting>
  <conditionalFormatting sqref="V32">
    <cfRule type="cellIs" dxfId="101" priority="97" stopIfTrue="1" operator="equal">
      <formula>"Fail"</formula>
    </cfRule>
    <cfRule type="cellIs" dxfId="100" priority="98" stopIfTrue="1" operator="equal">
      <formula>"Pass"</formula>
    </cfRule>
  </conditionalFormatting>
  <conditionalFormatting sqref="V33">
    <cfRule type="cellIs" dxfId="99" priority="95" stopIfTrue="1" operator="equal">
      <formula>"Fail"</formula>
    </cfRule>
    <cfRule type="cellIs" dxfId="98" priority="96" stopIfTrue="1" operator="equal">
      <formula>"Pass"</formula>
    </cfRule>
  </conditionalFormatting>
  <conditionalFormatting sqref="V33">
    <cfRule type="cellIs" dxfId="97" priority="93" stopIfTrue="1" operator="equal">
      <formula>"Fail"</formula>
    </cfRule>
    <cfRule type="cellIs" dxfId="96" priority="94" stopIfTrue="1" operator="equal">
      <formula>"Pass"</formula>
    </cfRule>
  </conditionalFormatting>
  <conditionalFormatting sqref="V33">
    <cfRule type="cellIs" dxfId="95" priority="91" stopIfTrue="1" operator="equal">
      <formula>"Fail"</formula>
    </cfRule>
    <cfRule type="cellIs" dxfId="94" priority="92" stopIfTrue="1" operator="equal">
      <formula>"Pass"</formula>
    </cfRule>
  </conditionalFormatting>
  <conditionalFormatting sqref="V34">
    <cfRule type="cellIs" dxfId="93" priority="89" stopIfTrue="1" operator="equal">
      <formula>"Fail"</formula>
    </cfRule>
    <cfRule type="cellIs" dxfId="92" priority="90" stopIfTrue="1" operator="equal">
      <formula>"Pass"</formula>
    </cfRule>
  </conditionalFormatting>
  <conditionalFormatting sqref="V34">
    <cfRule type="cellIs" dxfId="91" priority="87" stopIfTrue="1" operator="equal">
      <formula>"Fail"</formula>
    </cfRule>
    <cfRule type="cellIs" dxfId="90" priority="88" stopIfTrue="1" operator="equal">
      <formula>"Pass"</formula>
    </cfRule>
  </conditionalFormatting>
  <conditionalFormatting sqref="V34">
    <cfRule type="cellIs" dxfId="89" priority="85" stopIfTrue="1" operator="equal">
      <formula>"Fail"</formula>
    </cfRule>
    <cfRule type="cellIs" dxfId="88" priority="86" stopIfTrue="1" operator="equal">
      <formula>"Pass"</formula>
    </cfRule>
  </conditionalFormatting>
  <conditionalFormatting sqref="V35">
    <cfRule type="cellIs" dxfId="87" priority="83" stopIfTrue="1" operator="equal">
      <formula>"Fail"</formula>
    </cfRule>
    <cfRule type="cellIs" dxfId="86" priority="84" stopIfTrue="1" operator="equal">
      <formula>"Pass"</formula>
    </cfRule>
  </conditionalFormatting>
  <conditionalFormatting sqref="V35">
    <cfRule type="cellIs" dxfId="85" priority="81" stopIfTrue="1" operator="equal">
      <formula>"Fail"</formula>
    </cfRule>
    <cfRule type="cellIs" dxfId="84" priority="82" stopIfTrue="1" operator="equal">
      <formula>"Pass"</formula>
    </cfRule>
  </conditionalFormatting>
  <conditionalFormatting sqref="V35">
    <cfRule type="cellIs" dxfId="83" priority="79" stopIfTrue="1" operator="equal">
      <formula>"Fail"</formula>
    </cfRule>
    <cfRule type="cellIs" dxfId="82" priority="80" stopIfTrue="1" operator="equal">
      <formula>"Pass"</formula>
    </cfRule>
  </conditionalFormatting>
  <conditionalFormatting sqref="V36">
    <cfRule type="cellIs" dxfId="81" priority="77" stopIfTrue="1" operator="equal">
      <formula>"Fail"</formula>
    </cfRule>
    <cfRule type="cellIs" dxfId="80" priority="78" stopIfTrue="1" operator="equal">
      <formula>"Pass"</formula>
    </cfRule>
  </conditionalFormatting>
  <conditionalFormatting sqref="V36">
    <cfRule type="cellIs" dxfId="79" priority="75" stopIfTrue="1" operator="equal">
      <formula>"Fail"</formula>
    </cfRule>
    <cfRule type="cellIs" dxfId="78" priority="76" stopIfTrue="1" operator="equal">
      <formula>"Pass"</formula>
    </cfRule>
  </conditionalFormatting>
  <conditionalFormatting sqref="V36">
    <cfRule type="cellIs" dxfId="77" priority="73" stopIfTrue="1" operator="equal">
      <formula>"Fail"</formula>
    </cfRule>
    <cfRule type="cellIs" dxfId="76" priority="74" stopIfTrue="1" operator="equal">
      <formula>"Pass"</formula>
    </cfRule>
  </conditionalFormatting>
  <conditionalFormatting sqref="V37">
    <cfRule type="cellIs" dxfId="75" priority="71" stopIfTrue="1" operator="equal">
      <formula>"Fail"</formula>
    </cfRule>
    <cfRule type="cellIs" dxfId="74" priority="72" stopIfTrue="1" operator="equal">
      <formula>"Pass"</formula>
    </cfRule>
  </conditionalFormatting>
  <conditionalFormatting sqref="V37">
    <cfRule type="cellIs" dxfId="73" priority="69" stopIfTrue="1" operator="equal">
      <formula>"Fail"</formula>
    </cfRule>
    <cfRule type="cellIs" dxfId="72" priority="70" stopIfTrue="1" operator="equal">
      <formula>"Pass"</formula>
    </cfRule>
  </conditionalFormatting>
  <conditionalFormatting sqref="V37">
    <cfRule type="cellIs" dxfId="71" priority="67" stopIfTrue="1" operator="equal">
      <formula>"Fail"</formula>
    </cfRule>
    <cfRule type="cellIs" dxfId="70" priority="68" stopIfTrue="1" operator="equal">
      <formula>"Pass"</formula>
    </cfRule>
  </conditionalFormatting>
  <conditionalFormatting sqref="V38">
    <cfRule type="cellIs" dxfId="69" priority="65" stopIfTrue="1" operator="equal">
      <formula>"Fail"</formula>
    </cfRule>
    <cfRule type="cellIs" dxfId="68" priority="66" stopIfTrue="1" operator="equal">
      <formula>"Pass"</formula>
    </cfRule>
  </conditionalFormatting>
  <conditionalFormatting sqref="V38">
    <cfRule type="cellIs" dxfId="67" priority="63" stopIfTrue="1" operator="equal">
      <formula>"Fail"</formula>
    </cfRule>
    <cfRule type="cellIs" dxfId="66" priority="64" stopIfTrue="1" operator="equal">
      <formula>"Pass"</formula>
    </cfRule>
  </conditionalFormatting>
  <conditionalFormatting sqref="V38">
    <cfRule type="cellIs" dxfId="65" priority="61" stopIfTrue="1" operator="equal">
      <formula>"Fail"</formula>
    </cfRule>
    <cfRule type="cellIs" dxfId="64" priority="62" stopIfTrue="1" operator="equal">
      <formula>"Pass"</formula>
    </cfRule>
  </conditionalFormatting>
  <conditionalFormatting sqref="V38">
    <cfRule type="cellIs" dxfId="63" priority="59" stopIfTrue="1" operator="equal">
      <formula>"Fail"</formula>
    </cfRule>
    <cfRule type="cellIs" dxfId="62" priority="60" stopIfTrue="1" operator="equal">
      <formula>"Pass"</formula>
    </cfRule>
  </conditionalFormatting>
  <conditionalFormatting sqref="V38">
    <cfRule type="cellIs" dxfId="61" priority="57" stopIfTrue="1" operator="equal">
      <formula>"Fail"</formula>
    </cfRule>
    <cfRule type="cellIs" dxfId="60" priority="58" stopIfTrue="1" operator="equal">
      <formula>"Pass"</formula>
    </cfRule>
  </conditionalFormatting>
  <conditionalFormatting sqref="V38">
    <cfRule type="cellIs" dxfId="59" priority="55" stopIfTrue="1" operator="equal">
      <formula>"Fail"</formula>
    </cfRule>
    <cfRule type="cellIs" dxfId="58" priority="56" stopIfTrue="1" operator="equal">
      <formula>"Pass"</formula>
    </cfRule>
  </conditionalFormatting>
  <conditionalFormatting sqref="V39">
    <cfRule type="cellIs" dxfId="57" priority="53" stopIfTrue="1" operator="equal">
      <formula>"Fail"</formula>
    </cfRule>
    <cfRule type="cellIs" dxfId="56" priority="54" stopIfTrue="1" operator="equal">
      <formula>"Pass"</formula>
    </cfRule>
  </conditionalFormatting>
  <conditionalFormatting sqref="V39">
    <cfRule type="cellIs" dxfId="55" priority="51" stopIfTrue="1" operator="equal">
      <formula>"Fail"</formula>
    </cfRule>
    <cfRule type="cellIs" dxfId="54" priority="52" stopIfTrue="1" operator="equal">
      <formula>"Pass"</formula>
    </cfRule>
  </conditionalFormatting>
  <conditionalFormatting sqref="V39">
    <cfRule type="cellIs" dxfId="53" priority="49" stopIfTrue="1" operator="equal">
      <formula>"Fail"</formula>
    </cfRule>
    <cfRule type="cellIs" dxfId="52" priority="50" stopIfTrue="1" operator="equal">
      <formula>"Pass"</formula>
    </cfRule>
  </conditionalFormatting>
  <conditionalFormatting sqref="V39">
    <cfRule type="cellIs" dxfId="51" priority="47" stopIfTrue="1" operator="equal">
      <formula>"Fail"</formula>
    </cfRule>
    <cfRule type="cellIs" dxfId="50" priority="48" stopIfTrue="1" operator="equal">
      <formula>"Pass"</formula>
    </cfRule>
  </conditionalFormatting>
  <conditionalFormatting sqref="V39">
    <cfRule type="cellIs" dxfId="49" priority="45" stopIfTrue="1" operator="equal">
      <formula>"Fail"</formula>
    </cfRule>
    <cfRule type="cellIs" dxfId="48" priority="46" stopIfTrue="1" operator="equal">
      <formula>"Pass"</formula>
    </cfRule>
  </conditionalFormatting>
  <conditionalFormatting sqref="V39">
    <cfRule type="cellIs" dxfId="47" priority="43" stopIfTrue="1" operator="equal">
      <formula>"Fail"</formula>
    </cfRule>
    <cfRule type="cellIs" dxfId="46" priority="44" stopIfTrue="1" operator="equal">
      <formula>"Pass"</formula>
    </cfRule>
  </conditionalFormatting>
  <conditionalFormatting sqref="V40">
    <cfRule type="cellIs" dxfId="45" priority="41" stopIfTrue="1" operator="equal">
      <formula>"Fail"</formula>
    </cfRule>
    <cfRule type="cellIs" dxfId="44" priority="42" stopIfTrue="1" operator="equal">
      <formula>"Pass"</formula>
    </cfRule>
  </conditionalFormatting>
  <conditionalFormatting sqref="V40">
    <cfRule type="cellIs" dxfId="43" priority="39" stopIfTrue="1" operator="equal">
      <formula>"Fail"</formula>
    </cfRule>
    <cfRule type="cellIs" dxfId="42" priority="40" stopIfTrue="1" operator="equal">
      <formula>"Pass"</formula>
    </cfRule>
  </conditionalFormatting>
  <conditionalFormatting sqref="V40">
    <cfRule type="cellIs" dxfId="41" priority="37" stopIfTrue="1" operator="equal">
      <formula>"Fail"</formula>
    </cfRule>
    <cfRule type="cellIs" dxfId="40" priority="38" stopIfTrue="1" operator="equal">
      <formula>"Pass"</formula>
    </cfRule>
  </conditionalFormatting>
  <conditionalFormatting sqref="V40">
    <cfRule type="cellIs" dxfId="39" priority="35" stopIfTrue="1" operator="equal">
      <formula>"Fail"</formula>
    </cfRule>
    <cfRule type="cellIs" dxfId="38" priority="36" stopIfTrue="1" operator="equal">
      <formula>"Pass"</formula>
    </cfRule>
  </conditionalFormatting>
  <conditionalFormatting sqref="V40">
    <cfRule type="cellIs" dxfId="37" priority="33" stopIfTrue="1" operator="equal">
      <formula>"Fail"</formula>
    </cfRule>
    <cfRule type="cellIs" dxfId="36" priority="34" stopIfTrue="1" operator="equal">
      <formula>"Pass"</formula>
    </cfRule>
  </conditionalFormatting>
  <conditionalFormatting sqref="V40">
    <cfRule type="cellIs" dxfId="35" priority="31" stopIfTrue="1" operator="equal">
      <formula>"Fail"</formula>
    </cfRule>
    <cfRule type="cellIs" dxfId="34" priority="32" stopIfTrue="1" operator="equal">
      <formula>"Pass"</formula>
    </cfRule>
  </conditionalFormatting>
  <conditionalFormatting sqref="V41">
    <cfRule type="cellIs" dxfId="33" priority="29" stopIfTrue="1" operator="equal">
      <formula>"Fail"</formula>
    </cfRule>
    <cfRule type="cellIs" dxfId="32" priority="30" stopIfTrue="1" operator="equal">
      <formula>"Pass"</formula>
    </cfRule>
  </conditionalFormatting>
  <conditionalFormatting sqref="V41">
    <cfRule type="cellIs" dxfId="31" priority="27" stopIfTrue="1" operator="equal">
      <formula>"Fail"</formula>
    </cfRule>
    <cfRule type="cellIs" dxfId="30" priority="28" stopIfTrue="1" operator="equal">
      <formula>"Pass"</formula>
    </cfRule>
  </conditionalFormatting>
  <conditionalFormatting sqref="V41">
    <cfRule type="cellIs" dxfId="29" priority="25" stopIfTrue="1" operator="equal">
      <formula>"Fail"</formula>
    </cfRule>
    <cfRule type="cellIs" dxfId="28" priority="26" stopIfTrue="1" operator="equal">
      <formula>"Pass"</formula>
    </cfRule>
  </conditionalFormatting>
  <conditionalFormatting sqref="V41">
    <cfRule type="cellIs" dxfId="27" priority="23" stopIfTrue="1" operator="equal">
      <formula>"Fail"</formula>
    </cfRule>
    <cfRule type="cellIs" dxfId="26" priority="24" stopIfTrue="1" operator="equal">
      <formula>"Pass"</formula>
    </cfRule>
  </conditionalFormatting>
  <conditionalFormatting sqref="V41">
    <cfRule type="cellIs" dxfId="25" priority="21" stopIfTrue="1" operator="equal">
      <formula>"Fail"</formula>
    </cfRule>
    <cfRule type="cellIs" dxfId="24" priority="22" stopIfTrue="1" operator="equal">
      <formula>"Pass"</formula>
    </cfRule>
  </conditionalFormatting>
  <conditionalFormatting sqref="V41">
    <cfRule type="cellIs" dxfId="23" priority="19" stopIfTrue="1" operator="equal">
      <formula>"Fail"</formula>
    </cfRule>
    <cfRule type="cellIs" dxfId="22" priority="20" stopIfTrue="1" operator="equal">
      <formula>"Pass"</formula>
    </cfRule>
  </conditionalFormatting>
  <conditionalFormatting sqref="V42">
    <cfRule type="cellIs" dxfId="21" priority="17" stopIfTrue="1" operator="equal">
      <formula>"Fail"</formula>
    </cfRule>
    <cfRule type="cellIs" dxfId="20" priority="18" stopIfTrue="1" operator="equal">
      <formula>"Pass"</formula>
    </cfRule>
  </conditionalFormatting>
  <conditionalFormatting sqref="V42">
    <cfRule type="cellIs" dxfId="19" priority="15" stopIfTrue="1" operator="equal">
      <formula>"Fail"</formula>
    </cfRule>
    <cfRule type="cellIs" dxfId="18" priority="16" stopIfTrue="1" operator="equal">
      <formula>"Pass"</formula>
    </cfRule>
  </conditionalFormatting>
  <conditionalFormatting sqref="V42">
    <cfRule type="cellIs" dxfId="17" priority="13" stopIfTrue="1" operator="equal">
      <formula>"Fail"</formula>
    </cfRule>
    <cfRule type="cellIs" dxfId="16" priority="14" stopIfTrue="1" operator="equal">
      <formula>"Pass"</formula>
    </cfRule>
  </conditionalFormatting>
  <conditionalFormatting sqref="V42">
    <cfRule type="cellIs" dxfId="15" priority="11" stopIfTrue="1" operator="equal">
      <formula>"Fail"</formula>
    </cfRule>
    <cfRule type="cellIs" dxfId="14" priority="12" stopIfTrue="1" operator="equal">
      <formula>"Pass"</formula>
    </cfRule>
  </conditionalFormatting>
  <conditionalFormatting sqref="V42">
    <cfRule type="cellIs" dxfId="13" priority="9" stopIfTrue="1" operator="equal">
      <formula>"Fail"</formula>
    </cfRule>
    <cfRule type="cellIs" dxfId="12" priority="10" stopIfTrue="1" operator="equal">
      <formula>"Pass"</formula>
    </cfRule>
  </conditionalFormatting>
  <conditionalFormatting sqref="V42">
    <cfRule type="cellIs" dxfId="11" priority="7" stopIfTrue="1" operator="equal">
      <formula>"Fail"</formula>
    </cfRule>
    <cfRule type="cellIs" dxfId="10" priority="8" stopIfTrue="1" operator="equal">
      <formula>"Pass"</formula>
    </cfRule>
  </conditionalFormatting>
  <conditionalFormatting sqref="V42">
    <cfRule type="cellIs" dxfId="9" priority="5" stopIfTrue="1" operator="equal">
      <formula>"Fail"</formula>
    </cfRule>
    <cfRule type="cellIs" dxfId="8" priority="6" stopIfTrue="1" operator="equal">
      <formula>"Pass"</formula>
    </cfRule>
  </conditionalFormatting>
  <conditionalFormatting sqref="V42">
    <cfRule type="cellIs" dxfId="7" priority="3" stopIfTrue="1" operator="equal">
      <formula>"Fail"</formula>
    </cfRule>
    <cfRule type="cellIs" dxfId="6" priority="4" stopIfTrue="1" operator="equal">
      <formula>"Pass"</formula>
    </cfRule>
  </conditionalFormatting>
  <conditionalFormatting sqref="V42">
    <cfRule type="cellIs" dxfId="5" priority="1" stopIfTrue="1" operator="equal">
      <formula>"Fail"</formula>
    </cfRule>
    <cfRule type="cellIs" dxfId="4" priority="2" stopIfTrue="1" operator="equal">
      <formula>"Pass"</formula>
    </cfRule>
  </conditionalFormatting>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dimension ref="A1:J257"/>
  <sheetViews>
    <sheetView tabSelected="1" workbookViewId="0">
      <selection activeCell="H27" sqref="H27"/>
    </sheetView>
  </sheetViews>
  <sheetFormatPr defaultRowHeight="12.75"/>
  <cols>
    <col min="1" max="1" width="10" style="398" customWidth="1"/>
    <col min="2" max="5" width="9" style="398"/>
    <col min="6" max="6" width="9" style="444"/>
    <col min="7" max="7" width="9" style="443"/>
    <col min="8" max="8" width="9" style="445"/>
    <col min="9" max="256" width="9" style="398"/>
    <col min="257" max="257" width="10" style="398" customWidth="1"/>
    <col min="258" max="512" width="9" style="398"/>
    <col min="513" max="513" width="10" style="398" customWidth="1"/>
    <col min="514" max="768" width="9" style="398"/>
    <col min="769" max="769" width="10" style="398" customWidth="1"/>
    <col min="770" max="1024" width="9" style="398"/>
    <col min="1025" max="1025" width="10" style="398" customWidth="1"/>
    <col min="1026" max="1280" width="9" style="398"/>
    <col min="1281" max="1281" width="10" style="398" customWidth="1"/>
    <col min="1282" max="1536" width="9" style="398"/>
    <col min="1537" max="1537" width="10" style="398" customWidth="1"/>
    <col min="1538" max="1792" width="9" style="398"/>
    <col min="1793" max="1793" width="10" style="398" customWidth="1"/>
    <col min="1794" max="2048" width="9" style="398"/>
    <col min="2049" max="2049" width="10" style="398" customWidth="1"/>
    <col min="2050" max="2304" width="9" style="398"/>
    <col min="2305" max="2305" width="10" style="398" customWidth="1"/>
    <col min="2306" max="2560" width="9" style="398"/>
    <col min="2561" max="2561" width="10" style="398" customWidth="1"/>
    <col min="2562" max="2816" width="9" style="398"/>
    <col min="2817" max="2817" width="10" style="398" customWidth="1"/>
    <col min="2818" max="3072" width="9" style="398"/>
    <col min="3073" max="3073" width="10" style="398" customWidth="1"/>
    <col min="3074" max="3328" width="9" style="398"/>
    <col min="3329" max="3329" width="10" style="398" customWidth="1"/>
    <col min="3330" max="3584" width="9" style="398"/>
    <col min="3585" max="3585" width="10" style="398" customWidth="1"/>
    <col min="3586" max="3840" width="9" style="398"/>
    <col min="3841" max="3841" width="10" style="398" customWidth="1"/>
    <col min="3842" max="4096" width="9" style="398"/>
    <col min="4097" max="4097" width="10" style="398" customWidth="1"/>
    <col min="4098" max="4352" width="9" style="398"/>
    <col min="4353" max="4353" width="10" style="398" customWidth="1"/>
    <col min="4354" max="4608" width="9" style="398"/>
    <col min="4609" max="4609" width="10" style="398" customWidth="1"/>
    <col min="4610" max="4864" width="9" style="398"/>
    <col min="4865" max="4865" width="10" style="398" customWidth="1"/>
    <col min="4866" max="5120" width="9" style="398"/>
    <col min="5121" max="5121" width="10" style="398" customWidth="1"/>
    <col min="5122" max="5376" width="9" style="398"/>
    <col min="5377" max="5377" width="10" style="398" customWidth="1"/>
    <col min="5378" max="5632" width="9" style="398"/>
    <col min="5633" max="5633" width="10" style="398" customWidth="1"/>
    <col min="5634" max="5888" width="9" style="398"/>
    <col min="5889" max="5889" width="10" style="398" customWidth="1"/>
    <col min="5890" max="6144" width="9" style="398"/>
    <col min="6145" max="6145" width="10" style="398" customWidth="1"/>
    <col min="6146" max="6400" width="9" style="398"/>
    <col min="6401" max="6401" width="10" style="398" customWidth="1"/>
    <col min="6402" max="6656" width="9" style="398"/>
    <col min="6657" max="6657" width="10" style="398" customWidth="1"/>
    <col min="6658" max="6912" width="9" style="398"/>
    <col min="6913" max="6913" width="10" style="398" customWidth="1"/>
    <col min="6914" max="7168" width="9" style="398"/>
    <col min="7169" max="7169" width="10" style="398" customWidth="1"/>
    <col min="7170" max="7424" width="9" style="398"/>
    <col min="7425" max="7425" width="10" style="398" customWidth="1"/>
    <col min="7426" max="7680" width="9" style="398"/>
    <col min="7681" max="7681" width="10" style="398" customWidth="1"/>
    <col min="7682" max="7936" width="9" style="398"/>
    <col min="7937" max="7937" width="10" style="398" customWidth="1"/>
    <col min="7938" max="8192" width="9" style="398"/>
    <col min="8193" max="8193" width="10" style="398" customWidth="1"/>
    <col min="8194" max="8448" width="9" style="398"/>
    <col min="8449" max="8449" width="10" style="398" customWidth="1"/>
    <col min="8450" max="8704" width="9" style="398"/>
    <col min="8705" max="8705" width="10" style="398" customWidth="1"/>
    <col min="8706" max="8960" width="9" style="398"/>
    <col min="8961" max="8961" width="10" style="398" customWidth="1"/>
    <col min="8962" max="9216" width="9" style="398"/>
    <col min="9217" max="9217" width="10" style="398" customWidth="1"/>
    <col min="9218" max="9472" width="9" style="398"/>
    <col min="9473" max="9473" width="10" style="398" customWidth="1"/>
    <col min="9474" max="9728" width="9" style="398"/>
    <col min="9729" max="9729" width="10" style="398" customWidth="1"/>
    <col min="9730" max="9984" width="9" style="398"/>
    <col min="9985" max="9985" width="10" style="398" customWidth="1"/>
    <col min="9986" max="10240" width="9" style="398"/>
    <col min="10241" max="10241" width="10" style="398" customWidth="1"/>
    <col min="10242" max="10496" width="9" style="398"/>
    <col min="10497" max="10497" width="10" style="398" customWidth="1"/>
    <col min="10498" max="10752" width="9" style="398"/>
    <col min="10753" max="10753" width="10" style="398" customWidth="1"/>
    <col min="10754" max="11008" width="9" style="398"/>
    <col min="11009" max="11009" width="10" style="398" customWidth="1"/>
    <col min="11010" max="11264" width="9" style="398"/>
    <col min="11265" max="11265" width="10" style="398" customWidth="1"/>
    <col min="11266" max="11520" width="9" style="398"/>
    <col min="11521" max="11521" width="10" style="398" customWidth="1"/>
    <col min="11522" max="11776" width="9" style="398"/>
    <col min="11777" max="11777" width="10" style="398" customWidth="1"/>
    <col min="11778" max="12032" width="9" style="398"/>
    <col min="12033" max="12033" width="10" style="398" customWidth="1"/>
    <col min="12034" max="12288" width="9" style="398"/>
    <col min="12289" max="12289" width="10" style="398" customWidth="1"/>
    <col min="12290" max="12544" width="9" style="398"/>
    <col min="12545" max="12545" width="10" style="398" customWidth="1"/>
    <col min="12546" max="12800" width="9" style="398"/>
    <col min="12801" max="12801" width="10" style="398" customWidth="1"/>
    <col min="12802" max="13056" width="9" style="398"/>
    <col min="13057" max="13057" width="10" style="398" customWidth="1"/>
    <col min="13058" max="13312" width="9" style="398"/>
    <col min="13313" max="13313" width="10" style="398" customWidth="1"/>
    <col min="13314" max="13568" width="9" style="398"/>
    <col min="13569" max="13569" width="10" style="398" customWidth="1"/>
    <col min="13570" max="13824" width="9" style="398"/>
    <col min="13825" max="13825" width="10" style="398" customWidth="1"/>
    <col min="13826" max="14080" width="9" style="398"/>
    <col min="14081" max="14081" width="10" style="398" customWidth="1"/>
    <col min="14082" max="14336" width="9" style="398"/>
    <col min="14337" max="14337" width="10" style="398" customWidth="1"/>
    <col min="14338" max="14592" width="9" style="398"/>
    <col min="14593" max="14593" width="10" style="398" customWidth="1"/>
    <col min="14594" max="14848" width="9" style="398"/>
    <col min="14849" max="14849" width="10" style="398" customWidth="1"/>
    <col min="14850" max="15104" width="9" style="398"/>
    <col min="15105" max="15105" width="10" style="398" customWidth="1"/>
    <col min="15106" max="15360" width="9" style="398"/>
    <col min="15361" max="15361" width="10" style="398" customWidth="1"/>
    <col min="15362" max="15616" width="9" style="398"/>
    <col min="15617" max="15617" width="10" style="398" customWidth="1"/>
    <col min="15618" max="15872" width="9" style="398"/>
    <col min="15873" max="15873" width="10" style="398" customWidth="1"/>
    <col min="15874" max="16128" width="9" style="398"/>
    <col min="16129" max="16129" width="10" style="398" customWidth="1"/>
    <col min="16130" max="16384" width="9" style="398"/>
  </cols>
  <sheetData>
    <row r="1" spans="1:10" ht="36">
      <c r="A1" s="403" t="s">
        <v>132</v>
      </c>
      <c r="B1" s="404" t="s">
        <v>40</v>
      </c>
      <c r="C1" s="405"/>
      <c r="D1" s="406" t="s">
        <v>133</v>
      </c>
      <c r="E1" s="406" t="s">
        <v>29</v>
      </c>
      <c r="F1" s="407" t="s">
        <v>41</v>
      </c>
      <c r="G1" s="408"/>
      <c r="H1" s="409"/>
    </row>
    <row r="2" spans="1:10">
      <c r="A2" s="403"/>
      <c r="B2" s="410" t="s">
        <v>44</v>
      </c>
      <c r="C2" s="410" t="s">
        <v>45</v>
      </c>
      <c r="D2" s="411"/>
      <c r="E2" s="411"/>
      <c r="F2" s="407"/>
      <c r="G2" s="408"/>
      <c r="H2" s="409"/>
    </row>
    <row r="3" spans="1:10">
      <c r="A3" s="412">
        <v>43304</v>
      </c>
      <c r="B3" s="413">
        <v>9</v>
      </c>
      <c r="C3" s="413">
        <v>15</v>
      </c>
      <c r="D3" s="414">
        <f>IF(((C3="")*AND(B3="")),"",(C3-B3))</f>
        <v>6</v>
      </c>
      <c r="E3" s="415" t="str">
        <f>IF(D3="","",IF(D3&lt;60,"Pass","Fail"))</f>
        <v>Pass</v>
      </c>
      <c r="F3" s="416">
        <v>1340</v>
      </c>
      <c r="G3" s="417"/>
      <c r="H3" s="409"/>
    </row>
    <row r="4" spans="1:10">
      <c r="A4" s="412">
        <v>43305</v>
      </c>
      <c r="B4" s="413">
        <v>13</v>
      </c>
      <c r="C4" s="413">
        <v>63</v>
      </c>
      <c r="D4" s="414">
        <f t="shared" ref="D4:D49" si="0">IF(((C4="")*AND(B4="")),"",(C4-B4))</f>
        <v>50</v>
      </c>
      <c r="E4" s="415" t="str">
        <f t="shared" ref="E4:E49" si="1">IF(D4="","",IF(D4&lt;60,"Pass","Fail"))</f>
        <v>Pass</v>
      </c>
      <c r="F4" s="416">
        <v>1340</v>
      </c>
      <c r="G4" s="417"/>
      <c r="H4" s="409"/>
      <c r="I4" s="418"/>
      <c r="J4" s="418"/>
    </row>
    <row r="5" spans="1:10">
      <c r="A5" s="412">
        <v>43306</v>
      </c>
      <c r="B5" s="413">
        <v>21</v>
      </c>
      <c r="C5" s="413">
        <v>23</v>
      </c>
      <c r="D5" s="414">
        <f t="shared" si="0"/>
        <v>2</v>
      </c>
      <c r="E5" s="415" t="str">
        <f t="shared" si="1"/>
        <v>Pass</v>
      </c>
      <c r="F5" s="416">
        <v>121</v>
      </c>
      <c r="G5" s="417"/>
      <c r="H5" s="409"/>
      <c r="I5" s="418"/>
      <c r="J5" s="418"/>
    </row>
    <row r="6" spans="1:10">
      <c r="A6" s="412">
        <v>43308</v>
      </c>
      <c r="B6" s="419">
        <v>14</v>
      </c>
      <c r="C6" s="419">
        <v>39</v>
      </c>
      <c r="D6" s="419">
        <f>IF(((C6="")*AND(B6="")),"",(C6-B6))</f>
        <v>25</v>
      </c>
      <c r="E6" s="420" t="str">
        <f>IF(D6="","",IF(D6&lt;60,"Pass","Fail"))</f>
        <v>Pass</v>
      </c>
      <c r="F6" s="421">
        <v>1340</v>
      </c>
      <c r="G6" s="417"/>
      <c r="H6" s="409"/>
    </row>
    <row r="7" spans="1:10">
      <c r="A7" s="412">
        <v>43311</v>
      </c>
      <c r="B7" s="413">
        <v>29</v>
      </c>
      <c r="C7" s="413">
        <v>38</v>
      </c>
      <c r="D7" s="414">
        <f t="shared" si="0"/>
        <v>9</v>
      </c>
      <c r="E7" s="415" t="str">
        <f t="shared" si="1"/>
        <v>Pass</v>
      </c>
      <c r="F7" s="416">
        <v>1340</v>
      </c>
      <c r="G7" s="417"/>
      <c r="H7" s="409"/>
    </row>
    <row r="8" spans="1:10">
      <c r="A8" s="412">
        <v>43313</v>
      </c>
      <c r="B8" s="419">
        <v>8</v>
      </c>
      <c r="C8" s="419">
        <v>24</v>
      </c>
      <c r="D8" s="419">
        <f>IF(((C8="")*AND(B8="")),"",(C8-B8))</f>
        <v>16</v>
      </c>
      <c r="E8" s="420" t="str">
        <f>IF(D8="","",IF(D8&lt;60,"Pass","Fail"))</f>
        <v>Pass</v>
      </c>
      <c r="F8" s="421">
        <v>74</v>
      </c>
      <c r="G8" s="417"/>
      <c r="H8" s="409"/>
    </row>
    <row r="9" spans="1:10">
      <c r="A9" s="412">
        <v>43318</v>
      </c>
      <c r="B9" s="413">
        <v>6</v>
      </c>
      <c r="C9" s="413">
        <v>9</v>
      </c>
      <c r="D9" s="414">
        <f>IF(((C9="")*AND(B9="")),"",(C9-B9))</f>
        <v>3</v>
      </c>
      <c r="E9" s="415" t="str">
        <f>IF(D9="","",IF(D9&lt;60,"Pass","Fail"))</f>
        <v>Pass</v>
      </c>
      <c r="F9" s="416">
        <v>1340</v>
      </c>
      <c r="G9" s="417"/>
      <c r="H9" s="409"/>
    </row>
    <row r="10" spans="1:10">
      <c r="A10" s="412">
        <v>43320</v>
      </c>
      <c r="B10" s="422">
        <v>6</v>
      </c>
      <c r="C10" s="422">
        <v>8</v>
      </c>
      <c r="D10" s="422">
        <f>IF(((C10="")*AND(B10="")),"",(C10-B10))</f>
        <v>2</v>
      </c>
      <c r="E10" s="415" t="str">
        <f>IF(D10="","",IF(D10&lt;60,"Pass","Fail"))</f>
        <v>Pass</v>
      </c>
      <c r="F10" s="423">
        <v>1519</v>
      </c>
      <c r="G10" s="417"/>
      <c r="H10" s="409"/>
    </row>
    <row r="11" spans="1:10">
      <c r="A11" s="412">
        <v>43321</v>
      </c>
      <c r="B11" s="419">
        <v>8</v>
      </c>
      <c r="C11" s="419">
        <v>19</v>
      </c>
      <c r="D11" s="419">
        <f>IF(((C11="")*AND(B11="")),"",(C11-B11))</f>
        <v>11</v>
      </c>
      <c r="E11" s="420" t="str">
        <f>IF(D11="","",IF(D11&lt;60,"Pass","Fail"))</f>
        <v>Pass</v>
      </c>
      <c r="F11" s="421">
        <v>1428</v>
      </c>
      <c r="G11" s="417"/>
      <c r="H11" s="409"/>
    </row>
    <row r="12" spans="1:10">
      <c r="A12" s="412"/>
      <c r="B12" s="413"/>
      <c r="C12" s="413"/>
      <c r="D12" s="414" t="str">
        <f t="shared" si="0"/>
        <v/>
      </c>
      <c r="E12" s="415" t="str">
        <f t="shared" si="1"/>
        <v/>
      </c>
      <c r="F12" s="416"/>
      <c r="G12" s="417"/>
      <c r="H12" s="409"/>
    </row>
    <row r="13" spans="1:10">
      <c r="A13" s="412"/>
      <c r="B13" s="413"/>
      <c r="C13" s="413"/>
      <c r="D13" s="414" t="str">
        <f t="shared" si="0"/>
        <v/>
      </c>
      <c r="E13" s="415" t="str">
        <f t="shared" si="1"/>
        <v/>
      </c>
      <c r="F13" s="416"/>
      <c r="G13" s="417"/>
      <c r="H13" s="409"/>
    </row>
    <row r="14" spans="1:10">
      <c r="A14" s="412"/>
      <c r="B14" s="413"/>
      <c r="C14" s="413"/>
      <c r="D14" s="414" t="str">
        <f t="shared" si="0"/>
        <v/>
      </c>
      <c r="E14" s="415" t="str">
        <f t="shared" si="1"/>
        <v/>
      </c>
      <c r="F14" s="416"/>
      <c r="G14" s="417"/>
      <c r="H14" s="409"/>
    </row>
    <row r="15" spans="1:10">
      <c r="A15" s="412"/>
      <c r="B15" s="413"/>
      <c r="C15" s="413"/>
      <c r="D15" s="414" t="str">
        <f t="shared" si="0"/>
        <v/>
      </c>
      <c r="E15" s="415" t="str">
        <f t="shared" si="1"/>
        <v/>
      </c>
      <c r="F15" s="416"/>
      <c r="G15" s="417"/>
      <c r="H15" s="409"/>
    </row>
    <row r="16" spans="1:10">
      <c r="A16" s="412"/>
      <c r="B16" s="413"/>
      <c r="C16" s="413"/>
      <c r="D16" s="414" t="str">
        <f t="shared" si="0"/>
        <v/>
      </c>
      <c r="E16" s="415" t="str">
        <f t="shared" si="1"/>
        <v/>
      </c>
      <c r="F16" s="416"/>
      <c r="G16" s="417"/>
      <c r="H16" s="409"/>
    </row>
    <row r="17" spans="1:8">
      <c r="A17" s="412"/>
      <c r="B17" s="413"/>
      <c r="C17" s="413"/>
      <c r="D17" s="414" t="str">
        <f t="shared" si="0"/>
        <v/>
      </c>
      <c r="E17" s="415" t="str">
        <f t="shared" si="1"/>
        <v/>
      </c>
      <c r="F17" s="416"/>
      <c r="G17" s="417"/>
      <c r="H17" s="409"/>
    </row>
    <row r="18" spans="1:8">
      <c r="A18" s="412"/>
      <c r="B18" s="413"/>
      <c r="C18" s="413"/>
      <c r="D18" s="414" t="str">
        <f t="shared" si="0"/>
        <v/>
      </c>
      <c r="E18" s="415" t="str">
        <f t="shared" si="1"/>
        <v/>
      </c>
      <c r="F18" s="416"/>
      <c r="G18" s="417"/>
      <c r="H18" s="409"/>
    </row>
    <row r="19" spans="1:8">
      <c r="A19" s="412"/>
      <c r="B19" s="413"/>
      <c r="C19" s="413"/>
      <c r="D19" s="414" t="str">
        <f t="shared" si="0"/>
        <v/>
      </c>
      <c r="E19" s="415" t="str">
        <f t="shared" si="1"/>
        <v/>
      </c>
      <c r="F19" s="416"/>
      <c r="G19" s="417"/>
      <c r="H19" s="409"/>
    </row>
    <row r="20" spans="1:8">
      <c r="A20" s="412"/>
      <c r="B20" s="413"/>
      <c r="C20" s="413"/>
      <c r="D20" s="414" t="str">
        <f t="shared" si="0"/>
        <v/>
      </c>
      <c r="E20" s="415" t="str">
        <f t="shared" si="1"/>
        <v/>
      </c>
      <c r="F20" s="416"/>
      <c r="G20" s="417"/>
      <c r="H20" s="409"/>
    </row>
    <row r="21" spans="1:8">
      <c r="A21" s="412"/>
      <c r="B21" s="413"/>
      <c r="C21" s="413"/>
      <c r="D21" s="414" t="str">
        <f t="shared" si="0"/>
        <v/>
      </c>
      <c r="E21" s="415" t="str">
        <f t="shared" si="1"/>
        <v/>
      </c>
      <c r="F21" s="416"/>
      <c r="G21" s="417"/>
      <c r="H21" s="409"/>
    </row>
    <row r="22" spans="1:8">
      <c r="A22" s="412"/>
      <c r="B22" s="413"/>
      <c r="C22" s="413"/>
      <c r="D22" s="414" t="str">
        <f t="shared" si="0"/>
        <v/>
      </c>
      <c r="E22" s="415" t="str">
        <f t="shared" si="1"/>
        <v/>
      </c>
      <c r="F22" s="416"/>
      <c r="G22" s="417"/>
      <c r="H22" s="409"/>
    </row>
    <row r="23" spans="1:8">
      <c r="A23" s="412"/>
      <c r="B23" s="413"/>
      <c r="C23" s="413"/>
      <c r="D23" s="414" t="str">
        <f t="shared" si="0"/>
        <v/>
      </c>
      <c r="E23" s="415" t="str">
        <f t="shared" si="1"/>
        <v/>
      </c>
      <c r="F23" s="416"/>
      <c r="G23" s="417"/>
      <c r="H23" s="409"/>
    </row>
    <row r="24" spans="1:8">
      <c r="A24" s="412"/>
      <c r="B24" s="413"/>
      <c r="C24" s="413"/>
      <c r="D24" s="414" t="str">
        <f t="shared" si="0"/>
        <v/>
      </c>
      <c r="E24" s="415" t="str">
        <f t="shared" si="1"/>
        <v/>
      </c>
      <c r="F24" s="416"/>
      <c r="G24" s="417"/>
      <c r="H24" s="409"/>
    </row>
    <row r="25" spans="1:8">
      <c r="A25" s="412"/>
      <c r="B25" s="413"/>
      <c r="C25" s="413"/>
      <c r="D25" s="414" t="str">
        <f>IF(((C25="")*AND(B25="")),"",(C25-B25))</f>
        <v/>
      </c>
      <c r="E25" s="415" t="str">
        <f>IF(D25="","",IF(D25&lt;60,"Pass","Fail"))</f>
        <v/>
      </c>
      <c r="F25" s="416"/>
      <c r="G25" s="417"/>
      <c r="H25" s="409"/>
    </row>
    <row r="26" spans="1:8">
      <c r="A26" s="412"/>
      <c r="B26" s="413"/>
      <c r="C26" s="413"/>
      <c r="D26" s="414" t="str">
        <f t="shared" si="0"/>
        <v/>
      </c>
      <c r="E26" s="415" t="str">
        <f t="shared" si="1"/>
        <v/>
      </c>
      <c r="F26" s="416"/>
      <c r="G26" s="417"/>
      <c r="H26" s="409"/>
    </row>
    <row r="27" spans="1:8">
      <c r="A27" s="412"/>
      <c r="B27" s="413"/>
      <c r="C27" s="413"/>
      <c r="D27" s="414" t="str">
        <f>IF(((C27="")*AND(B27="")),"",(C27-B27))</f>
        <v/>
      </c>
      <c r="E27" s="415" t="str">
        <f>IF(D27="","",IF(D27&lt;60,"Pass","Fail"))</f>
        <v/>
      </c>
      <c r="F27" s="416"/>
      <c r="G27" s="417"/>
      <c r="H27" s="409"/>
    </row>
    <row r="28" spans="1:8">
      <c r="A28" s="412"/>
      <c r="B28" s="413"/>
      <c r="C28" s="413"/>
      <c r="D28" s="414" t="str">
        <f t="shared" si="0"/>
        <v/>
      </c>
      <c r="E28" s="415" t="str">
        <f t="shared" si="1"/>
        <v/>
      </c>
      <c r="F28" s="416"/>
      <c r="G28" s="417"/>
      <c r="H28" s="409"/>
    </row>
    <row r="29" spans="1:8">
      <c r="A29" s="412"/>
      <c r="B29" s="413"/>
      <c r="C29" s="413"/>
      <c r="D29" s="414" t="str">
        <f t="shared" si="0"/>
        <v/>
      </c>
      <c r="E29" s="415" t="str">
        <f t="shared" si="1"/>
        <v/>
      </c>
      <c r="F29" s="416"/>
      <c r="G29" s="417"/>
      <c r="H29" s="409"/>
    </row>
    <row r="30" spans="1:8">
      <c r="A30" s="412"/>
      <c r="B30" s="413"/>
      <c r="C30" s="413"/>
      <c r="D30" s="414" t="str">
        <f>IF(((C30="")*AND(B30="")),"",(C30-B30))</f>
        <v/>
      </c>
      <c r="E30" s="415" t="str">
        <f>IF(D30="","",IF(D30&lt;60,"Pass","Fail"))</f>
        <v/>
      </c>
      <c r="F30" s="416"/>
      <c r="G30" s="417"/>
      <c r="H30" s="409"/>
    </row>
    <row r="31" spans="1:8">
      <c r="A31" s="412"/>
      <c r="B31" s="413"/>
      <c r="C31" s="413"/>
      <c r="D31" s="414" t="str">
        <f>IF(((C31="")*AND(B31="")),"",(C31-B31))</f>
        <v/>
      </c>
      <c r="E31" s="415" t="str">
        <f>IF(D31="","",IF(D31&lt;60,"Pass","Fail"))</f>
        <v/>
      </c>
      <c r="F31" s="416"/>
      <c r="G31" s="417"/>
      <c r="H31" s="409"/>
    </row>
    <row r="32" spans="1:8">
      <c r="A32" s="412"/>
      <c r="B32" s="413"/>
      <c r="C32" s="413"/>
      <c r="D32" s="414" t="str">
        <f t="shared" si="0"/>
        <v/>
      </c>
      <c r="E32" s="415" t="str">
        <f t="shared" si="1"/>
        <v/>
      </c>
      <c r="F32" s="416"/>
      <c r="G32" s="417"/>
      <c r="H32" s="409"/>
    </row>
    <row r="33" spans="1:8">
      <c r="A33" s="412"/>
      <c r="B33" s="413"/>
      <c r="C33" s="413"/>
      <c r="D33" s="414" t="str">
        <f t="shared" si="0"/>
        <v/>
      </c>
      <c r="E33" s="415" t="str">
        <f t="shared" si="1"/>
        <v/>
      </c>
      <c r="F33" s="416"/>
      <c r="G33" s="417"/>
      <c r="H33" s="409"/>
    </row>
    <row r="34" spans="1:8">
      <c r="A34" s="412"/>
      <c r="B34" s="413"/>
      <c r="C34" s="413"/>
      <c r="D34" s="414" t="str">
        <f t="shared" si="0"/>
        <v/>
      </c>
      <c r="E34" s="415" t="str">
        <f t="shared" si="1"/>
        <v/>
      </c>
      <c r="F34" s="416"/>
      <c r="G34" s="417"/>
      <c r="H34" s="409"/>
    </row>
    <row r="35" spans="1:8">
      <c r="A35" s="412"/>
      <c r="B35" s="413"/>
      <c r="C35" s="413"/>
      <c r="D35" s="414" t="str">
        <f t="shared" si="0"/>
        <v/>
      </c>
      <c r="E35" s="415" t="str">
        <f t="shared" si="1"/>
        <v/>
      </c>
      <c r="F35" s="416"/>
      <c r="G35" s="417"/>
      <c r="H35" s="409"/>
    </row>
    <row r="36" spans="1:8">
      <c r="A36" s="412"/>
      <c r="B36" s="413"/>
      <c r="C36" s="413"/>
      <c r="D36" s="414" t="str">
        <f t="shared" si="0"/>
        <v/>
      </c>
      <c r="E36" s="415" t="str">
        <f t="shared" si="1"/>
        <v/>
      </c>
      <c r="F36" s="416"/>
      <c r="G36" s="417"/>
      <c r="H36" s="409"/>
    </row>
    <row r="37" spans="1:8">
      <c r="A37" s="412"/>
      <c r="B37" s="413"/>
      <c r="C37" s="413"/>
      <c r="D37" s="414" t="str">
        <f t="shared" si="0"/>
        <v/>
      </c>
      <c r="E37" s="415" t="str">
        <f t="shared" si="1"/>
        <v/>
      </c>
      <c r="F37" s="416"/>
      <c r="G37" s="417"/>
      <c r="H37" s="409"/>
    </row>
    <row r="38" spans="1:8">
      <c r="A38" s="412"/>
      <c r="B38" s="413"/>
      <c r="C38" s="413"/>
      <c r="D38" s="414" t="str">
        <f t="shared" si="0"/>
        <v/>
      </c>
      <c r="E38" s="415" t="str">
        <f t="shared" si="1"/>
        <v/>
      </c>
      <c r="F38" s="416"/>
      <c r="G38" s="417"/>
      <c r="H38" s="409"/>
    </row>
    <row r="39" spans="1:8">
      <c r="A39" s="412"/>
      <c r="B39" s="413"/>
      <c r="C39" s="413"/>
      <c r="D39" s="414" t="str">
        <f t="shared" si="0"/>
        <v/>
      </c>
      <c r="E39" s="415" t="str">
        <f t="shared" si="1"/>
        <v/>
      </c>
      <c r="F39" s="416"/>
      <c r="G39" s="417"/>
      <c r="H39" s="409"/>
    </row>
    <row r="40" spans="1:8">
      <c r="A40" s="424"/>
      <c r="B40" s="425"/>
      <c r="C40" s="425"/>
      <c r="D40" s="414" t="str">
        <f t="shared" si="0"/>
        <v/>
      </c>
      <c r="E40" s="415" t="str">
        <f t="shared" si="1"/>
        <v/>
      </c>
      <c r="F40" s="426"/>
      <c r="G40" s="417"/>
      <c r="H40" s="409"/>
    </row>
    <row r="41" spans="1:8">
      <c r="A41" s="412"/>
      <c r="B41" s="413"/>
      <c r="C41" s="413"/>
      <c r="D41" s="414" t="str">
        <f t="shared" si="0"/>
        <v/>
      </c>
      <c r="E41" s="415" t="str">
        <f t="shared" si="1"/>
        <v/>
      </c>
      <c r="F41" s="416"/>
      <c r="G41" s="417"/>
      <c r="H41" s="409"/>
    </row>
    <row r="42" spans="1:8">
      <c r="A42" s="412"/>
      <c r="B42" s="413"/>
      <c r="C42" s="413"/>
      <c r="D42" s="414" t="str">
        <f t="shared" si="0"/>
        <v/>
      </c>
      <c r="E42" s="415" t="str">
        <f t="shared" si="1"/>
        <v/>
      </c>
      <c r="F42" s="416"/>
      <c r="G42" s="417"/>
      <c r="H42" s="409"/>
    </row>
    <row r="43" spans="1:8">
      <c r="A43" s="424"/>
      <c r="B43" s="425"/>
      <c r="C43" s="425"/>
      <c r="D43" s="414" t="str">
        <f t="shared" si="0"/>
        <v/>
      </c>
      <c r="E43" s="415" t="str">
        <f t="shared" si="1"/>
        <v/>
      </c>
      <c r="F43" s="426"/>
      <c r="G43" s="417"/>
      <c r="H43" s="409"/>
    </row>
    <row r="44" spans="1:8">
      <c r="A44" s="424"/>
      <c r="B44" s="425"/>
      <c r="C44" s="425"/>
      <c r="D44" s="414" t="str">
        <f t="shared" si="0"/>
        <v/>
      </c>
      <c r="E44" s="415" t="str">
        <f t="shared" si="1"/>
        <v/>
      </c>
      <c r="F44" s="426"/>
      <c r="G44" s="417"/>
      <c r="H44" s="409"/>
    </row>
    <row r="45" spans="1:8">
      <c r="A45" s="424"/>
      <c r="B45" s="425"/>
      <c r="C45" s="425"/>
      <c r="D45" s="414" t="str">
        <f t="shared" si="0"/>
        <v/>
      </c>
      <c r="E45" s="415" t="str">
        <f t="shared" si="1"/>
        <v/>
      </c>
      <c r="F45" s="427"/>
      <c r="G45" s="417"/>
      <c r="H45" s="409"/>
    </row>
    <row r="46" spans="1:8">
      <c r="A46" s="412"/>
      <c r="B46" s="413"/>
      <c r="C46" s="413"/>
      <c r="D46" s="414" t="str">
        <f t="shared" si="0"/>
        <v/>
      </c>
      <c r="E46" s="415" t="str">
        <f t="shared" si="1"/>
        <v/>
      </c>
      <c r="F46" s="416"/>
      <c r="G46" s="417"/>
      <c r="H46" s="409"/>
    </row>
    <row r="47" spans="1:8">
      <c r="A47" s="412"/>
      <c r="B47" s="413"/>
      <c r="C47" s="413"/>
      <c r="D47" s="414" t="str">
        <f t="shared" si="0"/>
        <v/>
      </c>
      <c r="E47" s="415" t="str">
        <f t="shared" si="1"/>
        <v/>
      </c>
      <c r="F47" s="416"/>
      <c r="G47" s="417"/>
      <c r="H47" s="409"/>
    </row>
    <row r="48" spans="1:8">
      <c r="A48" s="424"/>
      <c r="B48" s="425"/>
      <c r="C48" s="425"/>
      <c r="D48" s="414" t="str">
        <f>IF(((C48="")*AND(B48="")),"",(C48-B48))</f>
        <v/>
      </c>
      <c r="E48" s="415" t="str">
        <f>IF(D48="","",IF(D48&lt;60,"Pass","Fail"))</f>
        <v/>
      </c>
      <c r="F48" s="427"/>
      <c r="G48" s="417"/>
      <c r="H48" s="409"/>
    </row>
    <row r="49" spans="1:8">
      <c r="A49" s="424"/>
      <c r="B49" s="425"/>
      <c r="C49" s="425"/>
      <c r="D49" s="414" t="str">
        <f t="shared" si="0"/>
        <v/>
      </c>
      <c r="E49" s="415" t="str">
        <f t="shared" si="1"/>
        <v/>
      </c>
      <c r="F49" s="427"/>
      <c r="G49" s="417"/>
      <c r="H49" s="409"/>
    </row>
    <row r="50" spans="1:8">
      <c r="A50" s="412"/>
      <c r="B50" s="413"/>
      <c r="C50" s="413"/>
      <c r="D50" s="414" t="str">
        <f>IF(((C50="")*AND(B50="")),"",(C50-B50))</f>
        <v/>
      </c>
      <c r="E50" s="415" t="str">
        <f>IF(D50="","",IF(D50&lt;60,"Pass","Fail"))</f>
        <v/>
      </c>
      <c r="F50" s="416"/>
      <c r="G50" s="417"/>
      <c r="H50" s="409"/>
    </row>
    <row r="51" spans="1:8">
      <c r="A51" s="412"/>
      <c r="B51" s="413"/>
      <c r="C51" s="413"/>
      <c r="D51" s="414" t="str">
        <f>IF(((C51="")*AND(B51="")),"",(C51-B51))</f>
        <v/>
      </c>
      <c r="E51" s="415" t="str">
        <f>IF(D51="","",IF(D51&lt;60,"Pass","Fail"))</f>
        <v/>
      </c>
      <c r="F51" s="416"/>
      <c r="G51" s="417"/>
      <c r="H51" s="409"/>
    </row>
    <row r="52" spans="1:8">
      <c r="A52" s="412"/>
      <c r="B52" s="413"/>
      <c r="C52" s="413"/>
      <c r="D52" s="414" t="str">
        <f t="shared" ref="D52:D84" si="2">IF(((C52="")*AND(B52="")),"",(C52-B52))</f>
        <v/>
      </c>
      <c r="E52" s="415" t="str">
        <f t="shared" ref="E52:E84" si="3">IF(D52="","",IF(D52&lt;60,"Pass","Fail"))</f>
        <v/>
      </c>
      <c r="F52" s="416"/>
      <c r="G52" s="417"/>
      <c r="H52" s="409"/>
    </row>
    <row r="53" spans="1:8">
      <c r="A53" s="412"/>
      <c r="B53" s="413"/>
      <c r="C53" s="413"/>
      <c r="D53" s="414" t="str">
        <f t="shared" si="2"/>
        <v/>
      </c>
      <c r="E53" s="415" t="str">
        <f t="shared" si="3"/>
        <v/>
      </c>
      <c r="F53" s="416"/>
      <c r="G53" s="417"/>
      <c r="H53" s="409"/>
    </row>
    <row r="54" spans="1:8">
      <c r="A54" s="412"/>
      <c r="B54" s="413"/>
      <c r="C54" s="413"/>
      <c r="D54" s="414" t="str">
        <f t="shared" si="2"/>
        <v/>
      </c>
      <c r="E54" s="415" t="str">
        <f t="shared" si="3"/>
        <v/>
      </c>
      <c r="F54" s="416"/>
      <c r="G54" s="417"/>
      <c r="H54" s="409"/>
    </row>
    <row r="55" spans="1:8">
      <c r="A55" s="412"/>
      <c r="B55" s="413"/>
      <c r="C55" s="413"/>
      <c r="D55" s="414" t="str">
        <f t="shared" si="2"/>
        <v/>
      </c>
      <c r="E55" s="415" t="str">
        <f t="shared" si="3"/>
        <v/>
      </c>
      <c r="F55" s="416"/>
      <c r="G55" s="417"/>
      <c r="H55" s="409"/>
    </row>
    <row r="56" spans="1:8">
      <c r="A56" s="412"/>
      <c r="B56" s="413"/>
      <c r="C56" s="413"/>
      <c r="D56" s="414" t="str">
        <f t="shared" si="2"/>
        <v/>
      </c>
      <c r="E56" s="415" t="str">
        <f t="shared" si="3"/>
        <v/>
      </c>
      <c r="F56" s="416"/>
      <c r="G56" s="417"/>
      <c r="H56" s="409"/>
    </row>
    <row r="57" spans="1:8">
      <c r="A57" s="412"/>
      <c r="B57" s="413"/>
      <c r="C57" s="413"/>
      <c r="D57" s="414" t="str">
        <f t="shared" si="2"/>
        <v/>
      </c>
      <c r="E57" s="415" t="str">
        <f t="shared" si="3"/>
        <v/>
      </c>
      <c r="F57" s="416"/>
      <c r="G57" s="417"/>
      <c r="H57" s="409"/>
    </row>
    <row r="58" spans="1:8">
      <c r="A58" s="412"/>
      <c r="B58" s="413"/>
      <c r="C58" s="413"/>
      <c r="D58" s="414" t="str">
        <f t="shared" si="2"/>
        <v/>
      </c>
      <c r="E58" s="415" t="str">
        <f t="shared" si="3"/>
        <v/>
      </c>
      <c r="F58" s="416"/>
      <c r="G58" s="417"/>
      <c r="H58" s="409"/>
    </row>
    <row r="59" spans="1:8">
      <c r="A59" s="412"/>
      <c r="B59" s="413"/>
      <c r="C59" s="413"/>
      <c r="D59" s="414" t="str">
        <f t="shared" si="2"/>
        <v/>
      </c>
      <c r="E59" s="415" t="str">
        <f t="shared" si="3"/>
        <v/>
      </c>
      <c r="F59" s="416"/>
      <c r="G59" s="417"/>
      <c r="H59" s="409"/>
    </row>
    <row r="60" spans="1:8">
      <c r="A60" s="428"/>
      <c r="B60" s="425"/>
      <c r="C60" s="425"/>
      <c r="D60" s="414" t="str">
        <f t="shared" si="2"/>
        <v/>
      </c>
      <c r="E60" s="415" t="str">
        <f t="shared" si="3"/>
        <v/>
      </c>
      <c r="F60" s="427"/>
      <c r="G60" s="429"/>
      <c r="H60" s="409"/>
    </row>
    <row r="61" spans="1:8">
      <c r="A61" s="428"/>
      <c r="B61" s="425"/>
      <c r="C61" s="425"/>
      <c r="D61" s="414" t="str">
        <f t="shared" si="2"/>
        <v/>
      </c>
      <c r="E61" s="415" t="str">
        <f t="shared" si="3"/>
        <v/>
      </c>
      <c r="F61" s="427"/>
      <c r="G61" s="429"/>
      <c r="H61" s="409"/>
    </row>
    <row r="62" spans="1:8">
      <c r="A62" s="430"/>
      <c r="B62" s="413"/>
      <c r="C62" s="413"/>
      <c r="D62" s="414" t="str">
        <f t="shared" si="2"/>
        <v/>
      </c>
      <c r="E62" s="415" t="str">
        <f t="shared" si="3"/>
        <v/>
      </c>
      <c r="F62" s="416"/>
      <c r="G62" s="417"/>
      <c r="H62" s="409"/>
    </row>
    <row r="63" spans="1:8">
      <c r="A63" s="430"/>
      <c r="B63" s="413"/>
      <c r="C63" s="413"/>
      <c r="D63" s="414" t="str">
        <f t="shared" si="2"/>
        <v/>
      </c>
      <c r="E63" s="415" t="str">
        <f t="shared" si="3"/>
        <v/>
      </c>
      <c r="F63" s="416"/>
      <c r="G63" s="417"/>
      <c r="H63" s="409"/>
    </row>
    <row r="64" spans="1:8">
      <c r="A64" s="430"/>
      <c r="B64" s="413"/>
      <c r="C64" s="413"/>
      <c r="D64" s="431" t="str">
        <f t="shared" si="2"/>
        <v/>
      </c>
      <c r="E64" s="432" t="str">
        <f t="shared" si="3"/>
        <v/>
      </c>
      <c r="F64" s="416"/>
      <c r="G64" s="417"/>
      <c r="H64" s="409"/>
    </row>
    <row r="65" spans="1:8">
      <c r="A65" s="430"/>
      <c r="B65" s="413"/>
      <c r="C65" s="413"/>
      <c r="D65" s="414" t="str">
        <f t="shared" si="2"/>
        <v/>
      </c>
      <c r="E65" s="415" t="str">
        <f t="shared" si="3"/>
        <v/>
      </c>
      <c r="F65" s="416"/>
      <c r="G65" s="417"/>
      <c r="H65" s="409"/>
    </row>
    <row r="66" spans="1:8">
      <c r="A66" s="430"/>
      <c r="B66" s="413"/>
      <c r="C66" s="413"/>
      <c r="D66" s="414" t="str">
        <f t="shared" si="2"/>
        <v/>
      </c>
      <c r="E66" s="415" t="str">
        <f t="shared" si="3"/>
        <v/>
      </c>
      <c r="F66" s="416"/>
      <c r="G66" s="417"/>
      <c r="H66" s="409"/>
    </row>
    <row r="67" spans="1:8">
      <c r="A67" s="430"/>
      <c r="B67" s="413"/>
      <c r="C67" s="413"/>
      <c r="D67" s="414" t="str">
        <f t="shared" si="2"/>
        <v/>
      </c>
      <c r="E67" s="415" t="str">
        <f t="shared" si="3"/>
        <v/>
      </c>
      <c r="F67" s="416"/>
      <c r="G67" s="417"/>
      <c r="H67" s="409"/>
    </row>
    <row r="68" spans="1:8">
      <c r="A68" s="430"/>
      <c r="B68" s="413"/>
      <c r="C68" s="413"/>
      <c r="D68" s="414" t="str">
        <f t="shared" si="2"/>
        <v/>
      </c>
      <c r="E68" s="415" t="str">
        <f t="shared" si="3"/>
        <v/>
      </c>
      <c r="F68" s="416"/>
      <c r="G68" s="417"/>
      <c r="H68" s="409"/>
    </row>
    <row r="69" spans="1:8">
      <c r="A69" s="430"/>
      <c r="B69" s="413"/>
      <c r="C69" s="413"/>
      <c r="D69" s="414" t="str">
        <f t="shared" si="2"/>
        <v/>
      </c>
      <c r="E69" s="415" t="str">
        <f t="shared" si="3"/>
        <v/>
      </c>
      <c r="F69" s="416"/>
      <c r="G69" s="417"/>
      <c r="H69" s="409"/>
    </row>
    <row r="70" spans="1:8">
      <c r="A70" s="430"/>
      <c r="B70" s="413"/>
      <c r="C70" s="413"/>
      <c r="D70" s="414" t="str">
        <f t="shared" si="2"/>
        <v/>
      </c>
      <c r="E70" s="415" t="str">
        <f t="shared" si="3"/>
        <v/>
      </c>
      <c r="F70" s="416"/>
      <c r="G70" s="417"/>
      <c r="H70" s="409"/>
    </row>
    <row r="71" spans="1:8">
      <c r="A71" s="430"/>
      <c r="B71" s="413"/>
      <c r="C71" s="413"/>
      <c r="D71" s="414" t="str">
        <f t="shared" si="2"/>
        <v/>
      </c>
      <c r="E71" s="415" t="str">
        <f t="shared" si="3"/>
        <v/>
      </c>
      <c r="F71" s="416"/>
      <c r="G71" s="417"/>
      <c r="H71" s="409"/>
    </row>
    <row r="72" spans="1:8">
      <c r="A72" s="412"/>
      <c r="B72" s="413"/>
      <c r="C72" s="413"/>
      <c r="D72" s="414" t="str">
        <f t="shared" si="2"/>
        <v/>
      </c>
      <c r="E72" s="415" t="str">
        <f t="shared" si="3"/>
        <v/>
      </c>
      <c r="F72" s="416"/>
      <c r="G72" s="417"/>
      <c r="H72" s="409"/>
    </row>
    <row r="73" spans="1:8">
      <c r="A73" s="412"/>
      <c r="B73" s="413"/>
      <c r="C73" s="413"/>
      <c r="D73" s="414" t="str">
        <f t="shared" si="2"/>
        <v/>
      </c>
      <c r="E73" s="415" t="str">
        <f t="shared" si="3"/>
        <v/>
      </c>
      <c r="F73" s="416"/>
      <c r="G73" s="417"/>
      <c r="H73" s="409"/>
    </row>
    <row r="74" spans="1:8">
      <c r="A74" s="412"/>
      <c r="B74" s="419"/>
      <c r="C74" s="419"/>
      <c r="D74" s="414" t="str">
        <f t="shared" si="2"/>
        <v/>
      </c>
      <c r="E74" s="415" t="str">
        <f t="shared" si="3"/>
        <v/>
      </c>
      <c r="F74" s="433"/>
      <c r="G74" s="434"/>
      <c r="H74" s="409"/>
    </row>
    <row r="75" spans="1:8">
      <c r="A75" s="412"/>
      <c r="B75" s="413"/>
      <c r="C75" s="422"/>
      <c r="D75" s="414" t="str">
        <f t="shared" si="2"/>
        <v/>
      </c>
      <c r="E75" s="415" t="str">
        <f t="shared" si="3"/>
        <v/>
      </c>
      <c r="F75" s="416"/>
      <c r="G75" s="434"/>
      <c r="H75" s="409"/>
    </row>
    <row r="76" spans="1:8">
      <c r="A76" s="412"/>
      <c r="B76" s="419"/>
      <c r="C76" s="419"/>
      <c r="D76" s="414" t="str">
        <f t="shared" si="2"/>
        <v/>
      </c>
      <c r="E76" s="415" t="str">
        <f t="shared" si="3"/>
        <v/>
      </c>
      <c r="F76" s="433"/>
      <c r="G76" s="435"/>
      <c r="H76" s="409"/>
    </row>
    <row r="77" spans="1:8">
      <c r="A77" s="412"/>
      <c r="B77" s="419"/>
      <c r="C77" s="419"/>
      <c r="D77" s="414" t="str">
        <f t="shared" si="2"/>
        <v/>
      </c>
      <c r="E77" s="415" t="str">
        <f t="shared" si="3"/>
        <v/>
      </c>
      <c r="F77" s="433"/>
      <c r="G77" s="435"/>
      <c r="H77" s="409"/>
    </row>
    <row r="78" spans="1:8">
      <c r="A78" s="412"/>
      <c r="B78" s="419"/>
      <c r="C78" s="419"/>
      <c r="D78" s="414" t="str">
        <f t="shared" si="2"/>
        <v/>
      </c>
      <c r="E78" s="415" t="str">
        <f t="shared" si="3"/>
        <v/>
      </c>
      <c r="F78" s="433"/>
      <c r="G78" s="435"/>
      <c r="H78" s="409"/>
    </row>
    <row r="79" spans="1:8">
      <c r="A79" s="412"/>
      <c r="B79" s="419"/>
      <c r="C79" s="419"/>
      <c r="D79" s="414" t="str">
        <f t="shared" si="2"/>
        <v/>
      </c>
      <c r="E79" s="415" t="str">
        <f t="shared" si="3"/>
        <v/>
      </c>
      <c r="F79" s="433"/>
      <c r="G79" s="435"/>
      <c r="H79" s="409"/>
    </row>
    <row r="80" spans="1:8">
      <c r="A80" s="412"/>
      <c r="B80" s="419"/>
      <c r="C80" s="419"/>
      <c r="D80" s="414" t="str">
        <f t="shared" si="2"/>
        <v/>
      </c>
      <c r="E80" s="415" t="str">
        <f t="shared" si="3"/>
        <v/>
      </c>
      <c r="F80" s="433"/>
      <c r="G80" s="435"/>
      <c r="H80" s="409"/>
    </row>
    <row r="81" spans="1:8">
      <c r="A81" s="412"/>
      <c r="B81" s="419"/>
      <c r="C81" s="419"/>
      <c r="D81" s="414" t="str">
        <f t="shared" si="2"/>
        <v/>
      </c>
      <c r="E81" s="415" t="str">
        <f t="shared" si="3"/>
        <v/>
      </c>
      <c r="F81" s="433"/>
      <c r="G81" s="435"/>
      <c r="H81" s="409"/>
    </row>
    <row r="82" spans="1:8">
      <c r="A82" s="412"/>
      <c r="B82" s="419"/>
      <c r="C82" s="419"/>
      <c r="D82" s="414" t="str">
        <f t="shared" si="2"/>
        <v/>
      </c>
      <c r="E82" s="415" t="str">
        <f t="shared" si="3"/>
        <v/>
      </c>
      <c r="F82" s="433"/>
      <c r="G82" s="435"/>
      <c r="H82" s="409"/>
    </row>
    <row r="83" spans="1:8">
      <c r="A83" s="412"/>
      <c r="B83" s="419"/>
      <c r="C83" s="419"/>
      <c r="D83" s="414" t="str">
        <f t="shared" si="2"/>
        <v/>
      </c>
      <c r="E83" s="415" t="str">
        <f t="shared" si="3"/>
        <v/>
      </c>
      <c r="F83" s="433"/>
      <c r="G83" s="435"/>
      <c r="H83" s="409"/>
    </row>
    <row r="84" spans="1:8">
      <c r="A84" s="412"/>
      <c r="B84" s="419"/>
      <c r="C84" s="419"/>
      <c r="D84" s="414" t="str">
        <f t="shared" si="2"/>
        <v/>
      </c>
      <c r="E84" s="415" t="str">
        <f t="shared" si="3"/>
        <v/>
      </c>
      <c r="F84" s="433"/>
      <c r="G84" s="435"/>
      <c r="H84" s="409"/>
    </row>
    <row r="85" spans="1:8">
      <c r="A85" s="412"/>
      <c r="B85" s="419"/>
      <c r="C85" s="419"/>
      <c r="D85" s="419"/>
      <c r="E85" s="420"/>
      <c r="F85" s="433"/>
      <c r="G85" s="435"/>
      <c r="H85" s="409"/>
    </row>
    <row r="86" spans="1:8">
      <c r="A86" s="412"/>
      <c r="B86" s="419"/>
      <c r="C86" s="419"/>
      <c r="D86" s="419"/>
      <c r="E86" s="420"/>
      <c r="F86" s="433"/>
      <c r="G86" s="435"/>
      <c r="H86" s="409"/>
    </row>
    <row r="87" spans="1:8">
      <c r="A87" s="412"/>
      <c r="B87" s="419"/>
      <c r="C87" s="419"/>
      <c r="D87" s="419"/>
      <c r="E87" s="420"/>
      <c r="F87" s="433"/>
      <c r="G87" s="435"/>
      <c r="H87" s="409"/>
    </row>
    <row r="88" spans="1:8">
      <c r="A88" s="412"/>
      <c r="B88" s="419"/>
      <c r="C88" s="419"/>
      <c r="D88" s="419"/>
      <c r="E88" s="420"/>
      <c r="F88" s="433"/>
      <c r="G88" s="435"/>
      <c r="H88" s="409"/>
    </row>
    <row r="89" spans="1:8">
      <c r="A89" s="412"/>
      <c r="B89" s="419"/>
      <c r="C89" s="419"/>
      <c r="D89" s="419"/>
      <c r="E89" s="420"/>
      <c r="F89" s="433"/>
      <c r="G89" s="435"/>
      <c r="H89" s="409"/>
    </row>
    <row r="90" spans="1:8">
      <c r="A90" s="412"/>
      <c r="B90" s="419"/>
      <c r="C90" s="419"/>
      <c r="D90" s="419"/>
      <c r="E90" s="420"/>
      <c r="F90" s="433"/>
      <c r="G90" s="435"/>
      <c r="H90" s="409"/>
    </row>
    <row r="91" spans="1:8">
      <c r="A91" s="412"/>
      <c r="B91" s="419"/>
      <c r="C91" s="419"/>
      <c r="D91" s="419"/>
      <c r="E91" s="420"/>
      <c r="F91" s="433"/>
      <c r="G91" s="435"/>
      <c r="H91" s="409"/>
    </row>
    <row r="92" spans="1:8">
      <c r="A92" s="412"/>
      <c r="B92" s="419"/>
      <c r="C92" s="419"/>
      <c r="D92" s="419"/>
      <c r="E92" s="420"/>
      <c r="F92" s="433"/>
      <c r="G92" s="435"/>
      <c r="H92" s="409"/>
    </row>
    <row r="93" spans="1:8">
      <c r="A93" s="412"/>
      <c r="B93" s="419"/>
      <c r="C93" s="419"/>
      <c r="D93" s="419"/>
      <c r="E93" s="420"/>
      <c r="F93" s="433"/>
      <c r="G93" s="435"/>
      <c r="H93" s="409"/>
    </row>
    <row r="94" spans="1:8">
      <c r="A94" s="412"/>
      <c r="B94" s="419"/>
      <c r="C94" s="419"/>
      <c r="D94" s="419"/>
      <c r="E94" s="420"/>
      <c r="F94" s="433"/>
      <c r="G94" s="435"/>
      <c r="H94" s="409"/>
    </row>
    <row r="95" spans="1:8">
      <c r="A95" s="412"/>
      <c r="B95" s="419"/>
      <c r="C95" s="419"/>
      <c r="D95" s="419"/>
      <c r="E95" s="420"/>
      <c r="F95" s="433"/>
      <c r="G95" s="435"/>
      <c r="H95" s="409"/>
    </row>
    <row r="96" spans="1:8">
      <c r="A96" s="412"/>
      <c r="B96" s="419"/>
      <c r="C96" s="419"/>
      <c r="D96" s="419"/>
      <c r="E96" s="420"/>
      <c r="F96" s="433"/>
      <c r="G96" s="435"/>
      <c r="H96" s="409"/>
    </row>
    <row r="97" spans="1:8">
      <c r="A97" s="412"/>
      <c r="B97" s="419"/>
      <c r="C97" s="419"/>
      <c r="D97" s="419"/>
      <c r="E97" s="420"/>
      <c r="F97" s="433"/>
      <c r="G97" s="435"/>
      <c r="H97" s="409"/>
    </row>
    <row r="98" spans="1:8">
      <c r="A98" s="412"/>
      <c r="B98" s="419"/>
      <c r="C98" s="419"/>
      <c r="D98" s="419"/>
      <c r="E98" s="420"/>
      <c r="F98" s="433"/>
      <c r="G98" s="435"/>
      <c r="H98" s="409"/>
    </row>
    <row r="99" spans="1:8">
      <c r="A99" s="412"/>
      <c r="B99" s="419"/>
      <c r="C99" s="419"/>
      <c r="D99" s="419"/>
      <c r="E99" s="420"/>
      <c r="F99" s="433"/>
      <c r="G99" s="435"/>
      <c r="H99" s="409"/>
    </row>
    <row r="100" spans="1:8">
      <c r="A100" s="412"/>
      <c r="B100" s="419"/>
      <c r="C100" s="419"/>
      <c r="D100" s="419"/>
      <c r="E100" s="420"/>
      <c r="F100" s="433"/>
      <c r="G100" s="435"/>
      <c r="H100" s="409"/>
    </row>
    <row r="101" spans="1:8">
      <c r="A101" s="412"/>
      <c r="B101" s="419"/>
      <c r="C101" s="419"/>
      <c r="D101" s="419"/>
      <c r="E101" s="420"/>
      <c r="F101" s="433"/>
      <c r="G101" s="435"/>
      <c r="H101" s="409"/>
    </row>
    <row r="102" spans="1:8">
      <c r="A102" s="412"/>
      <c r="B102" s="419"/>
      <c r="C102" s="419"/>
      <c r="D102" s="419"/>
      <c r="E102" s="420"/>
      <c r="F102" s="433"/>
      <c r="G102" s="435"/>
      <c r="H102" s="409"/>
    </row>
    <row r="103" spans="1:8">
      <c r="A103" s="412"/>
      <c r="B103" s="419"/>
      <c r="C103" s="419"/>
      <c r="D103" s="419"/>
      <c r="E103" s="420"/>
      <c r="F103" s="433"/>
      <c r="G103" s="435"/>
      <c r="H103" s="409"/>
    </row>
    <row r="104" spans="1:8">
      <c r="A104" s="412"/>
      <c r="B104" s="419"/>
      <c r="C104" s="419"/>
      <c r="D104" s="419"/>
      <c r="E104" s="420"/>
      <c r="F104" s="433"/>
      <c r="G104" s="435"/>
      <c r="H104" s="409"/>
    </row>
    <row r="105" spans="1:8">
      <c r="A105" s="412"/>
      <c r="B105" s="419"/>
      <c r="C105" s="419"/>
      <c r="D105" s="419"/>
      <c r="E105" s="420"/>
      <c r="F105" s="433"/>
      <c r="G105" s="435"/>
      <c r="H105" s="409"/>
    </row>
    <row r="106" spans="1:8">
      <c r="A106" s="412"/>
      <c r="B106" s="419"/>
      <c r="C106" s="419"/>
      <c r="D106" s="419"/>
      <c r="E106" s="420"/>
      <c r="F106" s="433"/>
      <c r="G106" s="435"/>
      <c r="H106" s="409"/>
    </row>
    <row r="107" spans="1:8">
      <c r="A107" s="412"/>
      <c r="B107" s="419"/>
      <c r="C107" s="419"/>
      <c r="D107" s="419"/>
      <c r="E107" s="420"/>
      <c r="F107" s="433"/>
      <c r="G107" s="435"/>
      <c r="H107" s="409"/>
    </row>
    <row r="108" spans="1:8">
      <c r="A108" s="412"/>
      <c r="B108" s="419"/>
      <c r="C108" s="419"/>
      <c r="D108" s="419"/>
      <c r="E108" s="420"/>
      <c r="F108" s="433"/>
      <c r="G108" s="435"/>
      <c r="H108" s="409"/>
    </row>
    <row r="109" spans="1:8">
      <c r="A109" s="412"/>
      <c r="B109" s="419"/>
      <c r="C109" s="419"/>
      <c r="D109" s="419"/>
      <c r="E109" s="420"/>
      <c r="F109" s="433"/>
      <c r="G109" s="435"/>
      <c r="H109" s="409"/>
    </row>
    <row r="110" spans="1:8">
      <c r="A110" s="412"/>
      <c r="B110" s="419"/>
      <c r="C110" s="419"/>
      <c r="D110" s="419"/>
      <c r="E110" s="420"/>
      <c r="F110" s="433"/>
      <c r="G110" s="435"/>
      <c r="H110" s="409"/>
    </row>
    <row r="111" spans="1:8">
      <c r="A111" s="412"/>
      <c r="B111" s="419"/>
      <c r="C111" s="419"/>
      <c r="D111" s="419"/>
      <c r="E111" s="420"/>
      <c r="F111" s="433"/>
      <c r="G111" s="435"/>
      <c r="H111" s="409"/>
    </row>
    <row r="112" spans="1:8">
      <c r="A112" s="412"/>
      <c r="B112" s="413"/>
      <c r="C112" s="413"/>
      <c r="D112" s="413"/>
      <c r="E112" s="415"/>
      <c r="F112" s="433"/>
      <c r="G112" s="435"/>
      <c r="H112" s="409"/>
    </row>
    <row r="113" spans="1:8">
      <c r="A113" s="412"/>
      <c r="B113" s="413"/>
      <c r="C113" s="413"/>
      <c r="D113" s="413"/>
      <c r="E113" s="415"/>
      <c r="F113" s="433"/>
      <c r="G113" s="435"/>
      <c r="H113" s="409"/>
    </row>
    <row r="114" spans="1:8">
      <c r="A114" s="412"/>
      <c r="B114" s="413"/>
      <c r="C114" s="413"/>
      <c r="D114" s="413"/>
      <c r="E114" s="415"/>
      <c r="F114" s="433"/>
      <c r="G114" s="435"/>
      <c r="H114" s="409"/>
    </row>
    <row r="115" spans="1:8">
      <c r="A115" s="412"/>
      <c r="B115" s="413"/>
      <c r="C115" s="413"/>
      <c r="D115" s="413"/>
      <c r="E115" s="415"/>
      <c r="F115" s="433"/>
      <c r="G115" s="435"/>
      <c r="H115" s="409"/>
    </row>
    <row r="116" spans="1:8">
      <c r="A116" s="412"/>
      <c r="B116" s="413"/>
      <c r="C116" s="413"/>
      <c r="D116" s="413"/>
      <c r="E116" s="415"/>
      <c r="F116" s="433"/>
      <c r="G116" s="435"/>
      <c r="H116" s="409"/>
    </row>
    <row r="117" spans="1:8">
      <c r="A117" s="412"/>
      <c r="B117" s="413"/>
      <c r="C117" s="413"/>
      <c r="D117" s="413"/>
      <c r="E117" s="415"/>
      <c r="F117" s="433"/>
      <c r="G117" s="435"/>
      <c r="H117" s="409"/>
    </row>
    <row r="118" spans="1:8">
      <c r="A118" s="412"/>
      <c r="B118" s="413"/>
      <c r="C118" s="413"/>
      <c r="D118" s="413"/>
      <c r="E118" s="415"/>
      <c r="F118" s="436"/>
      <c r="G118" s="435"/>
      <c r="H118" s="409"/>
    </row>
    <row r="119" spans="1:8">
      <c r="A119" s="412"/>
      <c r="B119" s="413"/>
      <c r="C119" s="413"/>
      <c r="D119" s="413"/>
      <c r="E119" s="415"/>
      <c r="F119" s="436"/>
      <c r="G119" s="435"/>
      <c r="H119" s="409"/>
    </row>
    <row r="120" spans="1:8">
      <c r="A120" s="412"/>
      <c r="B120" s="413"/>
      <c r="C120" s="413"/>
      <c r="D120" s="413"/>
      <c r="E120" s="415"/>
      <c r="F120" s="436"/>
      <c r="G120" s="435"/>
      <c r="H120" s="409"/>
    </row>
    <row r="121" spans="1:8">
      <c r="A121" s="412"/>
      <c r="B121" s="413"/>
      <c r="C121" s="413"/>
      <c r="D121" s="413"/>
      <c r="E121" s="415"/>
      <c r="F121" s="436"/>
      <c r="G121" s="435"/>
      <c r="H121" s="409"/>
    </row>
    <row r="122" spans="1:8">
      <c r="A122" s="412"/>
      <c r="B122" s="413"/>
      <c r="C122" s="413"/>
      <c r="D122" s="413"/>
      <c r="E122" s="415"/>
      <c r="F122" s="436"/>
      <c r="G122" s="435"/>
      <c r="H122" s="409"/>
    </row>
    <row r="123" spans="1:8">
      <c r="A123" s="412"/>
      <c r="B123" s="413"/>
      <c r="C123" s="413"/>
      <c r="D123" s="413"/>
      <c r="E123" s="415"/>
      <c r="F123" s="436"/>
      <c r="G123" s="435"/>
      <c r="H123" s="409"/>
    </row>
    <row r="124" spans="1:8">
      <c r="A124" s="412"/>
      <c r="B124" s="422"/>
      <c r="C124" s="422"/>
      <c r="D124" s="422"/>
      <c r="E124" s="415"/>
      <c r="F124" s="437"/>
      <c r="G124" s="435"/>
      <c r="H124" s="409"/>
    </row>
    <row r="125" spans="1:8">
      <c r="A125" s="412"/>
      <c r="B125" s="422"/>
      <c r="C125" s="422"/>
      <c r="D125" s="422"/>
      <c r="E125" s="415"/>
      <c r="F125" s="437"/>
      <c r="G125" s="435"/>
      <c r="H125" s="409"/>
    </row>
    <row r="126" spans="1:8">
      <c r="A126" s="412"/>
      <c r="B126" s="422"/>
      <c r="C126" s="422"/>
      <c r="D126" s="422"/>
      <c r="E126" s="415"/>
      <c r="F126" s="437"/>
      <c r="G126" s="435"/>
      <c r="H126" s="409"/>
    </row>
    <row r="127" spans="1:8">
      <c r="A127" s="412"/>
      <c r="B127" s="422"/>
      <c r="C127" s="422"/>
      <c r="D127" s="422"/>
      <c r="E127" s="415"/>
      <c r="F127" s="437"/>
      <c r="G127" s="435"/>
      <c r="H127" s="409"/>
    </row>
    <row r="128" spans="1:8">
      <c r="A128" s="412"/>
      <c r="B128" s="422"/>
      <c r="C128" s="422"/>
      <c r="D128" s="422"/>
      <c r="E128" s="415"/>
      <c r="F128" s="437"/>
      <c r="G128" s="435"/>
      <c r="H128" s="409"/>
    </row>
    <row r="129" spans="1:8">
      <c r="A129" s="412"/>
      <c r="B129" s="422"/>
      <c r="C129" s="422"/>
      <c r="D129" s="422"/>
      <c r="E129" s="415"/>
      <c r="F129" s="437"/>
      <c r="G129" s="435"/>
      <c r="H129" s="409"/>
    </row>
    <row r="130" spans="1:8">
      <c r="A130" s="412"/>
      <c r="B130" s="422"/>
      <c r="C130" s="422"/>
      <c r="D130" s="422"/>
      <c r="E130" s="415"/>
      <c r="F130" s="437"/>
      <c r="G130" s="435"/>
      <c r="H130" s="409"/>
    </row>
    <row r="131" spans="1:8">
      <c r="A131" s="412"/>
      <c r="B131" s="422"/>
      <c r="C131" s="422"/>
      <c r="D131" s="422"/>
      <c r="E131" s="415"/>
      <c r="F131" s="437"/>
      <c r="G131" s="435"/>
      <c r="H131" s="409"/>
    </row>
    <row r="132" spans="1:8">
      <c r="A132" s="412"/>
      <c r="B132" s="422"/>
      <c r="C132" s="422"/>
      <c r="D132" s="422"/>
      <c r="E132" s="415"/>
      <c r="F132" s="437"/>
      <c r="G132" s="435"/>
      <c r="H132" s="409"/>
    </row>
    <row r="133" spans="1:8">
      <c r="A133" s="412"/>
      <c r="B133" s="422"/>
      <c r="C133" s="422"/>
      <c r="D133" s="422"/>
      <c r="E133" s="415"/>
      <c r="F133" s="437"/>
      <c r="G133" s="435"/>
      <c r="H133" s="409"/>
    </row>
    <row r="134" spans="1:8">
      <c r="A134" s="412"/>
      <c r="B134" s="422"/>
      <c r="C134" s="422"/>
      <c r="D134" s="422"/>
      <c r="E134" s="415"/>
      <c r="F134" s="437"/>
      <c r="G134" s="435"/>
      <c r="H134" s="409"/>
    </row>
    <row r="135" spans="1:8">
      <c r="A135" s="412"/>
      <c r="B135" s="422"/>
      <c r="C135" s="422"/>
      <c r="D135" s="422"/>
      <c r="E135" s="415"/>
      <c r="F135" s="437"/>
      <c r="G135" s="435"/>
      <c r="H135" s="409"/>
    </row>
    <row r="136" spans="1:8">
      <c r="A136" s="412"/>
      <c r="B136" s="422"/>
      <c r="C136" s="422"/>
      <c r="D136" s="422"/>
      <c r="E136" s="415"/>
      <c r="F136" s="437"/>
      <c r="G136" s="435"/>
      <c r="H136" s="409"/>
    </row>
    <row r="137" spans="1:8">
      <c r="A137" s="412"/>
      <c r="B137" s="422"/>
      <c r="C137" s="422"/>
      <c r="D137" s="422"/>
      <c r="E137" s="415"/>
      <c r="F137" s="437"/>
      <c r="G137" s="435"/>
      <c r="H137" s="409"/>
    </row>
    <row r="138" spans="1:8">
      <c r="A138" s="412"/>
      <c r="B138" s="422"/>
      <c r="C138" s="422"/>
      <c r="D138" s="422"/>
      <c r="E138" s="415"/>
      <c r="F138" s="437"/>
      <c r="G138" s="435"/>
      <c r="H138" s="409"/>
    </row>
    <row r="139" spans="1:8">
      <c r="A139" s="412"/>
      <c r="B139" s="422"/>
      <c r="C139" s="422"/>
      <c r="D139" s="422"/>
      <c r="E139" s="415"/>
      <c r="F139" s="437"/>
      <c r="G139" s="435"/>
      <c r="H139" s="409"/>
    </row>
    <row r="140" spans="1:8">
      <c r="A140" s="412"/>
      <c r="B140" s="422"/>
      <c r="C140" s="422"/>
      <c r="D140" s="422"/>
      <c r="E140" s="415"/>
      <c r="F140" s="437"/>
      <c r="G140" s="435"/>
      <c r="H140" s="409"/>
    </row>
    <row r="141" spans="1:8">
      <c r="A141" s="412"/>
      <c r="B141" s="422"/>
      <c r="C141" s="422"/>
      <c r="D141" s="422"/>
      <c r="E141" s="415"/>
      <c r="F141" s="437"/>
      <c r="G141" s="435"/>
      <c r="H141" s="409"/>
    </row>
    <row r="142" spans="1:8">
      <c r="A142" s="412"/>
      <c r="B142" s="422"/>
      <c r="C142" s="422"/>
      <c r="D142" s="422"/>
      <c r="E142" s="415"/>
      <c r="F142" s="437"/>
      <c r="G142" s="435"/>
      <c r="H142" s="409"/>
    </row>
    <row r="143" spans="1:8">
      <c r="A143" s="412"/>
      <c r="B143" s="422"/>
      <c r="C143" s="422"/>
      <c r="D143" s="422"/>
      <c r="E143" s="415"/>
      <c r="F143" s="437"/>
      <c r="G143" s="435"/>
      <c r="H143" s="409"/>
    </row>
    <row r="144" spans="1:8">
      <c r="A144" s="412"/>
      <c r="B144" s="422"/>
      <c r="C144" s="422"/>
      <c r="D144" s="422"/>
      <c r="E144" s="415"/>
      <c r="F144" s="437"/>
      <c r="G144" s="435"/>
      <c r="H144" s="409"/>
    </row>
    <row r="145" spans="1:8">
      <c r="A145" s="412"/>
      <c r="B145" s="422"/>
      <c r="C145" s="422"/>
      <c r="D145" s="422"/>
      <c r="E145" s="415"/>
      <c r="F145" s="437"/>
      <c r="G145" s="435"/>
      <c r="H145" s="409"/>
    </row>
    <row r="146" spans="1:8">
      <c r="A146" s="412"/>
      <c r="B146" s="422"/>
      <c r="C146" s="422"/>
      <c r="D146" s="422"/>
      <c r="E146" s="415"/>
      <c r="F146" s="437"/>
      <c r="G146" s="435"/>
      <c r="H146" s="409"/>
    </row>
    <row r="147" spans="1:8">
      <c r="A147" s="412"/>
      <c r="B147" s="422"/>
      <c r="C147" s="422"/>
      <c r="D147" s="422"/>
      <c r="E147" s="415"/>
      <c r="F147" s="437"/>
      <c r="G147" s="435"/>
      <c r="H147" s="409"/>
    </row>
    <row r="148" spans="1:8">
      <c r="A148" s="412"/>
      <c r="B148" s="422"/>
      <c r="C148" s="422"/>
      <c r="D148" s="422"/>
      <c r="E148" s="415"/>
      <c r="F148" s="437"/>
      <c r="G148" s="435"/>
      <c r="H148" s="409"/>
    </row>
    <row r="149" spans="1:8">
      <c r="A149" s="412"/>
      <c r="B149" s="422"/>
      <c r="C149" s="422"/>
      <c r="D149" s="422"/>
      <c r="E149" s="415"/>
      <c r="F149" s="437"/>
      <c r="G149" s="435"/>
      <c r="H149" s="409"/>
    </row>
    <row r="150" spans="1:8">
      <c r="A150" s="412"/>
      <c r="B150" s="422"/>
      <c r="C150" s="422"/>
      <c r="D150" s="431"/>
      <c r="E150" s="415"/>
      <c r="F150" s="437"/>
      <c r="G150" s="435"/>
      <c r="H150" s="409"/>
    </row>
    <row r="151" spans="1:8">
      <c r="A151" s="412"/>
      <c r="B151" s="422"/>
      <c r="C151" s="422"/>
      <c r="D151" s="431"/>
      <c r="E151" s="415"/>
      <c r="F151" s="437"/>
      <c r="G151" s="435"/>
      <c r="H151" s="409"/>
    </row>
    <row r="152" spans="1:8">
      <c r="A152" s="438"/>
      <c r="B152" s="439"/>
      <c r="C152" s="439"/>
      <c r="D152" s="431"/>
      <c r="E152" s="440"/>
      <c r="F152" s="441"/>
      <c r="G152" s="435"/>
      <c r="H152" s="409"/>
    </row>
    <row r="153" spans="1:8">
      <c r="A153" s="412"/>
      <c r="B153" s="422"/>
      <c r="C153" s="422"/>
      <c r="D153" s="414"/>
      <c r="E153" s="415"/>
      <c r="F153" s="437"/>
      <c r="G153" s="435"/>
      <c r="H153" s="409"/>
    </row>
    <row r="154" spans="1:8">
      <c r="A154" s="412"/>
      <c r="B154" s="422"/>
      <c r="C154" s="422"/>
      <c r="D154" s="414"/>
      <c r="E154" s="415"/>
      <c r="F154" s="437"/>
      <c r="G154" s="435"/>
      <c r="H154" s="409"/>
    </row>
    <row r="155" spans="1:8">
      <c r="A155" s="412"/>
      <c r="B155" s="422"/>
      <c r="C155" s="422"/>
      <c r="D155" s="414"/>
      <c r="E155" s="415"/>
      <c r="F155" s="437"/>
      <c r="G155" s="435"/>
      <c r="H155" s="409"/>
    </row>
    <row r="156" spans="1:8">
      <c r="A156" s="412"/>
      <c r="B156" s="422"/>
      <c r="C156" s="422"/>
      <c r="D156" s="414"/>
      <c r="E156" s="415"/>
      <c r="F156" s="437"/>
      <c r="G156" s="435"/>
      <c r="H156" s="409"/>
    </row>
    <row r="157" spans="1:8">
      <c r="A157" s="412"/>
      <c r="B157" s="422"/>
      <c r="C157" s="422"/>
      <c r="D157" s="414"/>
      <c r="E157" s="415"/>
      <c r="F157" s="437"/>
      <c r="G157" s="435"/>
      <c r="H157" s="409"/>
    </row>
    <row r="158" spans="1:8">
      <c r="A158" s="412"/>
      <c r="B158" s="422"/>
      <c r="C158" s="422"/>
      <c r="D158" s="414"/>
      <c r="E158" s="415"/>
      <c r="F158" s="437"/>
      <c r="G158" s="435"/>
      <c r="H158" s="409"/>
    </row>
    <row r="159" spans="1:8">
      <c r="A159" s="412"/>
      <c r="B159" s="422"/>
      <c r="C159" s="422"/>
      <c r="D159" s="422"/>
      <c r="E159" s="415"/>
      <c r="F159" s="437"/>
      <c r="G159" s="435"/>
      <c r="H159" s="409"/>
    </row>
    <row r="160" spans="1:8">
      <c r="A160" s="412"/>
      <c r="B160" s="422"/>
      <c r="C160" s="422"/>
      <c r="D160" s="422"/>
      <c r="E160" s="415"/>
      <c r="F160" s="437"/>
      <c r="G160" s="435"/>
      <c r="H160" s="409"/>
    </row>
    <row r="161" spans="1:8">
      <c r="A161" s="412"/>
      <c r="B161" s="422"/>
      <c r="C161" s="422"/>
      <c r="D161" s="422"/>
      <c r="E161" s="415"/>
      <c r="F161" s="437"/>
      <c r="G161" s="435"/>
      <c r="H161" s="409"/>
    </row>
    <row r="162" spans="1:8">
      <c r="A162" s="442"/>
      <c r="B162" s="414"/>
      <c r="C162" s="414"/>
      <c r="D162" s="414"/>
      <c r="E162" s="432"/>
      <c r="F162" s="426"/>
      <c r="G162" s="435"/>
      <c r="H162" s="409"/>
    </row>
    <row r="163" spans="1:8">
      <c r="A163" s="424"/>
      <c r="B163" s="414"/>
      <c r="C163" s="414"/>
      <c r="D163" s="414"/>
      <c r="E163" s="432"/>
      <c r="F163" s="426"/>
      <c r="G163" s="435"/>
      <c r="H163" s="409"/>
    </row>
    <row r="164" spans="1:8">
      <c r="A164" s="424"/>
      <c r="B164" s="414"/>
      <c r="C164" s="414"/>
      <c r="D164" s="414"/>
      <c r="E164" s="415"/>
      <c r="F164" s="416"/>
      <c r="G164" s="435"/>
      <c r="H164" s="409"/>
    </row>
    <row r="165" spans="1:8">
      <c r="A165" s="424"/>
      <c r="B165" s="414"/>
      <c r="C165" s="414"/>
      <c r="D165" s="414"/>
      <c r="E165" s="415"/>
      <c r="F165" s="416"/>
      <c r="G165" s="435"/>
      <c r="H165" s="409"/>
    </row>
    <row r="166" spans="1:8">
      <c r="A166" s="424"/>
      <c r="B166" s="414"/>
      <c r="C166" s="414"/>
      <c r="D166" s="414"/>
      <c r="E166" s="415"/>
      <c r="F166" s="416"/>
      <c r="G166" s="435"/>
      <c r="H166" s="409"/>
    </row>
    <row r="167" spans="1:8">
      <c r="A167" s="424"/>
      <c r="B167" s="414"/>
      <c r="C167" s="414"/>
      <c r="D167" s="414"/>
      <c r="E167" s="415"/>
      <c r="F167" s="416"/>
      <c r="G167" s="435"/>
      <c r="H167" s="409"/>
    </row>
    <row r="168" spans="1:8">
      <c r="A168" s="424"/>
      <c r="B168" s="414"/>
      <c r="C168" s="414"/>
      <c r="D168" s="414"/>
      <c r="E168" s="415"/>
      <c r="F168" s="416"/>
      <c r="G168" s="435"/>
      <c r="H168" s="409"/>
    </row>
    <row r="169" spans="1:8">
      <c r="A169" s="424"/>
      <c r="B169" s="414"/>
      <c r="C169" s="414"/>
      <c r="D169" s="414"/>
      <c r="E169" s="415"/>
      <c r="F169" s="416"/>
      <c r="G169" s="435"/>
      <c r="H169" s="409"/>
    </row>
    <row r="170" spans="1:8">
      <c r="A170" s="430"/>
      <c r="B170" s="414"/>
      <c r="C170" s="414"/>
      <c r="D170" s="414"/>
      <c r="E170" s="415"/>
      <c r="F170" s="416"/>
      <c r="G170" s="435"/>
      <c r="H170" s="409"/>
    </row>
    <row r="171" spans="1:8">
      <c r="A171" s="430"/>
      <c r="B171" s="414"/>
      <c r="C171" s="414"/>
      <c r="D171" s="414"/>
      <c r="E171" s="415"/>
      <c r="F171" s="416"/>
      <c r="G171" s="435"/>
      <c r="H171" s="409"/>
    </row>
    <row r="172" spans="1:8">
      <c r="A172" s="430"/>
      <c r="B172" s="414"/>
      <c r="C172" s="414"/>
      <c r="D172" s="414"/>
      <c r="E172" s="415"/>
      <c r="F172" s="416"/>
      <c r="G172" s="435"/>
      <c r="H172" s="409"/>
    </row>
    <row r="173" spans="1:8">
      <c r="A173" s="424"/>
      <c r="B173" s="414"/>
      <c r="C173" s="414"/>
      <c r="D173" s="414"/>
      <c r="E173" s="415"/>
      <c r="F173" s="416"/>
      <c r="G173" s="435"/>
      <c r="H173" s="409"/>
    </row>
    <row r="174" spans="1:8">
      <c r="A174" s="430"/>
      <c r="B174" s="414"/>
      <c r="C174" s="414"/>
      <c r="D174" s="414"/>
      <c r="E174" s="415"/>
      <c r="F174" s="416"/>
      <c r="G174" s="435"/>
      <c r="H174" s="409"/>
    </row>
    <row r="175" spans="1:8">
      <c r="A175" s="412"/>
      <c r="B175" s="414"/>
      <c r="C175" s="414"/>
      <c r="D175" s="414"/>
      <c r="E175" s="415"/>
      <c r="F175" s="416"/>
      <c r="G175" s="435"/>
      <c r="H175" s="409"/>
    </row>
    <row r="176" spans="1:8">
      <c r="A176" s="412"/>
      <c r="B176" s="414"/>
      <c r="C176" s="414"/>
      <c r="D176" s="414"/>
      <c r="E176" s="415"/>
      <c r="F176" s="416"/>
      <c r="G176" s="435"/>
      <c r="H176" s="409"/>
    </row>
    <row r="177" spans="1:8">
      <c r="A177" s="412"/>
      <c r="B177" s="414"/>
      <c r="C177" s="414"/>
      <c r="D177" s="414"/>
      <c r="E177" s="415"/>
      <c r="F177" s="416"/>
      <c r="G177" s="435"/>
      <c r="H177" s="409"/>
    </row>
    <row r="178" spans="1:8">
      <c r="A178" s="412"/>
      <c r="B178" s="414"/>
      <c r="C178" s="414"/>
      <c r="D178" s="414"/>
      <c r="E178" s="415"/>
      <c r="F178" s="416"/>
      <c r="G178" s="435"/>
      <c r="H178" s="409"/>
    </row>
    <row r="179" spans="1:8">
      <c r="A179" s="412"/>
      <c r="B179" s="414"/>
      <c r="C179" s="414"/>
      <c r="D179" s="414"/>
      <c r="E179" s="415"/>
      <c r="F179" s="416"/>
      <c r="G179" s="435"/>
      <c r="H179" s="409"/>
    </row>
    <row r="180" spans="1:8">
      <c r="A180" s="412"/>
      <c r="B180" s="414"/>
      <c r="C180" s="414"/>
      <c r="D180" s="414"/>
      <c r="E180" s="415"/>
      <c r="F180" s="416"/>
      <c r="G180" s="435"/>
      <c r="H180" s="409"/>
    </row>
    <row r="181" spans="1:8">
      <c r="A181" s="412"/>
      <c r="B181" s="414"/>
      <c r="C181" s="414"/>
      <c r="D181" s="414"/>
      <c r="E181" s="415"/>
      <c r="F181" s="416"/>
      <c r="G181" s="435"/>
      <c r="H181" s="409"/>
    </row>
    <row r="182" spans="1:8">
      <c r="A182" s="412"/>
      <c r="B182" s="414"/>
      <c r="C182" s="414"/>
      <c r="D182" s="414"/>
      <c r="E182" s="415"/>
      <c r="F182" s="416"/>
      <c r="G182" s="435"/>
      <c r="H182" s="409"/>
    </row>
    <row r="183" spans="1:8">
      <c r="A183" s="412"/>
      <c r="B183" s="414"/>
      <c r="C183" s="414"/>
      <c r="D183" s="414"/>
      <c r="E183" s="415"/>
      <c r="F183" s="416"/>
      <c r="G183" s="435"/>
      <c r="H183" s="409"/>
    </row>
    <row r="184" spans="1:8">
      <c r="A184" s="412"/>
      <c r="B184" s="414"/>
      <c r="C184" s="414"/>
      <c r="D184" s="414"/>
      <c r="E184" s="415"/>
      <c r="F184" s="416"/>
      <c r="G184" s="435"/>
      <c r="H184" s="409"/>
    </row>
    <row r="185" spans="1:8">
      <c r="A185" s="412"/>
      <c r="B185" s="414"/>
      <c r="C185" s="414"/>
      <c r="D185" s="414"/>
      <c r="E185" s="415"/>
      <c r="F185" s="416"/>
      <c r="G185" s="435"/>
      <c r="H185" s="409"/>
    </row>
    <row r="186" spans="1:8">
      <c r="A186" s="412"/>
      <c r="B186" s="414"/>
      <c r="C186" s="414"/>
      <c r="D186" s="414"/>
      <c r="E186" s="415"/>
      <c r="F186" s="416"/>
      <c r="G186" s="435"/>
      <c r="H186" s="409"/>
    </row>
    <row r="187" spans="1:8">
      <c r="A187" s="412"/>
      <c r="B187" s="414"/>
      <c r="C187" s="414"/>
      <c r="D187" s="414"/>
      <c r="E187" s="415"/>
      <c r="F187" s="416"/>
      <c r="G187" s="435"/>
      <c r="H187" s="409"/>
    </row>
    <row r="188" spans="1:8">
      <c r="A188" s="412"/>
      <c r="B188" s="414"/>
      <c r="C188" s="414"/>
      <c r="D188" s="414"/>
      <c r="E188" s="415"/>
      <c r="F188" s="416"/>
      <c r="G188" s="435"/>
      <c r="H188" s="409"/>
    </row>
    <row r="189" spans="1:8">
      <c r="A189" s="412"/>
      <c r="B189" s="414"/>
      <c r="C189" s="414"/>
      <c r="D189" s="414"/>
      <c r="E189" s="415"/>
      <c r="F189" s="436"/>
      <c r="G189" s="435"/>
      <c r="H189" s="409"/>
    </row>
    <row r="190" spans="1:8">
      <c r="A190" s="412"/>
      <c r="B190" s="414"/>
      <c r="C190" s="414"/>
      <c r="D190" s="414"/>
      <c r="E190" s="415"/>
      <c r="F190" s="436"/>
      <c r="G190" s="435"/>
      <c r="H190" s="409"/>
    </row>
    <row r="191" spans="1:8">
      <c r="A191" s="412"/>
      <c r="B191" s="414"/>
      <c r="C191" s="414"/>
      <c r="D191" s="414"/>
      <c r="E191" s="415"/>
      <c r="F191" s="416"/>
      <c r="G191" s="435"/>
      <c r="H191" s="409"/>
    </row>
    <row r="192" spans="1:8">
      <c r="A192" s="412"/>
      <c r="B192" s="414"/>
      <c r="C192" s="414"/>
      <c r="D192" s="414"/>
      <c r="E192" s="415"/>
      <c r="F192" s="416"/>
      <c r="G192" s="435"/>
      <c r="H192" s="409"/>
    </row>
    <row r="193" spans="1:8">
      <c r="A193" s="412"/>
      <c r="B193" s="414"/>
      <c r="C193" s="414"/>
      <c r="D193" s="414"/>
      <c r="E193" s="415"/>
      <c r="F193" s="416"/>
      <c r="G193" s="435"/>
      <c r="H193" s="409"/>
    </row>
    <row r="194" spans="1:8">
      <c r="A194" s="412"/>
      <c r="B194" s="414"/>
      <c r="C194" s="414"/>
      <c r="D194" s="414"/>
      <c r="E194" s="415"/>
      <c r="F194" s="416"/>
      <c r="G194" s="435"/>
      <c r="H194" s="409"/>
    </row>
    <row r="195" spans="1:8">
      <c r="A195" s="412"/>
      <c r="B195" s="414"/>
      <c r="C195" s="414"/>
      <c r="D195" s="414"/>
      <c r="E195" s="415"/>
      <c r="F195" s="416"/>
      <c r="G195" s="435"/>
      <c r="H195" s="409"/>
    </row>
    <row r="196" spans="1:8">
      <c r="A196" s="412"/>
      <c r="B196" s="414"/>
      <c r="C196" s="414"/>
      <c r="D196" s="414"/>
      <c r="E196" s="415"/>
      <c r="F196" s="416"/>
      <c r="G196" s="435"/>
      <c r="H196" s="409"/>
    </row>
    <row r="197" spans="1:8">
      <c r="A197" s="412"/>
      <c r="B197" s="414"/>
      <c r="C197" s="414"/>
      <c r="D197" s="414"/>
      <c r="E197" s="415"/>
      <c r="F197" s="416"/>
      <c r="G197" s="435"/>
      <c r="H197" s="409"/>
    </row>
    <row r="198" spans="1:8">
      <c r="A198" s="412"/>
      <c r="B198" s="414"/>
      <c r="C198" s="414"/>
      <c r="D198" s="414"/>
      <c r="E198" s="415"/>
      <c r="F198" s="416"/>
      <c r="G198" s="435"/>
      <c r="H198" s="409"/>
    </row>
    <row r="199" spans="1:8">
      <c r="A199" s="412"/>
      <c r="B199" s="414"/>
      <c r="C199" s="414"/>
      <c r="D199" s="414"/>
      <c r="E199" s="415"/>
      <c r="F199" s="416"/>
      <c r="G199" s="435"/>
      <c r="H199" s="409"/>
    </row>
    <row r="200" spans="1:8">
      <c r="A200" s="412"/>
      <c r="B200" s="414"/>
      <c r="C200" s="414"/>
      <c r="D200" s="414"/>
      <c r="E200" s="415"/>
      <c r="F200" s="416"/>
      <c r="G200" s="435"/>
      <c r="H200" s="409"/>
    </row>
    <row r="201" spans="1:8">
      <c r="A201" s="412"/>
      <c r="B201" s="414"/>
      <c r="C201" s="414"/>
      <c r="D201" s="414"/>
      <c r="E201" s="415"/>
      <c r="F201" s="416"/>
      <c r="G201" s="435"/>
      <c r="H201" s="409"/>
    </row>
    <row r="202" spans="1:8">
      <c r="A202" s="412"/>
      <c r="B202" s="414"/>
      <c r="C202" s="414"/>
      <c r="D202" s="414"/>
      <c r="E202" s="415"/>
      <c r="F202" s="416"/>
      <c r="G202" s="435"/>
      <c r="H202" s="409"/>
    </row>
    <row r="203" spans="1:8">
      <c r="A203" s="412"/>
      <c r="B203" s="414"/>
      <c r="C203" s="414"/>
      <c r="D203" s="414"/>
      <c r="E203" s="415"/>
      <c r="F203" s="416"/>
      <c r="G203" s="435"/>
      <c r="H203" s="409"/>
    </row>
    <row r="204" spans="1:8">
      <c r="A204" s="412"/>
      <c r="B204" s="414"/>
      <c r="C204" s="414"/>
      <c r="D204" s="414"/>
      <c r="E204" s="415"/>
      <c r="F204" s="416"/>
      <c r="G204" s="435"/>
      <c r="H204" s="409"/>
    </row>
    <row r="205" spans="1:8">
      <c r="A205" s="412"/>
      <c r="B205" s="414"/>
      <c r="C205" s="414"/>
      <c r="D205" s="414"/>
      <c r="E205" s="415"/>
      <c r="F205" s="416"/>
      <c r="G205" s="435"/>
      <c r="H205" s="409"/>
    </row>
    <row r="206" spans="1:8">
      <c r="A206" s="412"/>
      <c r="B206" s="414"/>
      <c r="C206" s="414"/>
      <c r="D206" s="414"/>
      <c r="E206" s="415"/>
      <c r="F206" s="416"/>
      <c r="G206" s="435"/>
      <c r="H206" s="409"/>
    </row>
    <row r="207" spans="1:8">
      <c r="A207" s="412"/>
      <c r="B207" s="414"/>
      <c r="C207" s="414"/>
      <c r="D207" s="414"/>
      <c r="E207" s="415"/>
      <c r="F207" s="416"/>
      <c r="G207" s="435"/>
      <c r="H207" s="409"/>
    </row>
    <row r="208" spans="1:8">
      <c r="A208" s="412"/>
      <c r="B208" s="414"/>
      <c r="C208" s="414"/>
      <c r="D208" s="414"/>
      <c r="E208" s="415"/>
      <c r="F208" s="416"/>
      <c r="G208" s="435"/>
      <c r="H208" s="409"/>
    </row>
    <row r="209" spans="1:8">
      <c r="A209" s="412"/>
      <c r="B209" s="414"/>
      <c r="C209" s="414"/>
      <c r="D209" s="414"/>
      <c r="E209" s="415"/>
      <c r="F209" s="416"/>
      <c r="G209" s="435"/>
      <c r="H209" s="409"/>
    </row>
    <row r="210" spans="1:8">
      <c r="A210" s="412"/>
      <c r="B210" s="414"/>
      <c r="C210" s="414"/>
      <c r="D210" s="414"/>
      <c r="E210" s="415"/>
      <c r="F210" s="416"/>
      <c r="G210" s="435"/>
      <c r="H210" s="409"/>
    </row>
    <row r="211" spans="1:8">
      <c r="A211" s="412"/>
      <c r="B211" s="414"/>
      <c r="C211" s="414"/>
      <c r="D211" s="414"/>
      <c r="E211" s="415"/>
      <c r="F211" s="416"/>
      <c r="G211" s="435"/>
      <c r="H211" s="409"/>
    </row>
    <row r="212" spans="1:8">
      <c r="A212" s="412"/>
      <c r="B212" s="414"/>
      <c r="C212" s="414"/>
      <c r="D212" s="414"/>
      <c r="E212" s="415"/>
      <c r="F212" s="416"/>
      <c r="G212" s="435"/>
      <c r="H212" s="409"/>
    </row>
    <row r="213" spans="1:8">
      <c r="A213" s="412"/>
      <c r="B213" s="414"/>
      <c r="C213" s="414"/>
      <c r="D213" s="414"/>
      <c r="E213" s="415"/>
      <c r="F213" s="416"/>
      <c r="G213" s="435"/>
      <c r="H213" s="409"/>
    </row>
    <row r="214" spans="1:8">
      <c r="A214" s="412"/>
      <c r="B214" s="414"/>
      <c r="C214" s="414"/>
      <c r="D214" s="414"/>
      <c r="E214" s="415"/>
      <c r="F214" s="436"/>
      <c r="G214" s="435"/>
      <c r="H214" s="409"/>
    </row>
    <row r="215" spans="1:8">
      <c r="A215" s="412"/>
      <c r="B215" s="414"/>
      <c r="C215" s="414"/>
      <c r="D215" s="414"/>
      <c r="E215" s="415"/>
      <c r="F215" s="416"/>
      <c r="G215" s="435"/>
      <c r="H215" s="409"/>
    </row>
    <row r="216" spans="1:8">
      <c r="A216" s="412"/>
      <c r="B216" s="414"/>
      <c r="C216" s="414"/>
      <c r="D216" s="414"/>
      <c r="E216" s="415"/>
      <c r="F216" s="416"/>
      <c r="G216" s="435"/>
      <c r="H216" s="409"/>
    </row>
    <row r="217" spans="1:8">
      <c r="A217" s="412"/>
      <c r="B217" s="414"/>
      <c r="C217" s="414"/>
      <c r="D217" s="414"/>
      <c r="E217" s="415"/>
      <c r="F217" s="416"/>
      <c r="G217" s="435"/>
      <c r="H217" s="409"/>
    </row>
    <row r="218" spans="1:8">
      <c r="A218" s="412"/>
      <c r="B218" s="414"/>
      <c r="C218" s="414"/>
      <c r="D218" s="414"/>
      <c r="E218" s="415"/>
      <c r="F218" s="416"/>
      <c r="G218" s="435"/>
      <c r="H218" s="409"/>
    </row>
    <row r="219" spans="1:8">
      <c r="A219" s="412"/>
      <c r="B219" s="414"/>
      <c r="C219" s="414"/>
      <c r="D219" s="414"/>
      <c r="E219" s="415"/>
      <c r="F219" s="416"/>
      <c r="G219" s="435"/>
      <c r="H219" s="409"/>
    </row>
    <row r="220" spans="1:8">
      <c r="A220" s="412"/>
      <c r="B220" s="414"/>
      <c r="C220" s="414"/>
      <c r="D220" s="414"/>
      <c r="E220" s="415"/>
      <c r="F220" s="416"/>
      <c r="G220" s="435"/>
      <c r="H220" s="409"/>
    </row>
    <row r="221" spans="1:8">
      <c r="A221" s="412"/>
      <c r="B221" s="414"/>
      <c r="C221" s="414"/>
      <c r="D221" s="414"/>
      <c r="E221" s="415"/>
      <c r="F221" s="416"/>
      <c r="G221" s="435"/>
      <c r="H221" s="409"/>
    </row>
    <row r="222" spans="1:8">
      <c r="A222" s="412"/>
      <c r="B222" s="414"/>
      <c r="C222" s="414"/>
      <c r="D222" s="414"/>
      <c r="E222" s="415"/>
      <c r="F222" s="416"/>
      <c r="G222" s="435"/>
      <c r="H222" s="409"/>
    </row>
    <row r="223" spans="1:8">
      <c r="A223" s="412"/>
      <c r="B223" s="414"/>
      <c r="C223" s="414"/>
      <c r="D223" s="414"/>
      <c r="E223" s="415"/>
      <c r="F223" s="416"/>
      <c r="G223" s="435"/>
      <c r="H223" s="409"/>
    </row>
    <row r="224" spans="1:8">
      <c r="A224" s="412"/>
      <c r="B224" s="414"/>
      <c r="C224" s="414"/>
      <c r="D224" s="414"/>
      <c r="E224" s="415"/>
      <c r="F224" s="416"/>
      <c r="G224" s="435"/>
      <c r="H224" s="409"/>
    </row>
    <row r="225" spans="1:8">
      <c r="A225" s="412"/>
      <c r="B225" s="414"/>
      <c r="C225" s="414"/>
      <c r="D225" s="414"/>
      <c r="E225" s="415"/>
      <c r="F225" s="416"/>
      <c r="G225" s="435"/>
      <c r="H225" s="409"/>
    </row>
    <row r="226" spans="1:8">
      <c r="A226" s="412"/>
      <c r="B226" s="414"/>
      <c r="C226" s="414"/>
      <c r="D226" s="414"/>
      <c r="E226" s="415"/>
      <c r="F226" s="416"/>
      <c r="G226" s="435"/>
      <c r="H226" s="409"/>
    </row>
    <row r="227" spans="1:8">
      <c r="A227" s="412"/>
      <c r="B227" s="414"/>
      <c r="C227" s="414"/>
      <c r="D227" s="414"/>
      <c r="E227" s="415"/>
      <c r="F227" s="416"/>
      <c r="G227" s="435"/>
      <c r="H227" s="409"/>
    </row>
    <row r="228" spans="1:8">
      <c r="A228" s="412"/>
      <c r="B228" s="414"/>
      <c r="C228" s="414"/>
      <c r="D228" s="414"/>
      <c r="E228" s="415"/>
      <c r="F228" s="416"/>
      <c r="G228" s="435"/>
      <c r="H228" s="409"/>
    </row>
    <row r="229" spans="1:8">
      <c r="A229" s="412"/>
      <c r="B229" s="414"/>
      <c r="C229" s="414"/>
      <c r="D229" s="414"/>
      <c r="E229" s="415"/>
      <c r="F229" s="416"/>
      <c r="G229" s="435"/>
      <c r="H229" s="409"/>
    </row>
    <row r="230" spans="1:8">
      <c r="A230" s="412"/>
      <c r="B230" s="414"/>
      <c r="C230" s="414"/>
      <c r="D230" s="414"/>
      <c r="E230" s="415"/>
      <c r="F230" s="416"/>
      <c r="G230" s="435"/>
      <c r="H230" s="409"/>
    </row>
    <row r="231" spans="1:8">
      <c r="A231" s="412"/>
      <c r="B231" s="414"/>
      <c r="C231" s="414"/>
      <c r="D231" s="414"/>
      <c r="E231" s="415"/>
      <c r="F231" s="416"/>
      <c r="H231" s="409"/>
    </row>
    <row r="232" spans="1:8">
      <c r="A232" s="412"/>
      <c r="B232" s="414"/>
      <c r="C232" s="414"/>
      <c r="D232" s="414"/>
      <c r="E232" s="415"/>
      <c r="F232" s="416"/>
      <c r="H232" s="409"/>
    </row>
    <row r="233" spans="1:8">
      <c r="A233" s="412"/>
      <c r="B233" s="431"/>
      <c r="C233" s="431"/>
      <c r="D233" s="431"/>
      <c r="E233" s="432"/>
      <c r="F233" s="426"/>
      <c r="H233" s="409"/>
    </row>
    <row r="234" spans="1:8">
      <c r="A234" s="412"/>
      <c r="B234" s="414"/>
      <c r="C234" s="414"/>
      <c r="D234" s="414"/>
      <c r="E234" s="415"/>
      <c r="F234" s="416"/>
      <c r="G234" s="435"/>
      <c r="H234" s="409"/>
    </row>
    <row r="235" spans="1:8">
      <c r="A235" s="412"/>
      <c r="B235" s="414"/>
      <c r="C235" s="414"/>
      <c r="D235" s="414"/>
      <c r="E235" s="415"/>
      <c r="F235" s="416"/>
      <c r="G235" s="435"/>
      <c r="H235" s="409"/>
    </row>
    <row r="236" spans="1:8">
      <c r="A236" s="412"/>
      <c r="B236" s="414"/>
      <c r="C236" s="414"/>
      <c r="D236" s="414"/>
      <c r="E236" s="415"/>
      <c r="F236" s="416"/>
      <c r="G236" s="435"/>
      <c r="H236" s="409"/>
    </row>
    <row r="237" spans="1:8">
      <c r="A237" s="412"/>
      <c r="B237" s="414"/>
      <c r="C237" s="414"/>
      <c r="D237" s="414"/>
      <c r="E237" s="415"/>
      <c r="F237" s="416"/>
      <c r="G237" s="435"/>
      <c r="H237" s="409"/>
    </row>
    <row r="238" spans="1:8">
      <c r="A238" s="412"/>
      <c r="B238" s="414"/>
      <c r="C238" s="414"/>
      <c r="D238" s="414"/>
      <c r="E238" s="415"/>
      <c r="F238" s="416"/>
      <c r="G238" s="435"/>
      <c r="H238" s="409"/>
    </row>
    <row r="239" spans="1:8">
      <c r="A239" s="412"/>
      <c r="B239" s="414"/>
      <c r="C239" s="414"/>
      <c r="D239" s="414"/>
      <c r="E239" s="415"/>
      <c r="F239" s="416"/>
      <c r="G239" s="435"/>
      <c r="H239" s="409"/>
    </row>
    <row r="240" spans="1:8">
      <c r="A240" s="412"/>
      <c r="B240" s="414"/>
      <c r="C240" s="414"/>
      <c r="D240" s="414"/>
      <c r="E240" s="415"/>
      <c r="F240" s="416"/>
      <c r="G240" s="435"/>
      <c r="H240" s="409"/>
    </row>
    <row r="241" spans="1:8">
      <c r="A241" s="412"/>
      <c r="B241" s="414"/>
      <c r="C241" s="414"/>
      <c r="D241" s="414"/>
      <c r="E241" s="415"/>
      <c r="F241" s="437"/>
      <c r="H241" s="409"/>
    </row>
    <row r="242" spans="1:8">
      <c r="A242" s="412"/>
      <c r="B242" s="414"/>
      <c r="C242" s="414"/>
      <c r="D242" s="414"/>
      <c r="E242" s="415"/>
      <c r="F242" s="437"/>
      <c r="H242" s="409"/>
    </row>
    <row r="243" spans="1:8">
      <c r="A243" s="412"/>
      <c r="B243" s="414"/>
      <c r="C243" s="414"/>
      <c r="D243" s="414"/>
      <c r="E243" s="415"/>
      <c r="F243" s="437"/>
      <c r="H243" s="409"/>
    </row>
    <row r="244" spans="1:8">
      <c r="A244" s="412"/>
      <c r="B244" s="414"/>
      <c r="C244" s="414"/>
      <c r="D244" s="414"/>
      <c r="E244" s="415"/>
      <c r="F244" s="437"/>
      <c r="H244" s="409"/>
    </row>
    <row r="245" spans="1:8">
      <c r="A245" s="412"/>
      <c r="B245" s="414"/>
      <c r="C245" s="414"/>
      <c r="D245" s="414"/>
      <c r="E245" s="415"/>
      <c r="F245" s="437"/>
      <c r="H245" s="409"/>
    </row>
    <row r="246" spans="1:8">
      <c r="A246" s="412"/>
      <c r="B246" s="414"/>
      <c r="C246" s="414"/>
      <c r="D246" s="414"/>
      <c r="E246" s="415"/>
      <c r="F246" s="437"/>
      <c r="H246" s="409"/>
    </row>
    <row r="247" spans="1:8">
      <c r="A247" s="412"/>
      <c r="B247" s="414"/>
      <c r="C247" s="414"/>
      <c r="D247" s="414"/>
      <c r="E247" s="415"/>
      <c r="F247" s="437"/>
      <c r="H247" s="409"/>
    </row>
    <row r="248" spans="1:8">
      <c r="A248" s="412">
        <v>43299</v>
      </c>
      <c r="B248" s="414">
        <v>8</v>
      </c>
      <c r="C248" s="414">
        <v>54</v>
      </c>
      <c r="D248" s="414">
        <f t="shared" ref="D248:D257" si="4">IF(((C248="")*AND(B248="")),"",(C248-B248))</f>
        <v>46</v>
      </c>
      <c r="E248" s="415" t="str">
        <f t="shared" ref="E248:E257" si="5">IF(D248="","",IF(D248&lt;60,"Pass","Fail"))</f>
        <v>Pass</v>
      </c>
      <c r="F248" s="437">
        <v>1159</v>
      </c>
      <c r="H248" s="409"/>
    </row>
    <row r="249" spans="1:8">
      <c r="A249" s="412">
        <v>43300</v>
      </c>
      <c r="B249" s="414">
        <v>10</v>
      </c>
      <c r="C249" s="414">
        <v>68</v>
      </c>
      <c r="D249" s="414">
        <f t="shared" si="4"/>
        <v>58</v>
      </c>
      <c r="E249" s="415" t="str">
        <f t="shared" si="5"/>
        <v>Pass</v>
      </c>
      <c r="F249" s="437">
        <v>1335</v>
      </c>
      <c r="H249" s="409"/>
    </row>
    <row r="250" spans="1:8">
      <c r="A250" s="412"/>
      <c r="B250" s="414"/>
      <c r="C250" s="414"/>
      <c r="D250" s="414" t="str">
        <f t="shared" si="4"/>
        <v/>
      </c>
      <c r="E250" s="415" t="str">
        <f t="shared" si="5"/>
        <v/>
      </c>
      <c r="F250" s="437"/>
      <c r="H250" s="409"/>
    </row>
    <row r="251" spans="1:8">
      <c r="A251" s="412"/>
      <c r="B251" s="414"/>
      <c r="C251" s="414"/>
      <c r="D251" s="414" t="str">
        <f t="shared" si="4"/>
        <v/>
      </c>
      <c r="E251" s="415" t="str">
        <f t="shared" si="5"/>
        <v/>
      </c>
      <c r="F251" s="437"/>
      <c r="H251" s="409"/>
    </row>
    <row r="252" spans="1:8">
      <c r="A252" s="412"/>
      <c r="B252" s="414"/>
      <c r="C252" s="414"/>
      <c r="D252" s="414" t="str">
        <f t="shared" si="4"/>
        <v/>
      </c>
      <c r="E252" s="415" t="str">
        <f t="shared" si="5"/>
        <v/>
      </c>
      <c r="F252" s="437"/>
      <c r="H252" s="409"/>
    </row>
    <row r="253" spans="1:8">
      <c r="A253" s="412"/>
      <c r="B253" s="414"/>
      <c r="C253" s="414"/>
      <c r="D253" s="414" t="str">
        <f t="shared" si="4"/>
        <v/>
      </c>
      <c r="E253" s="415" t="str">
        <f t="shared" si="5"/>
        <v/>
      </c>
      <c r="F253" s="437"/>
      <c r="H253" s="409"/>
    </row>
    <row r="254" spans="1:8">
      <c r="A254" s="412"/>
      <c r="B254" s="414"/>
      <c r="C254" s="414"/>
      <c r="D254" s="414" t="str">
        <f t="shared" si="4"/>
        <v/>
      </c>
      <c r="E254" s="415" t="str">
        <f t="shared" si="5"/>
        <v/>
      </c>
      <c r="F254" s="437"/>
      <c r="H254" s="409"/>
    </row>
    <row r="255" spans="1:8">
      <c r="A255" s="412"/>
      <c r="B255" s="414"/>
      <c r="C255" s="414"/>
      <c r="D255" s="414" t="str">
        <f t="shared" si="4"/>
        <v/>
      </c>
      <c r="E255" s="415" t="str">
        <f t="shared" si="5"/>
        <v/>
      </c>
      <c r="F255" s="437"/>
      <c r="H255" s="409"/>
    </row>
    <row r="256" spans="1:8">
      <c r="A256" s="412"/>
      <c r="B256" s="414"/>
      <c r="C256" s="414"/>
      <c r="D256" s="414" t="str">
        <f t="shared" si="4"/>
        <v/>
      </c>
      <c r="E256" s="415" t="str">
        <f t="shared" si="5"/>
        <v/>
      </c>
      <c r="F256" s="437"/>
      <c r="H256" s="409"/>
    </row>
    <row r="257" spans="1:8">
      <c r="A257" s="412"/>
      <c r="B257" s="414"/>
      <c r="C257" s="414"/>
      <c r="D257" s="414" t="str">
        <f t="shared" si="4"/>
        <v/>
      </c>
      <c r="E257" s="415" t="str">
        <f t="shared" si="5"/>
        <v/>
      </c>
      <c r="F257" s="437"/>
      <c r="H257" s="409"/>
    </row>
  </sheetData>
  <mergeCells count="1">
    <mergeCell ref="B1:C1"/>
  </mergeCells>
  <conditionalFormatting sqref="E3:E257">
    <cfRule type="cellIs" dxfId="3" priority="3" stopIfTrue="1" operator="equal">
      <formula>"Pass"</formula>
    </cfRule>
    <cfRule type="cellIs" dxfId="2" priority="4" stopIfTrue="1" operator="equal">
      <formula>"Fail"</formula>
    </cfRule>
  </conditionalFormatting>
  <conditionalFormatting sqref="E11">
    <cfRule type="cellIs" dxfId="1" priority="1" stopIfTrue="1" operator="equal">
      <formula>"Pass"</formula>
    </cfRule>
    <cfRule type="cellIs" dxfId="0" priority="2" stopIfTrue="1" operator="equal">
      <formula>"Fail"</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dimension ref="B2:X17"/>
  <sheetViews>
    <sheetView topLeftCell="F1" workbookViewId="0">
      <selection activeCell="R24" sqref="R23:R24"/>
    </sheetView>
  </sheetViews>
  <sheetFormatPr defaultColWidth="9" defaultRowHeight="12.75"/>
  <cols>
    <col min="1" max="16384" width="9" style="31"/>
  </cols>
  <sheetData>
    <row r="2" spans="2:24" ht="25.5">
      <c r="B2" s="325" t="s">
        <v>134</v>
      </c>
      <c r="C2" s="326"/>
      <c r="D2" s="326"/>
      <c r="E2" s="326"/>
      <c r="F2" s="194"/>
      <c r="G2" s="194"/>
      <c r="H2" s="194"/>
      <c r="I2" s="326" t="s">
        <v>135</v>
      </c>
      <c r="J2" s="326"/>
      <c r="K2" s="326"/>
      <c r="L2" s="194" t="s">
        <v>136</v>
      </c>
      <c r="M2" s="194"/>
      <c r="N2" s="194"/>
      <c r="O2" s="194"/>
      <c r="P2" s="194"/>
      <c r="Q2" s="194"/>
      <c r="R2" s="194"/>
      <c r="S2" s="195"/>
      <c r="T2" s="196" t="s">
        <v>66</v>
      </c>
      <c r="U2" s="197" t="s">
        <v>67</v>
      </c>
      <c r="V2" s="197" t="s">
        <v>68</v>
      </c>
      <c r="W2" s="191" t="s">
        <v>137</v>
      </c>
      <c r="X2" s="197" t="s">
        <v>70</v>
      </c>
    </row>
    <row r="3" spans="2:24">
      <c r="B3" s="198" t="s">
        <v>77</v>
      </c>
      <c r="C3" s="199">
        <v>5398.28</v>
      </c>
      <c r="D3" s="199">
        <v>5371.04</v>
      </c>
      <c r="E3" s="199">
        <v>5361.96</v>
      </c>
      <c r="F3" s="199">
        <v>5358.02</v>
      </c>
      <c r="G3" s="199">
        <v>5347.2</v>
      </c>
      <c r="H3" s="199">
        <v>5361.21</v>
      </c>
      <c r="I3" s="199">
        <v>5378.31</v>
      </c>
      <c r="J3" s="199">
        <v>5381.54</v>
      </c>
      <c r="K3" s="199">
        <v>5407.2</v>
      </c>
      <c r="L3" s="199">
        <v>5496.21</v>
      </c>
      <c r="M3" s="199">
        <v>5373.56</v>
      </c>
      <c r="N3" s="199">
        <v>5350.6</v>
      </c>
      <c r="O3" s="199">
        <v>5378.62</v>
      </c>
      <c r="P3" s="199">
        <v>5356.5</v>
      </c>
      <c r="Q3" s="199">
        <v>5381.21</v>
      </c>
      <c r="R3" s="199">
        <v>5412.73</v>
      </c>
      <c r="S3" s="199">
        <v>5478.34</v>
      </c>
      <c r="T3" s="200">
        <f>IF((S4=""),"",MAX(C5:S5))</f>
        <v>65.460000000000946</v>
      </c>
      <c r="U3" s="200">
        <f>IF(S4="","",MIN(C5:S5))</f>
        <v>10.840000000000146</v>
      </c>
      <c r="V3" s="200">
        <f>IF((S5=""),"",AVERAGE(C5:S5))</f>
        <v>42.016470588235549</v>
      </c>
      <c r="W3" s="201">
        <f>STDEV(C5:S5)</f>
        <v>15.692974917608829</v>
      </c>
      <c r="X3" s="200">
        <f>IF((S4=""),"",((T3-U3)/(T3+U3))*100)</f>
        <v>71.585845347313253</v>
      </c>
    </row>
    <row r="4" spans="2:24">
      <c r="B4" s="202" t="s">
        <v>78</v>
      </c>
      <c r="C4" s="201">
        <v>5377.54</v>
      </c>
      <c r="D4" s="201">
        <v>5345.49</v>
      </c>
      <c r="E4" s="201">
        <v>5337.53</v>
      </c>
      <c r="F4" s="201">
        <v>5341.5</v>
      </c>
      <c r="G4" s="201">
        <v>5332.54</v>
      </c>
      <c r="H4" s="201">
        <v>5342.18</v>
      </c>
      <c r="I4" s="201">
        <v>5345.58</v>
      </c>
      <c r="J4" s="201">
        <v>5352.19</v>
      </c>
      <c r="K4" s="201">
        <v>5379.43</v>
      </c>
      <c r="L4" s="201">
        <v>5477.23</v>
      </c>
      <c r="M4" s="201">
        <v>5354.78</v>
      </c>
      <c r="N4" s="201">
        <v>5334.36</v>
      </c>
      <c r="O4" s="201">
        <v>5348.17</v>
      </c>
      <c r="P4" s="201">
        <v>5351.08</v>
      </c>
      <c r="Q4" s="201">
        <v>5368.96</v>
      </c>
      <c r="R4" s="201">
        <v>5380.8</v>
      </c>
      <c r="S4" s="201">
        <v>5466.03</v>
      </c>
      <c r="T4" s="203"/>
      <c r="U4" s="203"/>
      <c r="V4" s="203"/>
      <c r="W4" s="203"/>
      <c r="X4" s="203"/>
    </row>
    <row r="5" spans="2:24" ht="51">
      <c r="B5" s="202" t="s">
        <v>79</v>
      </c>
      <c r="C5" s="204">
        <f t="shared" ref="C5:S5" si="0">IF(((C3="")*AND(C4="")),"",(C3-C4)*2)</f>
        <v>41.479999999999563</v>
      </c>
      <c r="D5" s="204">
        <f t="shared" si="0"/>
        <v>51.100000000000364</v>
      </c>
      <c r="E5" s="204">
        <f t="shared" si="0"/>
        <v>48.860000000000582</v>
      </c>
      <c r="F5" s="204">
        <f t="shared" si="0"/>
        <v>33.040000000000873</v>
      </c>
      <c r="G5" s="204">
        <f t="shared" si="0"/>
        <v>29.319999999999709</v>
      </c>
      <c r="H5" s="204">
        <f t="shared" si="0"/>
        <v>38.059999999999491</v>
      </c>
      <c r="I5" s="204">
        <f t="shared" si="0"/>
        <v>65.460000000000946</v>
      </c>
      <c r="J5" s="204">
        <f t="shared" si="0"/>
        <v>58.700000000000728</v>
      </c>
      <c r="K5" s="204">
        <f t="shared" si="0"/>
        <v>55.539999999999054</v>
      </c>
      <c r="L5" s="204">
        <f t="shared" si="0"/>
        <v>37.960000000000946</v>
      </c>
      <c r="M5" s="204">
        <f t="shared" si="0"/>
        <v>37.56000000000131</v>
      </c>
      <c r="N5" s="204">
        <f t="shared" si="0"/>
        <v>32.480000000001382</v>
      </c>
      <c r="O5" s="204">
        <f t="shared" si="0"/>
        <v>60.899999999999636</v>
      </c>
      <c r="P5" s="204">
        <f t="shared" si="0"/>
        <v>10.840000000000146</v>
      </c>
      <c r="Q5" s="204">
        <f t="shared" si="0"/>
        <v>24.5</v>
      </c>
      <c r="R5" s="204">
        <f t="shared" si="0"/>
        <v>63.859999999998763</v>
      </c>
      <c r="S5" s="204">
        <f t="shared" si="0"/>
        <v>24.6200000000008</v>
      </c>
      <c r="T5" s="203"/>
      <c r="U5" s="203"/>
      <c r="V5" s="203"/>
      <c r="W5" s="205"/>
      <c r="X5" s="203"/>
    </row>
    <row r="6" spans="2:24">
      <c r="B6" s="206"/>
      <c r="C6" s="206"/>
      <c r="D6" s="206"/>
      <c r="E6" s="206"/>
      <c r="F6" s="206"/>
      <c r="G6" s="206"/>
      <c r="H6" s="206"/>
      <c r="I6" s="206"/>
      <c r="J6" s="206"/>
      <c r="K6" s="206"/>
      <c r="L6" s="206"/>
      <c r="M6" s="206"/>
      <c r="N6" s="206"/>
      <c r="O6" s="206"/>
      <c r="P6" s="206"/>
      <c r="Q6" s="206"/>
      <c r="R6" s="206"/>
      <c r="S6" s="206"/>
      <c r="T6" s="206"/>
      <c r="U6" s="206"/>
      <c r="V6" s="206"/>
      <c r="W6" s="206"/>
      <c r="X6" s="206"/>
    </row>
    <row r="7" spans="2:24">
      <c r="B7" s="206"/>
      <c r="C7" s="206"/>
      <c r="D7" s="206"/>
      <c r="E7" s="206"/>
      <c r="F7" s="206"/>
      <c r="G7" s="206"/>
      <c r="H7" s="206"/>
      <c r="I7" s="206"/>
      <c r="J7" s="206"/>
      <c r="K7" s="206"/>
      <c r="L7" s="206"/>
      <c r="M7" s="206"/>
      <c r="N7" s="206"/>
      <c r="O7" s="206"/>
      <c r="P7" s="206"/>
      <c r="Q7" s="206"/>
      <c r="R7" s="206"/>
      <c r="S7" s="206"/>
      <c r="T7" s="206"/>
      <c r="U7" s="206"/>
      <c r="V7" s="206"/>
      <c r="W7" s="206"/>
      <c r="X7" s="206"/>
    </row>
    <row r="8" spans="2:24" ht="25.5">
      <c r="B8" s="327" t="s">
        <v>138</v>
      </c>
      <c r="C8" s="328"/>
      <c r="D8" s="328"/>
      <c r="E8" s="328"/>
      <c r="F8" s="207"/>
      <c r="G8" s="207"/>
      <c r="H8" s="207"/>
      <c r="I8" s="329" t="s">
        <v>135</v>
      </c>
      <c r="J8" s="329"/>
      <c r="K8" s="329"/>
      <c r="L8" s="207" t="s">
        <v>139</v>
      </c>
      <c r="M8" s="207"/>
      <c r="N8" s="207"/>
      <c r="O8" s="207"/>
      <c r="P8" s="207"/>
      <c r="Q8" s="207"/>
      <c r="R8" s="207"/>
      <c r="S8" s="208"/>
      <c r="T8" s="209" t="s">
        <v>66</v>
      </c>
      <c r="U8" s="210" t="s">
        <v>67</v>
      </c>
      <c r="V8" s="210" t="s">
        <v>68</v>
      </c>
      <c r="W8" s="192" t="s">
        <v>137</v>
      </c>
      <c r="X8" s="210" t="s">
        <v>70</v>
      </c>
    </row>
    <row r="9" spans="2:24">
      <c r="B9" s="211" t="s">
        <v>77</v>
      </c>
      <c r="C9" s="212">
        <v>5415.12</v>
      </c>
      <c r="D9" s="212">
        <v>5385.04</v>
      </c>
      <c r="E9" s="212">
        <v>5364.78</v>
      </c>
      <c r="F9" s="212">
        <v>5369.05</v>
      </c>
      <c r="G9" s="212">
        <v>5369.37</v>
      </c>
      <c r="H9" s="212">
        <v>5375.24</v>
      </c>
      <c r="I9" s="212">
        <v>5393.56</v>
      </c>
      <c r="J9" s="212">
        <v>5404.92</v>
      </c>
      <c r="K9" s="212">
        <v>5453.96</v>
      </c>
      <c r="L9" s="212">
        <v>5485.66</v>
      </c>
      <c r="M9" s="212">
        <v>5375.42</v>
      </c>
      <c r="N9" s="212">
        <v>5372.72</v>
      </c>
      <c r="O9" s="212">
        <v>5390.21</v>
      </c>
      <c r="P9" s="212">
        <v>5376.99</v>
      </c>
      <c r="Q9" s="212">
        <v>5404.93</v>
      </c>
      <c r="R9" s="212">
        <v>5423.68</v>
      </c>
      <c r="S9" s="212">
        <v>5490.02</v>
      </c>
      <c r="T9" s="213">
        <f>IF((S10=""),"",MAX(C11:S11))</f>
        <v>75.5</v>
      </c>
      <c r="U9" s="213">
        <f>IF(S10="","",MIN(C11:S11))</f>
        <v>36.659999999999854</v>
      </c>
      <c r="V9" s="213">
        <f>IF((S11=""),"",AVERAGE(C11:S11))</f>
        <v>52.010588235294243</v>
      </c>
      <c r="W9" s="212">
        <f>STDEV(C11:S11)</f>
        <v>10.415551155956939</v>
      </c>
      <c r="X9" s="213">
        <f>IF((S10=""),"",((T9-U9)/(T9+U9))*100)</f>
        <v>34.629101283880345</v>
      </c>
    </row>
    <row r="10" spans="2:24">
      <c r="B10" s="214" t="s">
        <v>78</v>
      </c>
      <c r="C10" s="212">
        <v>5377.37</v>
      </c>
      <c r="D10" s="212">
        <v>5361.14</v>
      </c>
      <c r="E10" s="212">
        <v>5339.68</v>
      </c>
      <c r="F10" s="212">
        <v>5345.21</v>
      </c>
      <c r="G10" s="212">
        <v>5346.05</v>
      </c>
      <c r="H10" s="212">
        <v>5349.72</v>
      </c>
      <c r="I10" s="212">
        <v>5370.12</v>
      </c>
      <c r="J10" s="212">
        <v>5375.71</v>
      </c>
      <c r="K10" s="212">
        <v>5433.2</v>
      </c>
      <c r="L10" s="212">
        <v>5458.46</v>
      </c>
      <c r="M10" s="212">
        <v>5347.42</v>
      </c>
      <c r="N10" s="212">
        <v>5353.96</v>
      </c>
      <c r="O10" s="212">
        <v>5371.88</v>
      </c>
      <c r="P10" s="212">
        <v>5351.95</v>
      </c>
      <c r="Q10" s="212">
        <v>5370.54</v>
      </c>
      <c r="R10" s="212">
        <v>5390.98</v>
      </c>
      <c r="S10" s="212">
        <v>5465.19</v>
      </c>
      <c r="T10" s="203"/>
      <c r="U10" s="203"/>
      <c r="V10" s="203"/>
      <c r="W10" s="203"/>
      <c r="X10" s="203"/>
    </row>
    <row r="11" spans="2:24" ht="51">
      <c r="B11" s="214" t="s">
        <v>79</v>
      </c>
      <c r="C11" s="215">
        <f t="shared" ref="C11:S11" si="1">IF(((C9="")*AND(C10="")),"",(C9-C10)*2)</f>
        <v>75.5</v>
      </c>
      <c r="D11" s="215">
        <f t="shared" si="1"/>
        <v>47.799999999999272</v>
      </c>
      <c r="E11" s="215">
        <f t="shared" si="1"/>
        <v>50.199999999998909</v>
      </c>
      <c r="F11" s="215">
        <f t="shared" si="1"/>
        <v>47.680000000000291</v>
      </c>
      <c r="G11" s="215">
        <f t="shared" si="1"/>
        <v>46.639999999999418</v>
      </c>
      <c r="H11" s="215">
        <f t="shared" si="1"/>
        <v>51.039999999999054</v>
      </c>
      <c r="I11" s="215">
        <f t="shared" si="1"/>
        <v>46.880000000001019</v>
      </c>
      <c r="J11" s="215">
        <f t="shared" si="1"/>
        <v>58.420000000000073</v>
      </c>
      <c r="K11" s="215">
        <f t="shared" si="1"/>
        <v>41.520000000000437</v>
      </c>
      <c r="L11" s="215">
        <f t="shared" si="1"/>
        <v>54.399999999999636</v>
      </c>
      <c r="M11" s="215">
        <f t="shared" si="1"/>
        <v>56</v>
      </c>
      <c r="N11" s="215">
        <f t="shared" si="1"/>
        <v>37.520000000000437</v>
      </c>
      <c r="O11" s="215">
        <f t="shared" si="1"/>
        <v>36.659999999999854</v>
      </c>
      <c r="P11" s="215">
        <f t="shared" si="1"/>
        <v>50.079999999999927</v>
      </c>
      <c r="Q11" s="215">
        <f t="shared" si="1"/>
        <v>68.780000000000655</v>
      </c>
      <c r="R11" s="215">
        <f t="shared" si="1"/>
        <v>65.400000000001455</v>
      </c>
      <c r="S11" s="215">
        <f t="shared" si="1"/>
        <v>49.660000000001673</v>
      </c>
      <c r="T11" s="203"/>
      <c r="U11" s="203"/>
      <c r="V11" s="203"/>
      <c r="W11" s="205"/>
      <c r="X11" s="203"/>
    </row>
    <row r="12" spans="2:24">
      <c r="B12" s="206"/>
      <c r="C12" s="206"/>
      <c r="D12" s="206"/>
      <c r="E12" s="206"/>
      <c r="F12" s="206"/>
      <c r="G12" s="206"/>
      <c r="H12" s="206"/>
      <c r="I12" s="206"/>
      <c r="J12" s="206"/>
      <c r="K12" s="206"/>
      <c r="L12" s="206"/>
      <c r="M12" s="206"/>
      <c r="N12" s="206"/>
      <c r="O12" s="206"/>
      <c r="P12" s="206"/>
      <c r="Q12" s="206"/>
      <c r="R12" s="206"/>
      <c r="S12" s="206"/>
      <c r="T12" s="206"/>
      <c r="U12" s="206"/>
      <c r="V12" s="206"/>
      <c r="W12" s="206"/>
      <c r="X12" s="206"/>
    </row>
    <row r="13" spans="2:24">
      <c r="B13" s="206"/>
      <c r="C13" s="206"/>
      <c r="D13" s="206"/>
      <c r="E13" s="206"/>
      <c r="F13" s="206"/>
      <c r="G13" s="206"/>
      <c r="H13" s="206"/>
      <c r="I13" s="206"/>
      <c r="J13" s="206"/>
      <c r="K13" s="206"/>
      <c r="L13" s="206"/>
      <c r="M13" s="206"/>
      <c r="N13" s="206"/>
      <c r="O13" s="206"/>
      <c r="P13" s="206"/>
      <c r="Q13" s="206"/>
      <c r="R13" s="206"/>
      <c r="S13" s="206"/>
      <c r="T13" s="206"/>
      <c r="U13" s="206"/>
      <c r="V13" s="206"/>
      <c r="W13" s="206"/>
      <c r="X13" s="206"/>
    </row>
    <row r="14" spans="2:24" ht="25.5">
      <c r="B14" s="330" t="s">
        <v>140</v>
      </c>
      <c r="C14" s="331"/>
      <c r="D14" s="216"/>
      <c r="E14" s="216"/>
      <c r="F14" s="216"/>
      <c r="G14" s="216"/>
      <c r="H14" s="216"/>
      <c r="I14" s="216"/>
      <c r="J14" s="216"/>
      <c r="K14" s="216"/>
      <c r="L14" s="216"/>
      <c r="M14" s="216"/>
      <c r="N14" s="216"/>
      <c r="O14" s="216"/>
      <c r="P14" s="216"/>
      <c r="Q14" s="216"/>
      <c r="R14" s="216"/>
      <c r="S14" s="217"/>
      <c r="T14" s="218" t="s">
        <v>66</v>
      </c>
      <c r="U14" s="218" t="s">
        <v>67</v>
      </c>
      <c r="V14" s="218" t="s">
        <v>68</v>
      </c>
      <c r="W14" s="193" t="s">
        <v>137</v>
      </c>
      <c r="X14" s="218" t="s">
        <v>70</v>
      </c>
    </row>
    <row r="15" spans="2:24">
      <c r="B15" s="219" t="s">
        <v>77</v>
      </c>
      <c r="C15" s="220">
        <v>5450.22</v>
      </c>
      <c r="D15" s="220">
        <v>5415.37</v>
      </c>
      <c r="E15" s="220">
        <v>5403.37</v>
      </c>
      <c r="F15" s="220">
        <v>5387.48</v>
      </c>
      <c r="G15" s="220">
        <v>5378.9</v>
      </c>
      <c r="H15" s="220">
        <v>5381.85</v>
      </c>
      <c r="I15" s="220">
        <v>5384.28</v>
      </c>
      <c r="J15" s="220">
        <v>5383.3</v>
      </c>
      <c r="K15" s="220">
        <v>5412.4</v>
      </c>
      <c r="L15" s="220">
        <v>5485.84</v>
      </c>
      <c r="M15" s="220">
        <v>5392.61</v>
      </c>
      <c r="N15" s="220">
        <v>5381.13</v>
      </c>
      <c r="O15" s="220">
        <v>5403.68</v>
      </c>
      <c r="P15" s="220">
        <v>5383.16</v>
      </c>
      <c r="Q15" s="220">
        <v>5405.58</v>
      </c>
      <c r="R15" s="220">
        <v>5422.1</v>
      </c>
      <c r="S15" s="220">
        <v>5499.05</v>
      </c>
      <c r="T15" s="221">
        <f>IF((S16=""),"",MAX(C17:S17))</f>
        <v>2250.0599999999995</v>
      </c>
      <c r="U15" s="221">
        <f>IF(S16="","",MIN(C17:S17))</f>
        <v>2138.9400000000005</v>
      </c>
      <c r="V15" s="221">
        <f>IF((S17=""),"",AVERAGE(C17:S17))</f>
        <v>2171.4035294117657</v>
      </c>
      <c r="W15" s="220">
        <f>STDEV(C17:S17)</f>
        <v>27.430177938990919</v>
      </c>
      <c r="X15" s="221">
        <f>IF((S16=""),"",((T15-U15)/(T15+U15))*100)</f>
        <v>2.5317840054681926</v>
      </c>
    </row>
    <row r="16" spans="2:24">
      <c r="B16" s="222" t="s">
        <v>78</v>
      </c>
      <c r="C16" s="220">
        <v>4365.16</v>
      </c>
      <c r="D16" s="220">
        <v>4345.05</v>
      </c>
      <c r="E16" s="220">
        <v>4331.76</v>
      </c>
      <c r="F16" s="220">
        <v>4315.78</v>
      </c>
      <c r="G16" s="220">
        <v>4302.0600000000004</v>
      </c>
      <c r="H16" s="220">
        <v>4304.9399999999996</v>
      </c>
      <c r="I16" s="220">
        <v>4298.7299999999996</v>
      </c>
      <c r="J16" s="220">
        <v>4292.5200000000004</v>
      </c>
      <c r="K16" s="220">
        <v>4287.37</v>
      </c>
      <c r="L16" s="220">
        <v>4393.3900000000003</v>
      </c>
      <c r="M16" s="220">
        <v>4299.07</v>
      </c>
      <c r="N16" s="220">
        <v>4284.59</v>
      </c>
      <c r="O16" s="220">
        <v>4334.21</v>
      </c>
      <c r="P16" s="220">
        <v>4296.4799999999996</v>
      </c>
      <c r="Q16" s="220">
        <v>4323.7</v>
      </c>
      <c r="R16" s="220">
        <v>4337.29</v>
      </c>
      <c r="S16" s="220">
        <v>4401.29</v>
      </c>
      <c r="T16" s="203"/>
      <c r="U16" s="203"/>
      <c r="V16" s="203"/>
      <c r="W16" s="203"/>
      <c r="X16" s="203"/>
    </row>
    <row r="17" spans="2:24" ht="51">
      <c r="B17" s="222" t="s">
        <v>79</v>
      </c>
      <c r="C17" s="223">
        <f t="shared" ref="C17:S17" si="2">IF(((C15="")*AND(C16="")),"",(C15-C16)*2)</f>
        <v>2170.1200000000008</v>
      </c>
      <c r="D17" s="223">
        <f t="shared" si="2"/>
        <v>2140.6399999999994</v>
      </c>
      <c r="E17" s="223">
        <f t="shared" si="2"/>
        <v>2143.2199999999993</v>
      </c>
      <c r="F17" s="223">
        <f t="shared" si="2"/>
        <v>2143.3999999999996</v>
      </c>
      <c r="G17" s="223">
        <f t="shared" si="2"/>
        <v>2153.6799999999985</v>
      </c>
      <c r="H17" s="223">
        <f t="shared" si="2"/>
        <v>2153.8200000000015</v>
      </c>
      <c r="I17" s="223">
        <f t="shared" si="2"/>
        <v>2171.1000000000004</v>
      </c>
      <c r="J17" s="223">
        <f t="shared" si="2"/>
        <v>2181.5599999999995</v>
      </c>
      <c r="K17" s="223">
        <f t="shared" si="2"/>
        <v>2250.0599999999995</v>
      </c>
      <c r="L17" s="223">
        <f t="shared" si="2"/>
        <v>2184.8999999999996</v>
      </c>
      <c r="M17" s="223">
        <f t="shared" si="2"/>
        <v>2187.08</v>
      </c>
      <c r="N17" s="223">
        <f t="shared" si="2"/>
        <v>2193.08</v>
      </c>
      <c r="O17" s="223">
        <f t="shared" si="2"/>
        <v>2138.9400000000005</v>
      </c>
      <c r="P17" s="223">
        <f t="shared" si="2"/>
        <v>2173.3600000000006</v>
      </c>
      <c r="Q17" s="223">
        <f t="shared" si="2"/>
        <v>2163.7600000000002</v>
      </c>
      <c r="R17" s="223">
        <f t="shared" si="2"/>
        <v>2169.6200000000008</v>
      </c>
      <c r="S17" s="223">
        <f t="shared" si="2"/>
        <v>2195.5200000000004</v>
      </c>
      <c r="T17" s="203"/>
      <c r="U17" s="203"/>
      <c r="V17" s="203"/>
      <c r="W17" s="205"/>
      <c r="X17" s="203"/>
    </row>
  </sheetData>
  <mergeCells count="5">
    <mergeCell ref="B2:E2"/>
    <mergeCell ref="I2:K2"/>
    <mergeCell ref="B8:E8"/>
    <mergeCell ref="I8:K8"/>
    <mergeCell ref="B14:C1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REPL1A-WSA</vt:lpstr>
      <vt:lpstr>_xlwings.conf</vt:lpstr>
      <vt:lpstr>REPL1A-CP</vt:lpstr>
      <vt:lpstr>REPL1A-ERNit</vt:lpstr>
      <vt:lpstr>REPL1A-ERPoly</vt:lpstr>
      <vt:lpstr>CP Plot</vt:lpstr>
      <vt:lpstr>SiN Plot</vt:lpstr>
      <vt:lpstr>Poly Plot</vt:lpstr>
      <vt:lpstr>RUN_code</vt:lpstr>
      <vt:lpstr>control limit calculation</vt:lpstr>
      <vt:lpstr>Daily CP monitor</vt:lpstr>
      <vt:lpstr>Sheet7</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2019-05-21T07:10:54Z</dcterms:modified>
</cp:coreProperties>
</file>