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showInkAnnotation="0" codeName="ThisWorkbook" autoCompressPictures="0"/>
  <mc:AlternateContent xmlns:mc="http://schemas.openxmlformats.org/markup-compatibility/2006">
    <mc:Choice Requires="x15">
      <x15ac:absPath xmlns:x15ac="http://schemas.microsoft.com/office/spreadsheetml/2010/11/ac" url="H:\excel\dryetch\Excel-office\macro_enabled_logbooks\CNT02_QC_LOG_BOOK\"/>
    </mc:Choice>
  </mc:AlternateContent>
  <xr:revisionPtr revIDLastSave="0" documentId="13_ncr:1_{C6584193-A639-4567-B0D2-C0FBA1406759}" xr6:coauthVersionLast="40" xr6:coauthVersionMax="40" xr10:uidLastSave="{00000000-0000-0000-0000-000000000000}"/>
  <bookViews>
    <workbookView xWindow="-5361" yWindow="-21135" windowWidth="38404" windowHeight="21135" tabRatio="625" activeTab="7" xr2:uid="{00000000-000D-0000-FFFF-FFFF00000000}"/>
  </bookViews>
  <sheets>
    <sheet name="REML1-WSA" sheetId="3" r:id="rId1"/>
    <sheet name="REML1-CP" sheetId="4" r:id="rId2"/>
    <sheet name="PR Ch A ER" sheetId="5" r:id="rId3"/>
    <sheet name="PR Ch C ER" sheetId="6" r:id="rId4"/>
    <sheet name="CP Plot" sheetId="7" r:id="rId5"/>
    <sheet name="PR Ch A Plot" sheetId="8" r:id="rId6"/>
    <sheet name="PR Ch C Plot" sheetId="9" r:id="rId7"/>
    <sheet name="RUN_code" sheetId="1" r:id="rId8"/>
    <sheet name="TEOS Ch A ER" sheetId="10" r:id="rId9"/>
    <sheet name="TEOS Ch A PLot" sheetId="11" r:id="rId10"/>
    <sheet name="Sheet10" sheetId="12" r:id="rId11"/>
    <sheet name="_xlwings.conf" sheetId="2" state="hidden" r:id="rId12"/>
  </sheets>
  <externalReferences>
    <externalReference r:id="rId13"/>
  </externalReferences>
  <calcPr calcId="181029"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L504" i="10" l="1"/>
  <c r="K504" i="10"/>
  <c r="J504" i="10"/>
  <c r="I504" i="10"/>
  <c r="H504" i="10"/>
  <c r="G504" i="10"/>
  <c r="F504" i="10"/>
  <c r="E504" i="10"/>
  <c r="D504" i="10"/>
  <c r="T502" i="10"/>
  <c r="R502" i="10"/>
  <c r="O502" i="10"/>
  <c r="N502" i="10"/>
  <c r="M502" i="10"/>
  <c r="L501" i="10"/>
  <c r="K501" i="10"/>
  <c r="J501" i="10"/>
  <c r="I501" i="10"/>
  <c r="H501" i="10"/>
  <c r="G501" i="10"/>
  <c r="F501" i="10"/>
  <c r="E501" i="10"/>
  <c r="D501" i="10"/>
  <c r="T499" i="10"/>
  <c r="R499" i="10"/>
  <c r="O499" i="10"/>
  <c r="N499" i="10"/>
  <c r="M499" i="10"/>
  <c r="L498" i="10"/>
  <c r="K498" i="10"/>
  <c r="J498" i="10"/>
  <c r="I498" i="10"/>
  <c r="H498" i="10"/>
  <c r="G498" i="10"/>
  <c r="F498" i="10"/>
  <c r="E498" i="10"/>
  <c r="D498" i="10"/>
  <c r="T496" i="10"/>
  <c r="R496" i="10"/>
  <c r="O496" i="10"/>
  <c r="N496" i="10"/>
  <c r="M496" i="10"/>
  <c r="L495" i="10"/>
  <c r="K495" i="10"/>
  <c r="J495" i="10"/>
  <c r="I495" i="10"/>
  <c r="H495" i="10"/>
  <c r="G495" i="10"/>
  <c r="F495" i="10"/>
  <c r="E495" i="10"/>
  <c r="D495" i="10"/>
  <c r="T493" i="10"/>
  <c r="R493" i="10"/>
  <c r="O493" i="10"/>
  <c r="N493" i="10"/>
  <c r="M493" i="10"/>
  <c r="L492" i="10"/>
  <c r="K492" i="10"/>
  <c r="J492" i="10"/>
  <c r="I492" i="10"/>
  <c r="H492" i="10"/>
  <c r="G492" i="10"/>
  <c r="F492" i="10"/>
  <c r="E492" i="10"/>
  <c r="D492" i="10"/>
  <c r="T490" i="10"/>
  <c r="R490" i="10"/>
  <c r="O490" i="10"/>
  <c r="N490" i="10"/>
  <c r="M490" i="10"/>
  <c r="L489" i="10"/>
  <c r="K489" i="10"/>
  <c r="J489" i="10"/>
  <c r="I489" i="10"/>
  <c r="H489" i="10"/>
  <c r="G489" i="10"/>
  <c r="F489" i="10"/>
  <c r="E489" i="10"/>
  <c r="D489" i="10"/>
  <c r="T487" i="10"/>
  <c r="R487" i="10"/>
  <c r="O487" i="10"/>
  <c r="N487" i="10"/>
  <c r="M487" i="10"/>
  <c r="L486" i="10"/>
  <c r="K486" i="10"/>
  <c r="J486" i="10"/>
  <c r="I486" i="10"/>
  <c r="H486" i="10"/>
  <c r="G486" i="10"/>
  <c r="F486" i="10"/>
  <c r="E486" i="10"/>
  <c r="D486" i="10"/>
  <c r="T484" i="10"/>
  <c r="R484" i="10"/>
  <c r="O484" i="10"/>
  <c r="N484" i="10"/>
  <c r="M484" i="10"/>
  <c r="L483" i="10"/>
  <c r="K483" i="10"/>
  <c r="J483" i="10"/>
  <c r="I483" i="10"/>
  <c r="H483" i="10"/>
  <c r="G483" i="10"/>
  <c r="F483" i="10"/>
  <c r="E483" i="10"/>
  <c r="D483" i="10"/>
  <c r="T481" i="10"/>
  <c r="R481" i="10"/>
  <c r="O481" i="10"/>
  <c r="N481" i="10"/>
  <c r="M481" i="10"/>
  <c r="L480" i="10"/>
  <c r="K480" i="10"/>
  <c r="J480" i="10"/>
  <c r="I480" i="10"/>
  <c r="H480" i="10"/>
  <c r="G480" i="10"/>
  <c r="F480" i="10"/>
  <c r="E480" i="10"/>
  <c r="D480" i="10"/>
  <c r="T478" i="10"/>
  <c r="R478" i="10"/>
  <c r="O478" i="10"/>
  <c r="N478" i="10"/>
  <c r="M478" i="10"/>
  <c r="L477" i="10"/>
  <c r="K477" i="10"/>
  <c r="J477" i="10"/>
  <c r="I477" i="10"/>
  <c r="H477" i="10"/>
  <c r="G477" i="10"/>
  <c r="F477" i="10"/>
  <c r="E477" i="10"/>
  <c r="D477" i="10"/>
  <c r="T475" i="10"/>
  <c r="R475" i="10"/>
  <c r="O475" i="10"/>
  <c r="N475" i="10"/>
  <c r="M475" i="10"/>
  <c r="L474" i="10"/>
  <c r="K474" i="10"/>
  <c r="J474" i="10"/>
  <c r="I474" i="10"/>
  <c r="H474" i="10"/>
  <c r="G474" i="10"/>
  <c r="F474" i="10"/>
  <c r="E474" i="10"/>
  <c r="D474" i="10"/>
  <c r="T472" i="10"/>
  <c r="R472" i="10"/>
  <c r="O472" i="10"/>
  <c r="N472" i="10"/>
  <c r="M472" i="10"/>
  <c r="L471" i="10"/>
  <c r="K471" i="10"/>
  <c r="J471" i="10"/>
  <c r="I471" i="10"/>
  <c r="H471" i="10"/>
  <c r="G471" i="10"/>
  <c r="F471" i="10"/>
  <c r="E471" i="10"/>
  <c r="D471" i="10"/>
  <c r="T469" i="10"/>
  <c r="R469" i="10"/>
  <c r="O469" i="10"/>
  <c r="N469" i="10"/>
  <c r="M469" i="10"/>
  <c r="L468" i="10"/>
  <c r="K468" i="10"/>
  <c r="J468" i="10"/>
  <c r="I468" i="10"/>
  <c r="H468" i="10"/>
  <c r="G468" i="10"/>
  <c r="F468" i="10"/>
  <c r="E468" i="10"/>
  <c r="D468" i="10"/>
  <c r="T466" i="10"/>
  <c r="R466" i="10"/>
  <c r="O466" i="10"/>
  <c r="N466" i="10"/>
  <c r="M466" i="10"/>
  <c r="L465" i="10"/>
  <c r="K465" i="10"/>
  <c r="J465" i="10"/>
  <c r="I465" i="10"/>
  <c r="H465" i="10"/>
  <c r="G465" i="10"/>
  <c r="F465" i="10"/>
  <c r="E465" i="10"/>
  <c r="D465" i="10"/>
  <c r="T463" i="10"/>
  <c r="R463" i="10"/>
  <c r="O463" i="10"/>
  <c r="N463" i="10"/>
  <c r="M463" i="10"/>
  <c r="L462" i="10"/>
  <c r="K462" i="10"/>
  <c r="J462" i="10"/>
  <c r="I462" i="10"/>
  <c r="H462" i="10"/>
  <c r="G462" i="10"/>
  <c r="F462" i="10"/>
  <c r="E462" i="10"/>
  <c r="D462" i="10"/>
  <c r="T460" i="10"/>
  <c r="R460" i="10"/>
  <c r="O460" i="10"/>
  <c r="N460" i="10"/>
  <c r="M460" i="10"/>
  <c r="L459" i="10"/>
  <c r="K459" i="10"/>
  <c r="J459" i="10"/>
  <c r="I459" i="10"/>
  <c r="H459" i="10"/>
  <c r="G459" i="10"/>
  <c r="F459" i="10"/>
  <c r="E459" i="10"/>
  <c r="D459" i="10"/>
  <c r="T457" i="10"/>
  <c r="R457" i="10"/>
  <c r="O457" i="10"/>
  <c r="N457" i="10"/>
  <c r="M457" i="10"/>
  <c r="L456" i="10"/>
  <c r="K456" i="10"/>
  <c r="J456" i="10"/>
  <c r="I456" i="10"/>
  <c r="H456" i="10"/>
  <c r="G456" i="10"/>
  <c r="F456" i="10"/>
  <c r="E456" i="10"/>
  <c r="D456" i="10"/>
  <c r="T454" i="10"/>
  <c r="R454" i="10"/>
  <c r="O454" i="10"/>
  <c r="N454" i="10"/>
  <c r="M454" i="10"/>
  <c r="L453" i="10"/>
  <c r="K453" i="10"/>
  <c r="J453" i="10"/>
  <c r="I453" i="10"/>
  <c r="H453" i="10"/>
  <c r="G453" i="10"/>
  <c r="F453" i="10"/>
  <c r="E453" i="10"/>
  <c r="D453" i="10"/>
  <c r="T451" i="10"/>
  <c r="R451" i="10"/>
  <c r="O451" i="10"/>
  <c r="N451" i="10"/>
  <c r="M451" i="10"/>
  <c r="L450" i="10"/>
  <c r="K450" i="10"/>
  <c r="J450" i="10"/>
  <c r="I450" i="10"/>
  <c r="H450" i="10"/>
  <c r="G450" i="10"/>
  <c r="F450" i="10"/>
  <c r="E450" i="10"/>
  <c r="D450" i="10"/>
  <c r="T448" i="10"/>
  <c r="R448" i="10"/>
  <c r="O448" i="10"/>
  <c r="N448" i="10"/>
  <c r="M448" i="10"/>
  <c r="L447" i="10"/>
  <c r="K447" i="10"/>
  <c r="J447" i="10"/>
  <c r="I447" i="10"/>
  <c r="H447" i="10"/>
  <c r="G447" i="10"/>
  <c r="F447" i="10"/>
  <c r="E447" i="10"/>
  <c r="D447" i="10"/>
  <c r="T445" i="10"/>
  <c r="R445" i="10"/>
  <c r="O445" i="10"/>
  <c r="N445" i="10"/>
  <c r="M445" i="10"/>
  <c r="L444" i="10"/>
  <c r="K444" i="10"/>
  <c r="J444" i="10"/>
  <c r="I444" i="10"/>
  <c r="H444" i="10"/>
  <c r="G444" i="10"/>
  <c r="F444" i="10"/>
  <c r="E444" i="10"/>
  <c r="D444" i="10"/>
  <c r="T442" i="10"/>
  <c r="R442" i="10"/>
  <c r="O442" i="10"/>
  <c r="N442" i="10"/>
  <c r="M442" i="10"/>
  <c r="L441" i="10"/>
  <c r="K441" i="10"/>
  <c r="J441" i="10"/>
  <c r="I441" i="10"/>
  <c r="H441" i="10"/>
  <c r="G441" i="10"/>
  <c r="F441" i="10"/>
  <c r="E441" i="10"/>
  <c r="D441" i="10"/>
  <c r="T439" i="10"/>
  <c r="R439" i="10"/>
  <c r="O439" i="10"/>
  <c r="N439" i="10"/>
  <c r="M439" i="10"/>
  <c r="L438" i="10"/>
  <c r="K438" i="10"/>
  <c r="J438" i="10"/>
  <c r="I438" i="10"/>
  <c r="H438" i="10"/>
  <c r="G438" i="10"/>
  <c r="F438" i="10"/>
  <c r="E438" i="10"/>
  <c r="D438" i="10"/>
  <c r="T436" i="10"/>
  <c r="R436" i="10"/>
  <c r="O436" i="10"/>
  <c r="N436" i="10"/>
  <c r="M436" i="10"/>
  <c r="L435" i="10"/>
  <c r="K435" i="10"/>
  <c r="J435" i="10"/>
  <c r="I435" i="10"/>
  <c r="H435" i="10"/>
  <c r="G435" i="10"/>
  <c r="F435" i="10"/>
  <c r="E435" i="10"/>
  <c r="D435" i="10"/>
  <c r="T433" i="10"/>
  <c r="R433" i="10"/>
  <c r="O433" i="10"/>
  <c r="N433" i="10"/>
  <c r="M433" i="10"/>
  <c r="L432" i="10"/>
  <c r="K432" i="10"/>
  <c r="J432" i="10"/>
  <c r="I432" i="10"/>
  <c r="H432" i="10"/>
  <c r="G432" i="10"/>
  <c r="F432" i="10"/>
  <c r="E432" i="10"/>
  <c r="D432" i="10"/>
  <c r="T430" i="10"/>
  <c r="R430" i="10"/>
  <c r="O430" i="10"/>
  <c r="N430" i="10"/>
  <c r="M430" i="10"/>
  <c r="L429" i="10"/>
  <c r="K429" i="10"/>
  <c r="J429" i="10"/>
  <c r="I429" i="10"/>
  <c r="H429" i="10"/>
  <c r="G429" i="10"/>
  <c r="F429" i="10"/>
  <c r="E429" i="10"/>
  <c r="D429" i="10"/>
  <c r="T427" i="10"/>
  <c r="R427" i="10"/>
  <c r="O427" i="10"/>
  <c r="N427" i="10"/>
  <c r="M427" i="10"/>
  <c r="L426" i="10"/>
  <c r="K426" i="10"/>
  <c r="J426" i="10"/>
  <c r="I426" i="10"/>
  <c r="H426" i="10"/>
  <c r="G426" i="10"/>
  <c r="F426" i="10"/>
  <c r="E426" i="10"/>
  <c r="D426" i="10"/>
  <c r="T424" i="10"/>
  <c r="R424" i="10"/>
  <c r="O424" i="10"/>
  <c r="N424" i="10"/>
  <c r="M424" i="10"/>
  <c r="L423" i="10"/>
  <c r="K423" i="10"/>
  <c r="J423" i="10"/>
  <c r="I423" i="10"/>
  <c r="H423" i="10"/>
  <c r="G423" i="10"/>
  <c r="F423" i="10"/>
  <c r="E423" i="10"/>
  <c r="D423" i="10"/>
  <c r="T421" i="10"/>
  <c r="R421" i="10"/>
  <c r="O421" i="10"/>
  <c r="N421" i="10"/>
  <c r="M421" i="10"/>
  <c r="L420" i="10"/>
  <c r="K420" i="10"/>
  <c r="J420" i="10"/>
  <c r="I420" i="10"/>
  <c r="H420" i="10"/>
  <c r="G420" i="10"/>
  <c r="F420" i="10"/>
  <c r="E420" i="10"/>
  <c r="D420" i="10"/>
  <c r="T418" i="10"/>
  <c r="R418" i="10"/>
  <c r="O418" i="10"/>
  <c r="N418" i="10"/>
  <c r="M418" i="10"/>
  <c r="L417" i="10"/>
  <c r="K417" i="10"/>
  <c r="J417" i="10"/>
  <c r="I417" i="10"/>
  <c r="H417" i="10"/>
  <c r="G417" i="10"/>
  <c r="F417" i="10"/>
  <c r="E417" i="10"/>
  <c r="D417" i="10"/>
  <c r="T415" i="10"/>
  <c r="R415" i="10"/>
  <c r="O415" i="10"/>
  <c r="N415" i="10"/>
  <c r="M415" i="10"/>
  <c r="L414" i="10"/>
  <c r="K414" i="10"/>
  <c r="J414" i="10"/>
  <c r="I414" i="10"/>
  <c r="H414" i="10"/>
  <c r="G414" i="10"/>
  <c r="F414" i="10"/>
  <c r="E414" i="10"/>
  <c r="D414" i="10"/>
  <c r="T412" i="10"/>
  <c r="R412" i="10"/>
  <c r="O412" i="10"/>
  <c r="N412" i="10"/>
  <c r="M412" i="10"/>
  <c r="L411" i="10"/>
  <c r="K411" i="10"/>
  <c r="J411" i="10"/>
  <c r="I411" i="10"/>
  <c r="H411" i="10"/>
  <c r="G411" i="10"/>
  <c r="F411" i="10"/>
  <c r="E411" i="10"/>
  <c r="D411" i="10"/>
  <c r="T409" i="10"/>
  <c r="R409" i="10"/>
  <c r="O409" i="10"/>
  <c r="N409" i="10"/>
  <c r="M409" i="10"/>
  <c r="L408" i="10"/>
  <c r="K408" i="10"/>
  <c r="J408" i="10"/>
  <c r="I408" i="10"/>
  <c r="H408" i="10"/>
  <c r="G408" i="10"/>
  <c r="F408" i="10"/>
  <c r="E408" i="10"/>
  <c r="D408" i="10"/>
  <c r="T406" i="10"/>
  <c r="R406" i="10"/>
  <c r="O406" i="10"/>
  <c r="N406" i="10"/>
  <c r="M406" i="10"/>
  <c r="L405" i="10"/>
  <c r="K405" i="10"/>
  <c r="J405" i="10"/>
  <c r="I405" i="10"/>
  <c r="H405" i="10"/>
  <c r="G405" i="10"/>
  <c r="F405" i="10"/>
  <c r="E405" i="10"/>
  <c r="D405" i="10"/>
  <c r="T403" i="10"/>
  <c r="R403" i="10"/>
  <c r="O403" i="10"/>
  <c r="N403" i="10"/>
  <c r="M403" i="10"/>
  <c r="L402" i="10"/>
  <c r="K402" i="10"/>
  <c r="J402" i="10"/>
  <c r="I402" i="10"/>
  <c r="H402" i="10"/>
  <c r="G402" i="10"/>
  <c r="F402" i="10"/>
  <c r="E402" i="10"/>
  <c r="D402" i="10"/>
  <c r="T400" i="10"/>
  <c r="R400" i="10"/>
  <c r="O400" i="10"/>
  <c r="N400" i="10"/>
  <c r="M400" i="10"/>
  <c r="L399" i="10"/>
  <c r="K399" i="10"/>
  <c r="J399" i="10"/>
  <c r="I399" i="10"/>
  <c r="H399" i="10"/>
  <c r="G399" i="10"/>
  <c r="F399" i="10"/>
  <c r="E399" i="10"/>
  <c r="D399" i="10"/>
  <c r="T397" i="10"/>
  <c r="R397" i="10"/>
  <c r="O397" i="10"/>
  <c r="N397" i="10"/>
  <c r="M397" i="10"/>
  <c r="L396" i="10"/>
  <c r="K396" i="10"/>
  <c r="J396" i="10"/>
  <c r="I396" i="10"/>
  <c r="H396" i="10"/>
  <c r="G396" i="10"/>
  <c r="F396" i="10"/>
  <c r="E396" i="10"/>
  <c r="D396" i="10"/>
  <c r="T394" i="10"/>
  <c r="R394" i="10"/>
  <c r="O394" i="10"/>
  <c r="N394" i="10"/>
  <c r="M394" i="10"/>
  <c r="L393" i="10"/>
  <c r="K393" i="10"/>
  <c r="J393" i="10"/>
  <c r="I393" i="10"/>
  <c r="H393" i="10"/>
  <c r="G393" i="10"/>
  <c r="F393" i="10"/>
  <c r="E393" i="10"/>
  <c r="D393" i="10"/>
  <c r="T391" i="10"/>
  <c r="R391" i="10"/>
  <c r="O391" i="10"/>
  <c r="N391" i="10"/>
  <c r="M391" i="10"/>
  <c r="L390" i="10"/>
  <c r="K390" i="10"/>
  <c r="J390" i="10"/>
  <c r="I390" i="10"/>
  <c r="H390" i="10"/>
  <c r="G390" i="10"/>
  <c r="F390" i="10"/>
  <c r="E390" i="10"/>
  <c r="D390" i="10"/>
  <c r="T388" i="10"/>
  <c r="R388" i="10"/>
  <c r="O388" i="10"/>
  <c r="N388" i="10"/>
  <c r="M388" i="10"/>
  <c r="L387" i="10"/>
  <c r="K387" i="10"/>
  <c r="J387" i="10"/>
  <c r="I387" i="10"/>
  <c r="H387" i="10"/>
  <c r="G387" i="10"/>
  <c r="F387" i="10"/>
  <c r="E387" i="10"/>
  <c r="D387" i="10"/>
  <c r="T385" i="10"/>
  <c r="R385" i="10"/>
  <c r="O385" i="10"/>
  <c r="N385" i="10"/>
  <c r="M385" i="10"/>
  <c r="L384" i="10"/>
  <c r="K384" i="10"/>
  <c r="J384" i="10"/>
  <c r="I384" i="10"/>
  <c r="H384" i="10"/>
  <c r="G384" i="10"/>
  <c r="F384" i="10"/>
  <c r="E384" i="10"/>
  <c r="D384" i="10"/>
  <c r="T382" i="10"/>
  <c r="R382" i="10"/>
  <c r="O382" i="10"/>
  <c r="N382" i="10"/>
  <c r="M382" i="10"/>
  <c r="L381" i="10"/>
  <c r="K381" i="10"/>
  <c r="J381" i="10"/>
  <c r="I381" i="10"/>
  <c r="H381" i="10"/>
  <c r="G381" i="10"/>
  <c r="F381" i="10"/>
  <c r="E381" i="10"/>
  <c r="D381" i="10"/>
  <c r="T379" i="10"/>
  <c r="R379" i="10"/>
  <c r="O379" i="10"/>
  <c r="N379" i="10"/>
  <c r="M379" i="10"/>
  <c r="L378" i="10"/>
  <c r="K378" i="10"/>
  <c r="J378" i="10"/>
  <c r="I378" i="10"/>
  <c r="H378" i="10"/>
  <c r="G378" i="10"/>
  <c r="F378" i="10"/>
  <c r="E378" i="10"/>
  <c r="D378" i="10"/>
  <c r="T376" i="10"/>
  <c r="R376" i="10"/>
  <c r="O376" i="10"/>
  <c r="N376" i="10"/>
  <c r="M376" i="10"/>
  <c r="L375" i="10"/>
  <c r="K375" i="10"/>
  <c r="J375" i="10"/>
  <c r="I375" i="10"/>
  <c r="H375" i="10"/>
  <c r="G375" i="10"/>
  <c r="F375" i="10"/>
  <c r="E375" i="10"/>
  <c r="D375" i="10"/>
  <c r="T373" i="10"/>
  <c r="R373" i="10"/>
  <c r="O373" i="10"/>
  <c r="N373" i="10"/>
  <c r="M373" i="10"/>
  <c r="L372" i="10"/>
  <c r="K372" i="10"/>
  <c r="J372" i="10"/>
  <c r="I372" i="10"/>
  <c r="H372" i="10"/>
  <c r="G372" i="10"/>
  <c r="F372" i="10"/>
  <c r="E372" i="10"/>
  <c r="D372" i="10"/>
  <c r="T370" i="10"/>
  <c r="R370" i="10"/>
  <c r="O370" i="10"/>
  <c r="N370" i="10"/>
  <c r="M370" i="10"/>
  <c r="L369" i="10"/>
  <c r="K369" i="10"/>
  <c r="J369" i="10"/>
  <c r="I369" i="10"/>
  <c r="H369" i="10"/>
  <c r="G369" i="10"/>
  <c r="F369" i="10"/>
  <c r="E369" i="10"/>
  <c r="D369" i="10"/>
  <c r="T367" i="10"/>
  <c r="R367" i="10"/>
  <c r="O367" i="10"/>
  <c r="N367" i="10"/>
  <c r="M367" i="10"/>
  <c r="L366" i="10"/>
  <c r="K366" i="10"/>
  <c r="J366" i="10"/>
  <c r="I366" i="10"/>
  <c r="H366" i="10"/>
  <c r="G366" i="10"/>
  <c r="F366" i="10"/>
  <c r="E366" i="10"/>
  <c r="D366" i="10"/>
  <c r="T364" i="10"/>
  <c r="R364" i="10"/>
  <c r="O364" i="10"/>
  <c r="N364" i="10"/>
  <c r="M364" i="10"/>
  <c r="L363" i="10"/>
  <c r="K363" i="10"/>
  <c r="J363" i="10"/>
  <c r="I363" i="10"/>
  <c r="H363" i="10"/>
  <c r="G363" i="10"/>
  <c r="F363" i="10"/>
  <c r="E363" i="10"/>
  <c r="D363" i="10"/>
  <c r="T361" i="10"/>
  <c r="R361" i="10"/>
  <c r="O361" i="10"/>
  <c r="N361" i="10"/>
  <c r="M361" i="10"/>
  <c r="L360" i="10"/>
  <c r="K360" i="10"/>
  <c r="J360" i="10"/>
  <c r="I360" i="10"/>
  <c r="H360" i="10"/>
  <c r="G360" i="10"/>
  <c r="F360" i="10"/>
  <c r="E360" i="10"/>
  <c r="D360" i="10"/>
  <c r="T358" i="10"/>
  <c r="R358" i="10"/>
  <c r="O358" i="10"/>
  <c r="N358" i="10"/>
  <c r="M358" i="10"/>
  <c r="L357" i="10"/>
  <c r="K357" i="10"/>
  <c r="J357" i="10"/>
  <c r="I357" i="10"/>
  <c r="H357" i="10"/>
  <c r="G357" i="10"/>
  <c r="F357" i="10"/>
  <c r="E357" i="10"/>
  <c r="D357" i="10"/>
  <c r="T355" i="10"/>
  <c r="R355" i="10"/>
  <c r="O355" i="10"/>
  <c r="N355" i="10"/>
  <c r="M355" i="10"/>
  <c r="L354" i="10"/>
  <c r="K354" i="10"/>
  <c r="J354" i="10"/>
  <c r="I354" i="10"/>
  <c r="H354" i="10"/>
  <c r="G354" i="10"/>
  <c r="F354" i="10"/>
  <c r="E354" i="10"/>
  <c r="D354" i="10"/>
  <c r="T352" i="10"/>
  <c r="R352" i="10"/>
  <c r="O352" i="10"/>
  <c r="N352" i="10"/>
  <c r="M352" i="10"/>
  <c r="L351" i="10"/>
  <c r="K351" i="10"/>
  <c r="J351" i="10"/>
  <c r="I351" i="10"/>
  <c r="H351" i="10"/>
  <c r="G351" i="10"/>
  <c r="F351" i="10"/>
  <c r="E351" i="10"/>
  <c r="D351" i="10"/>
  <c r="T349" i="10"/>
  <c r="R349" i="10"/>
  <c r="O349" i="10"/>
  <c r="N349" i="10"/>
  <c r="M349" i="10"/>
  <c r="L348" i="10"/>
  <c r="K348" i="10"/>
  <c r="J348" i="10"/>
  <c r="I348" i="10"/>
  <c r="H348" i="10"/>
  <c r="G348" i="10"/>
  <c r="F348" i="10"/>
  <c r="E348" i="10"/>
  <c r="D348" i="10"/>
  <c r="T346" i="10"/>
  <c r="R346" i="10"/>
  <c r="O346" i="10"/>
  <c r="N346" i="10"/>
  <c r="M346" i="10"/>
  <c r="L345" i="10"/>
  <c r="K345" i="10"/>
  <c r="J345" i="10"/>
  <c r="I345" i="10"/>
  <c r="H345" i="10"/>
  <c r="G345" i="10"/>
  <c r="F345" i="10"/>
  <c r="E345" i="10"/>
  <c r="D345" i="10"/>
  <c r="T343" i="10"/>
  <c r="R343" i="10"/>
  <c r="O343" i="10"/>
  <c r="N343" i="10"/>
  <c r="M343" i="10"/>
  <c r="L342" i="10"/>
  <c r="K342" i="10"/>
  <c r="J342" i="10"/>
  <c r="I342" i="10"/>
  <c r="H342" i="10"/>
  <c r="G342" i="10"/>
  <c r="F342" i="10"/>
  <c r="E342" i="10"/>
  <c r="D342" i="10"/>
  <c r="T340" i="10"/>
  <c r="R340" i="10"/>
  <c r="O340" i="10"/>
  <c r="N340" i="10"/>
  <c r="M340" i="10"/>
  <c r="L339" i="10"/>
  <c r="K339" i="10"/>
  <c r="J339" i="10"/>
  <c r="I339" i="10"/>
  <c r="H339" i="10"/>
  <c r="G339" i="10"/>
  <c r="F339" i="10"/>
  <c r="E339" i="10"/>
  <c r="D339" i="10"/>
  <c r="T337" i="10"/>
  <c r="R337" i="10"/>
  <c r="O337" i="10"/>
  <c r="N337" i="10"/>
  <c r="M337" i="10"/>
  <c r="L336" i="10"/>
  <c r="K336" i="10"/>
  <c r="J336" i="10"/>
  <c r="I336" i="10"/>
  <c r="H336" i="10"/>
  <c r="G336" i="10"/>
  <c r="F336" i="10"/>
  <c r="E336" i="10"/>
  <c r="D336" i="10"/>
  <c r="T334" i="10"/>
  <c r="R334" i="10"/>
  <c r="O334" i="10"/>
  <c r="N334" i="10"/>
  <c r="M334" i="10"/>
  <c r="L333" i="10"/>
  <c r="K333" i="10"/>
  <c r="J333" i="10"/>
  <c r="I333" i="10"/>
  <c r="H333" i="10"/>
  <c r="G333" i="10"/>
  <c r="F333" i="10"/>
  <c r="E333" i="10"/>
  <c r="D333" i="10"/>
  <c r="T331" i="10"/>
  <c r="R331" i="10"/>
  <c r="O331" i="10"/>
  <c r="N331" i="10"/>
  <c r="M331" i="10"/>
  <c r="L330" i="10"/>
  <c r="K330" i="10"/>
  <c r="J330" i="10"/>
  <c r="I330" i="10"/>
  <c r="H330" i="10"/>
  <c r="G330" i="10"/>
  <c r="F330" i="10"/>
  <c r="E330" i="10"/>
  <c r="D330" i="10"/>
  <c r="T328" i="10"/>
  <c r="R328" i="10"/>
  <c r="O328" i="10"/>
  <c r="N328" i="10"/>
  <c r="M328" i="10"/>
  <c r="L327" i="10"/>
  <c r="K327" i="10"/>
  <c r="J327" i="10"/>
  <c r="I327" i="10"/>
  <c r="H327" i="10"/>
  <c r="G327" i="10"/>
  <c r="F327" i="10"/>
  <c r="E327" i="10"/>
  <c r="D327" i="10"/>
  <c r="T325" i="10"/>
  <c r="R325" i="10"/>
  <c r="O325" i="10"/>
  <c r="N325" i="10"/>
  <c r="M325" i="10"/>
  <c r="L324" i="10"/>
  <c r="K324" i="10"/>
  <c r="J324" i="10"/>
  <c r="I324" i="10"/>
  <c r="H324" i="10"/>
  <c r="G324" i="10"/>
  <c r="F324" i="10"/>
  <c r="E324" i="10"/>
  <c r="D324" i="10"/>
  <c r="T322" i="10"/>
  <c r="R322" i="10"/>
  <c r="O322" i="10"/>
  <c r="N322" i="10"/>
  <c r="M322" i="10"/>
  <c r="L321" i="10"/>
  <c r="K321" i="10"/>
  <c r="J321" i="10"/>
  <c r="I321" i="10"/>
  <c r="H321" i="10"/>
  <c r="G321" i="10"/>
  <c r="F321" i="10"/>
  <c r="E321" i="10"/>
  <c r="D321" i="10"/>
  <c r="T319" i="10"/>
  <c r="R319" i="10"/>
  <c r="O319" i="10"/>
  <c r="N319" i="10"/>
  <c r="M319" i="10"/>
  <c r="L318" i="10"/>
  <c r="K318" i="10"/>
  <c r="J318" i="10"/>
  <c r="I318" i="10"/>
  <c r="H318" i="10"/>
  <c r="G318" i="10"/>
  <c r="F318" i="10"/>
  <c r="E318" i="10"/>
  <c r="D318" i="10"/>
  <c r="T316" i="10"/>
  <c r="R316" i="10"/>
  <c r="O316" i="10"/>
  <c r="N316" i="10"/>
  <c r="M316" i="10"/>
  <c r="L315" i="10"/>
  <c r="K315" i="10"/>
  <c r="J315" i="10"/>
  <c r="I315" i="10"/>
  <c r="H315" i="10"/>
  <c r="G315" i="10"/>
  <c r="F315" i="10"/>
  <c r="E315" i="10"/>
  <c r="D315" i="10"/>
  <c r="T313" i="10"/>
  <c r="R313" i="10"/>
  <c r="O313" i="10"/>
  <c r="N313" i="10"/>
  <c r="M313" i="10"/>
  <c r="L312" i="10"/>
  <c r="K312" i="10"/>
  <c r="J312" i="10"/>
  <c r="I312" i="10"/>
  <c r="H312" i="10"/>
  <c r="G312" i="10"/>
  <c r="F312" i="10"/>
  <c r="E312" i="10"/>
  <c r="D312" i="10"/>
  <c r="T310" i="10"/>
  <c r="R310" i="10"/>
  <c r="O310" i="10"/>
  <c r="N310" i="10"/>
  <c r="M310" i="10"/>
  <c r="L309" i="10"/>
  <c r="K309" i="10"/>
  <c r="J309" i="10"/>
  <c r="I309" i="10"/>
  <c r="H309" i="10"/>
  <c r="G309" i="10"/>
  <c r="F309" i="10"/>
  <c r="E309" i="10"/>
  <c r="D309" i="10"/>
  <c r="T307" i="10"/>
  <c r="R307" i="10"/>
  <c r="O307" i="10"/>
  <c r="N307" i="10"/>
  <c r="M307" i="10"/>
  <c r="L306" i="10"/>
  <c r="K306" i="10"/>
  <c r="J306" i="10"/>
  <c r="I306" i="10"/>
  <c r="H306" i="10"/>
  <c r="G306" i="10"/>
  <c r="F306" i="10"/>
  <c r="E306" i="10"/>
  <c r="D306" i="10"/>
  <c r="T304" i="10"/>
  <c r="R304" i="10"/>
  <c r="O304" i="10"/>
  <c r="N304" i="10"/>
  <c r="M304" i="10"/>
  <c r="L303" i="10"/>
  <c r="K303" i="10"/>
  <c r="J303" i="10"/>
  <c r="I303" i="10"/>
  <c r="H303" i="10"/>
  <c r="G303" i="10"/>
  <c r="F303" i="10"/>
  <c r="E303" i="10"/>
  <c r="D303" i="10"/>
  <c r="T301" i="10"/>
  <c r="R301" i="10"/>
  <c r="O301" i="10"/>
  <c r="N301" i="10"/>
  <c r="M301" i="10"/>
  <c r="L300" i="10"/>
  <c r="K300" i="10"/>
  <c r="J300" i="10"/>
  <c r="I300" i="10"/>
  <c r="H300" i="10"/>
  <c r="G300" i="10"/>
  <c r="F300" i="10"/>
  <c r="E300" i="10"/>
  <c r="D300" i="10"/>
  <c r="T298" i="10"/>
  <c r="R298" i="10"/>
  <c r="O298" i="10"/>
  <c r="N298" i="10"/>
  <c r="M298" i="10"/>
  <c r="L297" i="10"/>
  <c r="K297" i="10"/>
  <c r="J297" i="10"/>
  <c r="I297" i="10"/>
  <c r="H297" i="10"/>
  <c r="G297" i="10"/>
  <c r="F297" i="10"/>
  <c r="E297" i="10"/>
  <c r="D297" i="10"/>
  <c r="T295" i="10"/>
  <c r="R295" i="10"/>
  <c r="O295" i="10"/>
  <c r="N295" i="10"/>
  <c r="M295" i="10"/>
  <c r="L294" i="10"/>
  <c r="K294" i="10"/>
  <c r="J294" i="10"/>
  <c r="I294" i="10"/>
  <c r="H294" i="10"/>
  <c r="G294" i="10"/>
  <c r="F294" i="10"/>
  <c r="E294" i="10"/>
  <c r="D294" i="10"/>
  <c r="T292" i="10"/>
  <c r="R292" i="10"/>
  <c r="O292" i="10"/>
  <c r="N292" i="10"/>
  <c r="M292" i="10"/>
  <c r="L291" i="10"/>
  <c r="K291" i="10"/>
  <c r="J291" i="10"/>
  <c r="I291" i="10"/>
  <c r="H291" i="10"/>
  <c r="G291" i="10"/>
  <c r="F291" i="10"/>
  <c r="E291" i="10"/>
  <c r="D291" i="10"/>
  <c r="T289" i="10"/>
  <c r="R289" i="10"/>
  <c r="O289" i="10"/>
  <c r="N289" i="10"/>
  <c r="M289" i="10"/>
  <c r="L288" i="10"/>
  <c r="K288" i="10"/>
  <c r="J288" i="10"/>
  <c r="I288" i="10"/>
  <c r="H288" i="10"/>
  <c r="G288" i="10"/>
  <c r="F288" i="10"/>
  <c r="E288" i="10"/>
  <c r="D288" i="10"/>
  <c r="T286" i="10"/>
  <c r="R286" i="10"/>
  <c r="O286" i="10"/>
  <c r="N286" i="10"/>
  <c r="M286" i="10"/>
  <c r="L285" i="10"/>
  <c r="K285" i="10"/>
  <c r="J285" i="10"/>
  <c r="I285" i="10"/>
  <c r="H285" i="10"/>
  <c r="G285" i="10"/>
  <c r="F285" i="10"/>
  <c r="E285" i="10"/>
  <c r="D285" i="10"/>
  <c r="T283" i="10"/>
  <c r="R283" i="10"/>
  <c r="O283" i="10"/>
  <c r="N283" i="10"/>
  <c r="M283" i="10"/>
  <c r="L282" i="10"/>
  <c r="K282" i="10"/>
  <c r="J282" i="10"/>
  <c r="I282" i="10"/>
  <c r="H282" i="10"/>
  <c r="G282" i="10"/>
  <c r="F282" i="10"/>
  <c r="E282" i="10"/>
  <c r="D282" i="10"/>
  <c r="T280" i="10"/>
  <c r="R280" i="10"/>
  <c r="O280" i="10"/>
  <c r="N280" i="10"/>
  <c r="M280" i="10"/>
  <c r="L279" i="10"/>
  <c r="K279" i="10"/>
  <c r="J279" i="10"/>
  <c r="I279" i="10"/>
  <c r="H279" i="10"/>
  <c r="G279" i="10"/>
  <c r="F279" i="10"/>
  <c r="E279" i="10"/>
  <c r="D279" i="10"/>
  <c r="T277" i="10"/>
  <c r="R277" i="10"/>
  <c r="O277" i="10"/>
  <c r="N277" i="10"/>
  <c r="M277" i="10"/>
  <c r="L276" i="10"/>
  <c r="K276" i="10"/>
  <c r="J276" i="10"/>
  <c r="I276" i="10"/>
  <c r="H276" i="10"/>
  <c r="G276" i="10"/>
  <c r="F276" i="10"/>
  <c r="E276" i="10"/>
  <c r="D276" i="10"/>
  <c r="T274" i="10"/>
  <c r="R274" i="10"/>
  <c r="O274" i="10"/>
  <c r="N274" i="10"/>
  <c r="M274" i="10"/>
  <c r="L273" i="10"/>
  <c r="K273" i="10"/>
  <c r="J273" i="10"/>
  <c r="I273" i="10"/>
  <c r="H273" i="10"/>
  <c r="G273" i="10"/>
  <c r="F273" i="10"/>
  <c r="E273" i="10"/>
  <c r="D273" i="10"/>
  <c r="T271" i="10"/>
  <c r="R271" i="10"/>
  <c r="O271" i="10"/>
  <c r="N271" i="10"/>
  <c r="M271" i="10"/>
  <c r="L270" i="10"/>
  <c r="K270" i="10"/>
  <c r="J270" i="10"/>
  <c r="I270" i="10"/>
  <c r="H270" i="10"/>
  <c r="G270" i="10"/>
  <c r="F270" i="10"/>
  <c r="E270" i="10"/>
  <c r="D270" i="10"/>
  <c r="T268" i="10"/>
  <c r="R268" i="10"/>
  <c r="O268" i="10"/>
  <c r="N268" i="10"/>
  <c r="M268" i="10"/>
  <c r="L267" i="10"/>
  <c r="K267" i="10"/>
  <c r="J267" i="10"/>
  <c r="I267" i="10"/>
  <c r="H267" i="10"/>
  <c r="G267" i="10"/>
  <c r="F267" i="10"/>
  <c r="E267" i="10"/>
  <c r="D267" i="10"/>
  <c r="T265" i="10"/>
  <c r="R265" i="10"/>
  <c r="O265" i="10"/>
  <c r="N265" i="10"/>
  <c r="M265" i="10"/>
  <c r="L264" i="10"/>
  <c r="K264" i="10"/>
  <c r="J264" i="10"/>
  <c r="I264" i="10"/>
  <c r="H264" i="10"/>
  <c r="G264" i="10"/>
  <c r="F264" i="10"/>
  <c r="E264" i="10"/>
  <c r="D264" i="10"/>
  <c r="T262" i="10"/>
  <c r="R262" i="10"/>
  <c r="O262" i="10"/>
  <c r="N262" i="10"/>
  <c r="M262" i="10"/>
  <c r="L261" i="10"/>
  <c r="K261" i="10"/>
  <c r="J261" i="10"/>
  <c r="I261" i="10"/>
  <c r="H261" i="10"/>
  <c r="G261" i="10"/>
  <c r="F261" i="10"/>
  <c r="E261" i="10"/>
  <c r="D261" i="10"/>
  <c r="T259" i="10"/>
  <c r="R259" i="10"/>
  <c r="O259" i="10"/>
  <c r="N259" i="10"/>
  <c r="M259" i="10"/>
  <c r="L258" i="10"/>
  <c r="K258" i="10"/>
  <c r="J258" i="10"/>
  <c r="I258" i="10"/>
  <c r="H258" i="10"/>
  <c r="G258" i="10"/>
  <c r="F258" i="10"/>
  <c r="E258" i="10"/>
  <c r="D258" i="10"/>
  <c r="T256" i="10"/>
  <c r="R256" i="10"/>
  <c r="O256" i="10"/>
  <c r="N256" i="10"/>
  <c r="M256" i="10"/>
  <c r="L255" i="10"/>
  <c r="K255" i="10"/>
  <c r="J255" i="10"/>
  <c r="I255" i="10"/>
  <c r="H255" i="10"/>
  <c r="G255" i="10"/>
  <c r="F255" i="10"/>
  <c r="E255" i="10"/>
  <c r="D255" i="10"/>
  <c r="T253" i="10"/>
  <c r="R253" i="10"/>
  <c r="O253" i="10"/>
  <c r="N253" i="10"/>
  <c r="M253" i="10"/>
  <c r="L252" i="10"/>
  <c r="K252" i="10"/>
  <c r="J252" i="10"/>
  <c r="I252" i="10"/>
  <c r="H252" i="10"/>
  <c r="G252" i="10"/>
  <c r="F252" i="10"/>
  <c r="E252" i="10"/>
  <c r="D252" i="10"/>
  <c r="T250" i="10"/>
  <c r="R250" i="10"/>
  <c r="O250" i="10"/>
  <c r="N250" i="10"/>
  <c r="M250" i="10"/>
  <c r="L249" i="10"/>
  <c r="K249" i="10"/>
  <c r="J249" i="10"/>
  <c r="I249" i="10"/>
  <c r="H249" i="10"/>
  <c r="G249" i="10"/>
  <c r="F249" i="10"/>
  <c r="E249" i="10"/>
  <c r="D249" i="10"/>
  <c r="T247" i="10"/>
  <c r="R247" i="10"/>
  <c r="O247" i="10"/>
  <c r="N247" i="10"/>
  <c r="M247" i="10"/>
  <c r="L246" i="10"/>
  <c r="K246" i="10"/>
  <c r="J246" i="10"/>
  <c r="I246" i="10"/>
  <c r="H246" i="10"/>
  <c r="G246" i="10"/>
  <c r="F246" i="10"/>
  <c r="E246" i="10"/>
  <c r="D246" i="10"/>
  <c r="T244" i="10"/>
  <c r="R244" i="10"/>
  <c r="O244" i="10"/>
  <c r="N244" i="10"/>
  <c r="M244" i="10"/>
  <c r="L243" i="10"/>
  <c r="K243" i="10"/>
  <c r="J243" i="10"/>
  <c r="I243" i="10"/>
  <c r="H243" i="10"/>
  <c r="G243" i="10"/>
  <c r="F243" i="10"/>
  <c r="E243" i="10"/>
  <c r="D243" i="10"/>
  <c r="T241" i="10"/>
  <c r="R241" i="10"/>
  <c r="O241" i="10"/>
  <c r="N241" i="10"/>
  <c r="M241" i="10"/>
  <c r="L240" i="10"/>
  <c r="K240" i="10"/>
  <c r="J240" i="10"/>
  <c r="I240" i="10"/>
  <c r="H240" i="10"/>
  <c r="G240" i="10"/>
  <c r="F240" i="10"/>
  <c r="E240" i="10"/>
  <c r="D240" i="10"/>
  <c r="T238" i="10"/>
  <c r="R238" i="10"/>
  <c r="O238" i="10"/>
  <c r="N238" i="10"/>
  <c r="M238" i="10"/>
  <c r="L237" i="10"/>
  <c r="K237" i="10"/>
  <c r="J237" i="10"/>
  <c r="I237" i="10"/>
  <c r="H237" i="10"/>
  <c r="G237" i="10"/>
  <c r="F237" i="10"/>
  <c r="E237" i="10"/>
  <c r="D237" i="10"/>
  <c r="T235" i="10"/>
  <c r="R235" i="10"/>
  <c r="O235" i="10"/>
  <c r="N235" i="10"/>
  <c r="M235" i="10"/>
  <c r="L234" i="10"/>
  <c r="K234" i="10"/>
  <c r="J234" i="10"/>
  <c r="I234" i="10"/>
  <c r="H234" i="10"/>
  <c r="G234" i="10"/>
  <c r="F234" i="10"/>
  <c r="E234" i="10"/>
  <c r="D234" i="10"/>
  <c r="T232" i="10"/>
  <c r="R232" i="10"/>
  <c r="O232" i="10"/>
  <c r="N232" i="10"/>
  <c r="M232" i="10"/>
  <c r="L231" i="10"/>
  <c r="K231" i="10"/>
  <c r="J231" i="10"/>
  <c r="I231" i="10"/>
  <c r="H231" i="10"/>
  <c r="G231" i="10"/>
  <c r="F231" i="10"/>
  <c r="E231" i="10"/>
  <c r="D231" i="10"/>
  <c r="T229" i="10"/>
  <c r="R229" i="10"/>
  <c r="O229" i="10"/>
  <c r="N229" i="10"/>
  <c r="M229" i="10"/>
  <c r="L228" i="10"/>
  <c r="K228" i="10"/>
  <c r="J228" i="10"/>
  <c r="I228" i="10"/>
  <c r="H228" i="10"/>
  <c r="G228" i="10"/>
  <c r="F228" i="10"/>
  <c r="E228" i="10"/>
  <c r="D228" i="10"/>
  <c r="T226" i="10"/>
  <c r="R226" i="10"/>
  <c r="O226" i="10"/>
  <c r="N226" i="10"/>
  <c r="M226" i="10"/>
  <c r="L225" i="10"/>
  <c r="K225" i="10"/>
  <c r="J225" i="10"/>
  <c r="I225" i="10"/>
  <c r="H225" i="10"/>
  <c r="G225" i="10"/>
  <c r="F225" i="10"/>
  <c r="E225" i="10"/>
  <c r="D225" i="10"/>
  <c r="T223" i="10"/>
  <c r="R223" i="10"/>
  <c r="O223" i="10"/>
  <c r="N223" i="10"/>
  <c r="M223" i="10"/>
  <c r="L222" i="10"/>
  <c r="K222" i="10"/>
  <c r="J222" i="10"/>
  <c r="I222" i="10"/>
  <c r="H222" i="10"/>
  <c r="G222" i="10"/>
  <c r="F222" i="10"/>
  <c r="E222" i="10"/>
  <c r="D222" i="10"/>
  <c r="T220" i="10"/>
  <c r="R220" i="10"/>
  <c r="O220" i="10"/>
  <c r="N220" i="10"/>
  <c r="M220" i="10"/>
  <c r="L219" i="10"/>
  <c r="K219" i="10"/>
  <c r="J219" i="10"/>
  <c r="I219" i="10"/>
  <c r="H219" i="10"/>
  <c r="G219" i="10"/>
  <c r="F219" i="10"/>
  <c r="E219" i="10"/>
  <c r="D219" i="10"/>
  <c r="T217" i="10"/>
  <c r="R217" i="10"/>
  <c r="O217" i="10"/>
  <c r="N217" i="10"/>
  <c r="M217" i="10"/>
  <c r="L216" i="10"/>
  <c r="K216" i="10"/>
  <c r="J216" i="10"/>
  <c r="I216" i="10"/>
  <c r="H216" i="10"/>
  <c r="G216" i="10"/>
  <c r="F216" i="10"/>
  <c r="E216" i="10"/>
  <c r="D216" i="10"/>
  <c r="T214" i="10"/>
  <c r="R214" i="10"/>
  <c r="O214" i="10"/>
  <c r="N214" i="10"/>
  <c r="M214" i="10"/>
  <c r="L213" i="10"/>
  <c r="K213" i="10"/>
  <c r="J213" i="10"/>
  <c r="I213" i="10"/>
  <c r="H213" i="10"/>
  <c r="G213" i="10"/>
  <c r="F213" i="10"/>
  <c r="E213" i="10"/>
  <c r="D213" i="10"/>
  <c r="T211" i="10"/>
  <c r="R211" i="10"/>
  <c r="O211" i="10"/>
  <c r="N211" i="10"/>
  <c r="M211" i="10"/>
  <c r="L210" i="10"/>
  <c r="K210" i="10"/>
  <c r="J210" i="10"/>
  <c r="I210" i="10"/>
  <c r="H210" i="10"/>
  <c r="G210" i="10"/>
  <c r="F210" i="10"/>
  <c r="E210" i="10"/>
  <c r="D210" i="10"/>
  <c r="T208" i="10"/>
  <c r="R208" i="10"/>
  <c r="O208" i="10"/>
  <c r="N208" i="10"/>
  <c r="M208" i="10"/>
  <c r="L207" i="10"/>
  <c r="K207" i="10"/>
  <c r="J207" i="10"/>
  <c r="I207" i="10"/>
  <c r="H207" i="10"/>
  <c r="G207" i="10"/>
  <c r="F207" i="10"/>
  <c r="E207" i="10"/>
  <c r="D207" i="10"/>
  <c r="T205" i="10"/>
  <c r="R205" i="10"/>
  <c r="O205" i="10"/>
  <c r="N205" i="10"/>
  <c r="M205" i="10"/>
  <c r="L204" i="10"/>
  <c r="K204" i="10"/>
  <c r="J204" i="10"/>
  <c r="I204" i="10"/>
  <c r="H204" i="10"/>
  <c r="G204" i="10"/>
  <c r="F204" i="10"/>
  <c r="E204" i="10"/>
  <c r="D204" i="10"/>
  <c r="T202" i="10"/>
  <c r="R202" i="10"/>
  <c r="O202" i="10"/>
  <c r="N202" i="10"/>
  <c r="M202" i="10"/>
  <c r="L201" i="10"/>
  <c r="K201" i="10"/>
  <c r="J201" i="10"/>
  <c r="I201" i="10"/>
  <c r="H201" i="10"/>
  <c r="G201" i="10"/>
  <c r="F201" i="10"/>
  <c r="E201" i="10"/>
  <c r="D201" i="10"/>
  <c r="T199" i="10"/>
  <c r="R199" i="10"/>
  <c r="O199" i="10"/>
  <c r="N199" i="10"/>
  <c r="M199" i="10"/>
  <c r="L198" i="10"/>
  <c r="K198" i="10"/>
  <c r="J198" i="10"/>
  <c r="I198" i="10"/>
  <c r="H198" i="10"/>
  <c r="G198" i="10"/>
  <c r="F198" i="10"/>
  <c r="E198" i="10"/>
  <c r="D198" i="10"/>
  <c r="T196" i="10"/>
  <c r="R196" i="10"/>
  <c r="O196" i="10"/>
  <c r="N196" i="10"/>
  <c r="M196" i="10"/>
  <c r="L195" i="10"/>
  <c r="K195" i="10"/>
  <c r="J195" i="10"/>
  <c r="I195" i="10"/>
  <c r="H195" i="10"/>
  <c r="G195" i="10"/>
  <c r="F195" i="10"/>
  <c r="E195" i="10"/>
  <c r="D195" i="10"/>
  <c r="T193" i="10"/>
  <c r="R193" i="10"/>
  <c r="O193" i="10"/>
  <c r="N193" i="10"/>
  <c r="M193" i="10"/>
  <c r="L192" i="10"/>
  <c r="K192" i="10"/>
  <c r="J192" i="10"/>
  <c r="I192" i="10"/>
  <c r="H192" i="10"/>
  <c r="G192" i="10"/>
  <c r="F192" i="10"/>
  <c r="E192" i="10"/>
  <c r="D192" i="10"/>
  <c r="T190" i="10"/>
  <c r="R190" i="10"/>
  <c r="O190" i="10"/>
  <c r="N190" i="10"/>
  <c r="M190" i="10"/>
  <c r="L189" i="10"/>
  <c r="K189" i="10"/>
  <c r="J189" i="10"/>
  <c r="I189" i="10"/>
  <c r="H189" i="10"/>
  <c r="G189" i="10"/>
  <c r="F189" i="10"/>
  <c r="E189" i="10"/>
  <c r="D189" i="10"/>
  <c r="T187" i="10"/>
  <c r="R187" i="10"/>
  <c r="O187" i="10"/>
  <c r="N187" i="10"/>
  <c r="M187" i="10"/>
  <c r="L186" i="10"/>
  <c r="K186" i="10"/>
  <c r="J186" i="10"/>
  <c r="I186" i="10"/>
  <c r="H186" i="10"/>
  <c r="G186" i="10"/>
  <c r="F186" i="10"/>
  <c r="E186" i="10"/>
  <c r="D186" i="10"/>
  <c r="T184" i="10"/>
  <c r="R184" i="10"/>
  <c r="O184" i="10"/>
  <c r="N184" i="10"/>
  <c r="M184" i="10"/>
  <c r="L183" i="10"/>
  <c r="K183" i="10"/>
  <c r="J183" i="10"/>
  <c r="I183" i="10"/>
  <c r="H183" i="10"/>
  <c r="G183" i="10"/>
  <c r="F183" i="10"/>
  <c r="E183" i="10"/>
  <c r="D183" i="10"/>
  <c r="T181" i="10"/>
  <c r="R181" i="10"/>
  <c r="O181" i="10"/>
  <c r="N181" i="10"/>
  <c r="M181" i="10"/>
  <c r="L180" i="10"/>
  <c r="K180" i="10"/>
  <c r="J180" i="10"/>
  <c r="I180" i="10"/>
  <c r="H180" i="10"/>
  <c r="G180" i="10"/>
  <c r="F180" i="10"/>
  <c r="E180" i="10"/>
  <c r="D180" i="10"/>
  <c r="T178" i="10"/>
  <c r="R178" i="10"/>
  <c r="O178" i="10"/>
  <c r="N178" i="10"/>
  <c r="M178" i="10"/>
  <c r="L177" i="10"/>
  <c r="K177" i="10"/>
  <c r="J177" i="10"/>
  <c r="I177" i="10"/>
  <c r="H177" i="10"/>
  <c r="G177" i="10"/>
  <c r="F177" i="10"/>
  <c r="E177" i="10"/>
  <c r="D177" i="10"/>
  <c r="T175" i="10"/>
  <c r="R175" i="10"/>
  <c r="O175" i="10"/>
  <c r="N175" i="10"/>
  <c r="M175" i="10"/>
  <c r="L174" i="10"/>
  <c r="K174" i="10"/>
  <c r="J174" i="10"/>
  <c r="I174" i="10"/>
  <c r="H174" i="10"/>
  <c r="G174" i="10"/>
  <c r="F174" i="10"/>
  <c r="E174" i="10"/>
  <c r="D174" i="10"/>
  <c r="T172" i="10"/>
  <c r="R172" i="10"/>
  <c r="O172" i="10"/>
  <c r="N172" i="10"/>
  <c r="M172" i="10"/>
  <c r="L171" i="10"/>
  <c r="K171" i="10"/>
  <c r="J171" i="10"/>
  <c r="I171" i="10"/>
  <c r="H171" i="10"/>
  <c r="G171" i="10"/>
  <c r="F171" i="10"/>
  <c r="E171" i="10"/>
  <c r="D171" i="10"/>
  <c r="T169" i="10"/>
  <c r="R169" i="10"/>
  <c r="O169" i="10"/>
  <c r="N169" i="10"/>
  <c r="M169" i="10"/>
  <c r="L168" i="10"/>
  <c r="K168" i="10"/>
  <c r="J168" i="10"/>
  <c r="I168" i="10"/>
  <c r="H168" i="10"/>
  <c r="G168" i="10"/>
  <c r="F168" i="10"/>
  <c r="E168" i="10"/>
  <c r="D168" i="10"/>
  <c r="T166" i="10"/>
  <c r="R166" i="10"/>
  <c r="O166" i="10"/>
  <c r="N166" i="10"/>
  <c r="M166" i="10"/>
  <c r="L165" i="10"/>
  <c r="K165" i="10"/>
  <c r="J165" i="10"/>
  <c r="I165" i="10"/>
  <c r="H165" i="10"/>
  <c r="G165" i="10"/>
  <c r="F165" i="10"/>
  <c r="E165" i="10"/>
  <c r="D165" i="10"/>
  <c r="T163" i="10"/>
  <c r="R163" i="10"/>
  <c r="O163" i="10"/>
  <c r="N163" i="10"/>
  <c r="M163" i="10"/>
  <c r="L162" i="10"/>
  <c r="K162" i="10"/>
  <c r="J162" i="10"/>
  <c r="I162" i="10"/>
  <c r="H162" i="10"/>
  <c r="G162" i="10"/>
  <c r="F162" i="10"/>
  <c r="E162" i="10"/>
  <c r="D162" i="10"/>
  <c r="T160" i="10"/>
  <c r="R160" i="10"/>
  <c r="O160" i="10"/>
  <c r="N160" i="10"/>
  <c r="M160" i="10"/>
  <c r="L159" i="10"/>
  <c r="K159" i="10"/>
  <c r="J159" i="10"/>
  <c r="I159" i="10"/>
  <c r="H159" i="10"/>
  <c r="G159" i="10"/>
  <c r="F159" i="10"/>
  <c r="E159" i="10"/>
  <c r="D159" i="10"/>
  <c r="T157" i="10"/>
  <c r="R157" i="10"/>
  <c r="O157" i="10"/>
  <c r="N157" i="10"/>
  <c r="M157" i="10"/>
  <c r="L156" i="10"/>
  <c r="K156" i="10"/>
  <c r="J156" i="10"/>
  <c r="I156" i="10"/>
  <c r="H156" i="10"/>
  <c r="G156" i="10"/>
  <c r="F156" i="10"/>
  <c r="E156" i="10"/>
  <c r="D156" i="10"/>
  <c r="T154" i="10"/>
  <c r="R154" i="10"/>
  <c r="O154" i="10"/>
  <c r="N154" i="10"/>
  <c r="M154" i="10"/>
  <c r="L153" i="10"/>
  <c r="K153" i="10"/>
  <c r="J153" i="10"/>
  <c r="I153" i="10"/>
  <c r="H153" i="10"/>
  <c r="G153" i="10"/>
  <c r="F153" i="10"/>
  <c r="E153" i="10"/>
  <c r="D153" i="10"/>
  <c r="T151" i="10"/>
  <c r="R151" i="10"/>
  <c r="O151" i="10"/>
  <c r="N151" i="10"/>
  <c r="M151" i="10"/>
  <c r="L150" i="10"/>
  <c r="K150" i="10"/>
  <c r="J150" i="10"/>
  <c r="I150" i="10"/>
  <c r="H150" i="10"/>
  <c r="G150" i="10"/>
  <c r="F150" i="10"/>
  <c r="E150" i="10"/>
  <c r="D150" i="10"/>
  <c r="T148" i="10"/>
  <c r="R148" i="10"/>
  <c r="O148" i="10"/>
  <c r="N148" i="10"/>
  <c r="M148" i="10"/>
  <c r="L147" i="10"/>
  <c r="K147" i="10"/>
  <c r="J147" i="10"/>
  <c r="I147" i="10"/>
  <c r="H147" i="10"/>
  <c r="G147" i="10"/>
  <c r="F147" i="10"/>
  <c r="E147" i="10"/>
  <c r="D147" i="10"/>
  <c r="T145" i="10"/>
  <c r="R145" i="10"/>
  <c r="O145" i="10"/>
  <c r="N145" i="10"/>
  <c r="M145" i="10"/>
  <c r="L144" i="10"/>
  <c r="K144" i="10"/>
  <c r="J144" i="10"/>
  <c r="I144" i="10"/>
  <c r="H144" i="10"/>
  <c r="G144" i="10"/>
  <c r="F144" i="10"/>
  <c r="E144" i="10"/>
  <c r="D144" i="10"/>
  <c r="T142" i="10"/>
  <c r="R142" i="10"/>
  <c r="O142" i="10"/>
  <c r="N142" i="10"/>
  <c r="M142" i="10"/>
  <c r="L141" i="10"/>
  <c r="K141" i="10"/>
  <c r="J141" i="10"/>
  <c r="I141" i="10"/>
  <c r="H141" i="10"/>
  <c r="G141" i="10"/>
  <c r="F141" i="10"/>
  <c r="E141" i="10"/>
  <c r="D141" i="10"/>
  <c r="T139" i="10"/>
  <c r="R139" i="10"/>
  <c r="O139" i="10"/>
  <c r="N139" i="10"/>
  <c r="M139" i="10"/>
  <c r="L138" i="10"/>
  <c r="K138" i="10"/>
  <c r="J138" i="10"/>
  <c r="I138" i="10"/>
  <c r="H138" i="10"/>
  <c r="G138" i="10"/>
  <c r="F138" i="10"/>
  <c r="E138" i="10"/>
  <c r="D138" i="10"/>
  <c r="T136" i="10"/>
  <c r="R136" i="10"/>
  <c r="O136" i="10"/>
  <c r="N136" i="10"/>
  <c r="M136" i="10"/>
  <c r="L135" i="10"/>
  <c r="K135" i="10"/>
  <c r="J135" i="10"/>
  <c r="I135" i="10"/>
  <c r="H135" i="10"/>
  <c r="G135" i="10"/>
  <c r="F135" i="10"/>
  <c r="E135" i="10"/>
  <c r="D135" i="10"/>
  <c r="T133" i="10"/>
  <c r="R133" i="10"/>
  <c r="O133" i="10"/>
  <c r="N133" i="10"/>
  <c r="M133" i="10"/>
  <c r="L132" i="10"/>
  <c r="K132" i="10"/>
  <c r="J132" i="10"/>
  <c r="I132" i="10"/>
  <c r="H132" i="10"/>
  <c r="G132" i="10"/>
  <c r="F132" i="10"/>
  <c r="E132" i="10"/>
  <c r="D132" i="10"/>
  <c r="T130" i="10"/>
  <c r="R130" i="10"/>
  <c r="O130" i="10"/>
  <c r="N130" i="10"/>
  <c r="M130" i="10"/>
  <c r="L129" i="10"/>
  <c r="K129" i="10"/>
  <c r="J129" i="10"/>
  <c r="I129" i="10"/>
  <c r="H129" i="10"/>
  <c r="G129" i="10"/>
  <c r="F129" i="10"/>
  <c r="E129" i="10"/>
  <c r="D129" i="10"/>
  <c r="T127" i="10"/>
  <c r="R127" i="10"/>
  <c r="O127" i="10"/>
  <c r="N127" i="10"/>
  <c r="M127" i="10"/>
  <c r="L126" i="10"/>
  <c r="K126" i="10"/>
  <c r="J126" i="10"/>
  <c r="I126" i="10"/>
  <c r="H126" i="10"/>
  <c r="G126" i="10"/>
  <c r="F126" i="10"/>
  <c r="E126" i="10"/>
  <c r="D126" i="10"/>
  <c r="T124" i="10"/>
  <c r="R124" i="10"/>
  <c r="O124" i="10"/>
  <c r="N124" i="10"/>
  <c r="M124" i="10"/>
  <c r="L123" i="10"/>
  <c r="K123" i="10"/>
  <c r="J123" i="10"/>
  <c r="I123" i="10"/>
  <c r="H123" i="10"/>
  <c r="G123" i="10"/>
  <c r="F123" i="10"/>
  <c r="E123" i="10"/>
  <c r="D123" i="10"/>
  <c r="T121" i="10"/>
  <c r="R121" i="10"/>
  <c r="O121" i="10"/>
  <c r="N121" i="10"/>
  <c r="M121" i="10"/>
  <c r="L120" i="10"/>
  <c r="K120" i="10"/>
  <c r="J120" i="10"/>
  <c r="I120" i="10"/>
  <c r="H120" i="10"/>
  <c r="G120" i="10"/>
  <c r="F120" i="10"/>
  <c r="E120" i="10"/>
  <c r="D120" i="10"/>
  <c r="T118" i="10"/>
  <c r="R118" i="10"/>
  <c r="O118" i="10"/>
  <c r="N118" i="10"/>
  <c r="M118" i="10"/>
  <c r="L117" i="10"/>
  <c r="K117" i="10"/>
  <c r="J117" i="10"/>
  <c r="I117" i="10"/>
  <c r="H117" i="10"/>
  <c r="G117" i="10"/>
  <c r="F117" i="10"/>
  <c r="E117" i="10"/>
  <c r="D117" i="10"/>
  <c r="T115" i="10"/>
  <c r="R115" i="10"/>
  <c r="O115" i="10"/>
  <c r="N115" i="10"/>
  <c r="M115" i="10"/>
  <c r="L114" i="10"/>
  <c r="K114" i="10"/>
  <c r="J114" i="10"/>
  <c r="I114" i="10"/>
  <c r="H114" i="10"/>
  <c r="G114" i="10"/>
  <c r="F114" i="10"/>
  <c r="E114" i="10"/>
  <c r="D114" i="10"/>
  <c r="T112" i="10"/>
  <c r="R112" i="10"/>
  <c r="O112" i="10"/>
  <c r="N112" i="10"/>
  <c r="M112" i="10"/>
  <c r="L111" i="10"/>
  <c r="K111" i="10"/>
  <c r="J111" i="10"/>
  <c r="I111" i="10"/>
  <c r="H111" i="10"/>
  <c r="G111" i="10"/>
  <c r="F111" i="10"/>
  <c r="E111" i="10"/>
  <c r="D111" i="10"/>
  <c r="T109" i="10"/>
  <c r="R109" i="10"/>
  <c r="O109" i="10"/>
  <c r="N109" i="10"/>
  <c r="M109" i="10"/>
  <c r="L108" i="10"/>
  <c r="K108" i="10"/>
  <c r="J108" i="10"/>
  <c r="I108" i="10"/>
  <c r="H108" i="10"/>
  <c r="G108" i="10"/>
  <c r="F108" i="10"/>
  <c r="E108" i="10"/>
  <c r="D108" i="10"/>
  <c r="T106" i="10"/>
  <c r="R106" i="10"/>
  <c r="O106" i="10"/>
  <c r="N106" i="10"/>
  <c r="M106" i="10"/>
  <c r="L105" i="10"/>
  <c r="K105" i="10"/>
  <c r="J105" i="10"/>
  <c r="I105" i="10"/>
  <c r="H105" i="10"/>
  <c r="G105" i="10"/>
  <c r="F105" i="10"/>
  <c r="E105" i="10"/>
  <c r="D105" i="10"/>
  <c r="T103" i="10"/>
  <c r="R103" i="10"/>
  <c r="O103" i="10"/>
  <c r="N103" i="10"/>
  <c r="M103" i="10"/>
  <c r="L102" i="10"/>
  <c r="K102" i="10"/>
  <c r="J102" i="10"/>
  <c r="I102" i="10"/>
  <c r="H102" i="10"/>
  <c r="G102" i="10"/>
  <c r="F102" i="10"/>
  <c r="E102" i="10"/>
  <c r="D102" i="10"/>
  <c r="T100" i="10"/>
  <c r="R100" i="10"/>
  <c r="O100" i="10"/>
  <c r="N100" i="10"/>
  <c r="M100" i="10"/>
  <c r="L99" i="10"/>
  <c r="K99" i="10"/>
  <c r="J99" i="10"/>
  <c r="I99" i="10"/>
  <c r="H99" i="10"/>
  <c r="G99" i="10"/>
  <c r="F99" i="10"/>
  <c r="E99" i="10"/>
  <c r="D99" i="10"/>
  <c r="T97" i="10"/>
  <c r="R97" i="10"/>
  <c r="O97" i="10"/>
  <c r="N97" i="10"/>
  <c r="M97" i="10"/>
  <c r="L96" i="10"/>
  <c r="K96" i="10"/>
  <c r="J96" i="10"/>
  <c r="I96" i="10"/>
  <c r="H96" i="10"/>
  <c r="G96" i="10"/>
  <c r="F96" i="10"/>
  <c r="E96" i="10"/>
  <c r="D96" i="10"/>
  <c r="T94" i="10"/>
  <c r="R94" i="10"/>
  <c r="O94" i="10"/>
  <c r="N94" i="10"/>
  <c r="M94" i="10"/>
  <c r="L93" i="10"/>
  <c r="K93" i="10"/>
  <c r="J93" i="10"/>
  <c r="I93" i="10"/>
  <c r="H93" i="10"/>
  <c r="G93" i="10"/>
  <c r="F93" i="10"/>
  <c r="E93" i="10"/>
  <c r="D93" i="10"/>
  <c r="T91" i="10"/>
  <c r="R91" i="10"/>
  <c r="O91" i="10"/>
  <c r="N91" i="10"/>
  <c r="M91" i="10"/>
  <c r="L90" i="10"/>
  <c r="K90" i="10"/>
  <c r="J90" i="10"/>
  <c r="I90" i="10"/>
  <c r="H90" i="10"/>
  <c r="G90" i="10"/>
  <c r="F90" i="10"/>
  <c r="E90" i="10"/>
  <c r="D90" i="10"/>
  <c r="T88" i="10"/>
  <c r="R88" i="10"/>
  <c r="O88" i="10"/>
  <c r="N88" i="10"/>
  <c r="M88" i="10"/>
  <c r="L87" i="10"/>
  <c r="K87" i="10"/>
  <c r="J87" i="10"/>
  <c r="I87" i="10"/>
  <c r="H87" i="10"/>
  <c r="G87" i="10"/>
  <c r="F87" i="10"/>
  <c r="E87" i="10"/>
  <c r="D87" i="10"/>
  <c r="T85" i="10"/>
  <c r="R85" i="10"/>
  <c r="O85" i="10"/>
  <c r="N85" i="10"/>
  <c r="M85" i="10"/>
  <c r="L84" i="10"/>
  <c r="K84" i="10"/>
  <c r="J84" i="10"/>
  <c r="I84" i="10"/>
  <c r="H84" i="10"/>
  <c r="G84" i="10"/>
  <c r="F84" i="10"/>
  <c r="E84" i="10"/>
  <c r="D84" i="10"/>
  <c r="T82" i="10"/>
  <c r="R82" i="10"/>
  <c r="O82" i="10"/>
  <c r="N82" i="10"/>
  <c r="M82" i="10"/>
  <c r="L81" i="10"/>
  <c r="K81" i="10"/>
  <c r="J81" i="10"/>
  <c r="I81" i="10"/>
  <c r="H81" i="10"/>
  <c r="G81" i="10"/>
  <c r="F81" i="10"/>
  <c r="E81" i="10"/>
  <c r="D81" i="10"/>
  <c r="T79" i="10"/>
  <c r="R79" i="10"/>
  <c r="O79" i="10"/>
  <c r="N79" i="10"/>
  <c r="M79" i="10"/>
  <c r="L78" i="10"/>
  <c r="K78" i="10"/>
  <c r="J78" i="10"/>
  <c r="I78" i="10"/>
  <c r="H78" i="10"/>
  <c r="G78" i="10"/>
  <c r="F78" i="10"/>
  <c r="E78" i="10"/>
  <c r="D78" i="10"/>
  <c r="T76" i="10"/>
  <c r="R76" i="10"/>
  <c r="O76" i="10"/>
  <c r="N76" i="10"/>
  <c r="M76" i="10"/>
  <c r="L75" i="10"/>
  <c r="K75" i="10"/>
  <c r="J75" i="10"/>
  <c r="I75" i="10"/>
  <c r="H75" i="10"/>
  <c r="G75" i="10"/>
  <c r="F75" i="10"/>
  <c r="E75" i="10"/>
  <c r="D75" i="10"/>
  <c r="T73" i="10"/>
  <c r="R73" i="10"/>
  <c r="O73" i="10"/>
  <c r="N73" i="10"/>
  <c r="M73" i="10"/>
  <c r="L72" i="10"/>
  <c r="K72" i="10"/>
  <c r="J72" i="10"/>
  <c r="I72" i="10"/>
  <c r="H72" i="10"/>
  <c r="G72" i="10"/>
  <c r="F72" i="10"/>
  <c r="E72" i="10"/>
  <c r="D72" i="10"/>
  <c r="T70" i="10"/>
  <c r="R70" i="10"/>
  <c r="O70" i="10"/>
  <c r="N70" i="10"/>
  <c r="M70" i="10"/>
  <c r="L69" i="10"/>
  <c r="K69" i="10"/>
  <c r="J69" i="10"/>
  <c r="I69" i="10"/>
  <c r="H69" i="10"/>
  <c r="G69" i="10"/>
  <c r="F69" i="10"/>
  <c r="E69" i="10"/>
  <c r="D69" i="10"/>
  <c r="T67" i="10"/>
  <c r="R67" i="10"/>
  <c r="O67" i="10"/>
  <c r="N67" i="10"/>
  <c r="M67" i="10"/>
  <c r="L66" i="10"/>
  <c r="K66" i="10"/>
  <c r="J66" i="10"/>
  <c r="I66" i="10"/>
  <c r="H66" i="10"/>
  <c r="G66" i="10"/>
  <c r="F66" i="10"/>
  <c r="E66" i="10"/>
  <c r="D66" i="10"/>
  <c r="O64" i="10"/>
  <c r="T64" i="10"/>
  <c r="M64" i="10"/>
  <c r="N64" i="10"/>
  <c r="R64" i="10"/>
  <c r="L63" i="10"/>
  <c r="K63" i="10"/>
  <c r="J63" i="10"/>
  <c r="I63" i="10"/>
  <c r="H63" i="10"/>
  <c r="G63" i="10"/>
  <c r="F63" i="10"/>
  <c r="E63" i="10"/>
  <c r="D63" i="10"/>
  <c r="O61" i="10"/>
  <c r="T61" i="10"/>
  <c r="M61" i="10"/>
  <c r="N61" i="10"/>
  <c r="R61" i="10"/>
  <c r="L60" i="10"/>
  <c r="K60" i="10"/>
  <c r="J60" i="10"/>
  <c r="I60" i="10"/>
  <c r="H60" i="10"/>
  <c r="G60" i="10"/>
  <c r="F60" i="10"/>
  <c r="E60" i="10"/>
  <c r="D60" i="10"/>
  <c r="O58" i="10"/>
  <c r="T58" i="10"/>
  <c r="M58" i="10"/>
  <c r="N58" i="10"/>
  <c r="R58" i="10"/>
  <c r="L57" i="10"/>
  <c r="K57" i="10"/>
  <c r="J57" i="10"/>
  <c r="I57" i="10"/>
  <c r="H57" i="10"/>
  <c r="G57" i="10"/>
  <c r="F57" i="10"/>
  <c r="E57" i="10"/>
  <c r="D57" i="10"/>
  <c r="O55" i="10"/>
  <c r="T55" i="10"/>
  <c r="M55" i="10"/>
  <c r="N55" i="10"/>
  <c r="R55" i="10"/>
  <c r="L54" i="10"/>
  <c r="K54" i="10"/>
  <c r="J54" i="10"/>
  <c r="I54" i="10"/>
  <c r="H54" i="10"/>
  <c r="G54" i="10"/>
  <c r="F54" i="10"/>
  <c r="E54" i="10"/>
  <c r="D54" i="10"/>
  <c r="O52" i="10"/>
  <c r="T52" i="10"/>
  <c r="M52" i="10"/>
  <c r="N52" i="10"/>
  <c r="R52" i="10"/>
  <c r="L51" i="10"/>
  <c r="K51" i="10"/>
  <c r="J51" i="10"/>
  <c r="I51" i="10"/>
  <c r="H51" i="10"/>
  <c r="G51" i="10"/>
  <c r="F51" i="10"/>
  <c r="E51" i="10"/>
  <c r="D51" i="10"/>
  <c r="O49" i="10"/>
  <c r="T49" i="10"/>
  <c r="M49" i="10"/>
  <c r="N49" i="10"/>
  <c r="R49" i="10"/>
  <c r="L48" i="10"/>
  <c r="K48" i="10"/>
  <c r="J48" i="10"/>
  <c r="I48" i="10"/>
  <c r="H48" i="10"/>
  <c r="G48" i="10"/>
  <c r="F48" i="10"/>
  <c r="E48" i="10"/>
  <c r="D48" i="10"/>
  <c r="O46" i="10"/>
  <c r="T46" i="10"/>
  <c r="M46" i="10"/>
  <c r="N46" i="10"/>
  <c r="R46" i="10"/>
  <c r="L45" i="10"/>
  <c r="K45" i="10"/>
  <c r="J45" i="10"/>
  <c r="I45" i="10"/>
  <c r="H45" i="10"/>
  <c r="G45" i="10"/>
  <c r="F45" i="10"/>
  <c r="E45" i="10"/>
  <c r="D45" i="10"/>
  <c r="O43" i="10"/>
  <c r="T43" i="10"/>
  <c r="M43" i="10"/>
  <c r="N43" i="10"/>
  <c r="R43" i="10"/>
  <c r="L42" i="10"/>
  <c r="K42" i="10"/>
  <c r="J42" i="10"/>
  <c r="I42" i="10"/>
  <c r="H42" i="10"/>
  <c r="G42" i="10"/>
  <c r="F42" i="10"/>
  <c r="E42" i="10"/>
  <c r="D42" i="10"/>
  <c r="O40" i="10"/>
  <c r="T40" i="10"/>
  <c r="M40" i="10"/>
  <c r="N40" i="10"/>
  <c r="R40" i="10"/>
  <c r="L39" i="10"/>
  <c r="K39" i="10"/>
  <c r="J39" i="10"/>
  <c r="I39" i="10"/>
  <c r="H39" i="10"/>
  <c r="G39" i="10"/>
  <c r="F39" i="10"/>
  <c r="E39" i="10"/>
  <c r="D39" i="10"/>
  <c r="O37" i="10"/>
  <c r="T37" i="10"/>
  <c r="M37" i="10"/>
  <c r="N37" i="10"/>
  <c r="R37" i="10"/>
  <c r="L36" i="10"/>
  <c r="K36" i="10"/>
  <c r="J36" i="10"/>
  <c r="I36" i="10"/>
  <c r="H36" i="10"/>
  <c r="G36" i="10"/>
  <c r="F36" i="10"/>
  <c r="E36" i="10"/>
  <c r="D36" i="10"/>
  <c r="O34" i="10"/>
  <c r="T34" i="10"/>
  <c r="M34" i="10"/>
  <c r="N34" i="10"/>
  <c r="R34" i="10"/>
  <c r="L33" i="10"/>
  <c r="K33" i="10"/>
  <c r="J33" i="10"/>
  <c r="I33" i="10"/>
  <c r="H33" i="10"/>
  <c r="G33" i="10"/>
  <c r="F33" i="10"/>
  <c r="E33" i="10"/>
  <c r="D33" i="10"/>
  <c r="O31" i="10"/>
  <c r="T31" i="10"/>
  <c r="M31" i="10"/>
  <c r="N31" i="10"/>
  <c r="R31" i="10"/>
  <c r="L30" i="10"/>
  <c r="K30" i="10"/>
  <c r="J30" i="10"/>
  <c r="I30" i="10"/>
  <c r="H30" i="10"/>
  <c r="G30" i="10"/>
  <c r="F30" i="10"/>
  <c r="E30" i="10"/>
  <c r="D30" i="10"/>
  <c r="O28" i="10"/>
  <c r="T28" i="10"/>
  <c r="M28" i="10"/>
  <c r="N28" i="10"/>
  <c r="R28" i="10"/>
  <c r="L27" i="10"/>
  <c r="K27" i="10"/>
  <c r="J27" i="10"/>
  <c r="I27" i="10"/>
  <c r="H27" i="10"/>
  <c r="G27" i="10"/>
  <c r="F27" i="10"/>
  <c r="E27" i="10"/>
  <c r="D27" i="10"/>
  <c r="O25" i="10"/>
  <c r="T25" i="10"/>
  <c r="M25" i="10"/>
  <c r="N25" i="10"/>
  <c r="R25" i="10"/>
  <c r="L24" i="10"/>
  <c r="K24" i="10"/>
  <c r="J24" i="10"/>
  <c r="I24" i="10"/>
  <c r="H24" i="10"/>
  <c r="G24" i="10"/>
  <c r="F24" i="10"/>
  <c r="E24" i="10"/>
  <c r="D24" i="10"/>
  <c r="O22" i="10"/>
  <c r="T22" i="10"/>
  <c r="M22" i="10"/>
  <c r="N22" i="10"/>
  <c r="R22" i="10"/>
  <c r="L21" i="10"/>
  <c r="K21" i="10"/>
  <c r="J21" i="10"/>
  <c r="I21" i="10"/>
  <c r="H21" i="10"/>
  <c r="G21" i="10"/>
  <c r="F21" i="10"/>
  <c r="E21" i="10"/>
  <c r="D21" i="10"/>
  <c r="O19" i="10"/>
  <c r="T19" i="10"/>
  <c r="M19" i="10"/>
  <c r="N19" i="10"/>
  <c r="R19" i="10"/>
  <c r="L18" i="10"/>
  <c r="K18" i="10"/>
  <c r="J18" i="10"/>
  <c r="I18" i="10"/>
  <c r="H18" i="10"/>
  <c r="G18" i="10"/>
  <c r="F18" i="10"/>
  <c r="E18" i="10"/>
  <c r="D18" i="10"/>
  <c r="O16" i="10"/>
  <c r="T16" i="10"/>
  <c r="M16" i="10"/>
  <c r="N16" i="10"/>
  <c r="R16" i="10"/>
  <c r="L15" i="10"/>
  <c r="K15" i="10"/>
  <c r="J15" i="10"/>
  <c r="I15" i="10"/>
  <c r="H15" i="10"/>
  <c r="G15" i="10"/>
  <c r="F15" i="10"/>
  <c r="E15" i="10"/>
  <c r="D15" i="10"/>
  <c r="O13" i="10"/>
  <c r="T13" i="10"/>
  <c r="M13" i="10"/>
  <c r="N13" i="10"/>
  <c r="R13" i="10"/>
  <c r="L12" i="10"/>
  <c r="K12" i="10"/>
  <c r="J12" i="10"/>
  <c r="I12" i="10"/>
  <c r="H12" i="10"/>
  <c r="G12" i="10"/>
  <c r="F12" i="10"/>
  <c r="E12" i="10"/>
  <c r="D12" i="10"/>
  <c r="O10" i="10"/>
  <c r="T10" i="10"/>
  <c r="M10" i="10"/>
  <c r="N10" i="10"/>
  <c r="R10" i="10"/>
  <c r="L390" i="6"/>
  <c r="K390" i="6"/>
  <c r="J390" i="6"/>
  <c r="I390" i="6"/>
  <c r="H390" i="6"/>
  <c r="G390" i="6"/>
  <c r="F390" i="6"/>
  <c r="E390" i="6"/>
  <c r="D390" i="6"/>
  <c r="Q388" i="6"/>
  <c r="P388" i="6"/>
  <c r="O388" i="6"/>
  <c r="N388" i="6"/>
  <c r="M388" i="6"/>
  <c r="L387" i="6"/>
  <c r="K387" i="6"/>
  <c r="J387" i="6"/>
  <c r="I387" i="6"/>
  <c r="H387" i="6"/>
  <c r="G387" i="6"/>
  <c r="F387" i="6"/>
  <c r="E387" i="6"/>
  <c r="D387" i="6"/>
  <c r="Q385" i="6"/>
  <c r="P385" i="6"/>
  <c r="O385" i="6"/>
  <c r="N385" i="6"/>
  <c r="M385" i="6"/>
  <c r="L384" i="6"/>
  <c r="K384" i="6"/>
  <c r="J384" i="6"/>
  <c r="I384" i="6"/>
  <c r="H384" i="6"/>
  <c r="G384" i="6"/>
  <c r="F384" i="6"/>
  <c r="E384" i="6"/>
  <c r="D384" i="6"/>
  <c r="Q382" i="6"/>
  <c r="P382" i="6"/>
  <c r="O382" i="6"/>
  <c r="N382" i="6"/>
  <c r="M382" i="6"/>
  <c r="L381" i="6"/>
  <c r="K381" i="6"/>
  <c r="J381" i="6"/>
  <c r="I381" i="6"/>
  <c r="H381" i="6"/>
  <c r="G381" i="6"/>
  <c r="F381" i="6"/>
  <c r="E381" i="6"/>
  <c r="D381" i="6"/>
  <c r="Q379" i="6"/>
  <c r="P379" i="6"/>
  <c r="O379" i="6"/>
  <c r="N379" i="6"/>
  <c r="M379" i="6"/>
  <c r="L378" i="6"/>
  <c r="K378" i="6"/>
  <c r="J378" i="6"/>
  <c r="I378" i="6"/>
  <c r="H378" i="6"/>
  <c r="G378" i="6"/>
  <c r="F378" i="6"/>
  <c r="E378" i="6"/>
  <c r="D378" i="6"/>
  <c r="O376" i="6"/>
  <c r="Q376" i="6"/>
  <c r="M376" i="6"/>
  <c r="N376" i="6"/>
  <c r="P376" i="6"/>
  <c r="L375" i="6"/>
  <c r="K375" i="6"/>
  <c r="J375" i="6"/>
  <c r="I375" i="6"/>
  <c r="H375" i="6"/>
  <c r="G375" i="6"/>
  <c r="F375" i="6"/>
  <c r="E375" i="6"/>
  <c r="D375" i="6"/>
  <c r="O373" i="6"/>
  <c r="Q373" i="6"/>
  <c r="M373" i="6"/>
  <c r="N373" i="6"/>
  <c r="P373" i="6"/>
  <c r="L372" i="6"/>
  <c r="K372" i="6"/>
  <c r="J372" i="6"/>
  <c r="I372" i="6"/>
  <c r="H372" i="6"/>
  <c r="G372" i="6"/>
  <c r="F372" i="6"/>
  <c r="E372" i="6"/>
  <c r="D372" i="6"/>
  <c r="O370" i="6"/>
  <c r="Q370" i="6"/>
  <c r="M370" i="6"/>
  <c r="N370" i="6"/>
  <c r="P370" i="6"/>
  <c r="L369" i="6"/>
  <c r="K369" i="6"/>
  <c r="J369" i="6"/>
  <c r="I369" i="6"/>
  <c r="H369" i="6"/>
  <c r="G369" i="6"/>
  <c r="F369" i="6"/>
  <c r="E369" i="6"/>
  <c r="D369" i="6"/>
  <c r="O367" i="6"/>
  <c r="Q367" i="6"/>
  <c r="M367" i="6"/>
  <c r="N367" i="6"/>
  <c r="P367" i="6"/>
  <c r="L366" i="6"/>
  <c r="K366" i="6"/>
  <c r="J366" i="6"/>
  <c r="I366" i="6"/>
  <c r="H366" i="6"/>
  <c r="G366" i="6"/>
  <c r="F366" i="6"/>
  <c r="E366" i="6"/>
  <c r="D366" i="6"/>
  <c r="O364" i="6"/>
  <c r="Q364" i="6"/>
  <c r="M364" i="6"/>
  <c r="N364" i="6"/>
  <c r="P364" i="6"/>
  <c r="L363" i="6"/>
  <c r="K363" i="6"/>
  <c r="J363" i="6"/>
  <c r="I363" i="6"/>
  <c r="H363" i="6"/>
  <c r="G363" i="6"/>
  <c r="F363" i="6"/>
  <c r="E363" i="6"/>
  <c r="D363" i="6"/>
  <c r="O361" i="6"/>
  <c r="Q361" i="6"/>
  <c r="M361" i="6"/>
  <c r="N361" i="6"/>
  <c r="P361" i="6"/>
  <c r="L360" i="6"/>
  <c r="K360" i="6"/>
  <c r="J360" i="6"/>
  <c r="I360" i="6"/>
  <c r="H360" i="6"/>
  <c r="G360" i="6"/>
  <c r="F360" i="6"/>
  <c r="E360" i="6"/>
  <c r="D360" i="6"/>
  <c r="O358" i="6"/>
  <c r="Q358" i="6"/>
  <c r="M358" i="6"/>
  <c r="N358" i="6"/>
  <c r="P358" i="6"/>
  <c r="L357" i="6"/>
  <c r="K357" i="6"/>
  <c r="J357" i="6"/>
  <c r="I357" i="6"/>
  <c r="H357" i="6"/>
  <c r="G357" i="6"/>
  <c r="F357" i="6"/>
  <c r="E357" i="6"/>
  <c r="D357" i="6"/>
  <c r="O355" i="6"/>
  <c r="Q355" i="6"/>
  <c r="M355" i="6"/>
  <c r="N355" i="6"/>
  <c r="P355" i="6"/>
  <c r="L354" i="6"/>
  <c r="K354" i="6"/>
  <c r="J354" i="6"/>
  <c r="I354" i="6"/>
  <c r="H354" i="6"/>
  <c r="G354" i="6"/>
  <c r="F354" i="6"/>
  <c r="E354" i="6"/>
  <c r="D354" i="6"/>
  <c r="O352" i="6"/>
  <c r="Q352" i="6"/>
  <c r="M352" i="6"/>
  <c r="N352" i="6"/>
  <c r="P352" i="6"/>
  <c r="L351" i="6"/>
  <c r="K351" i="6"/>
  <c r="J351" i="6"/>
  <c r="I351" i="6"/>
  <c r="H351" i="6"/>
  <c r="G351" i="6"/>
  <c r="F351" i="6"/>
  <c r="E351" i="6"/>
  <c r="D351" i="6"/>
  <c r="O349" i="6"/>
  <c r="Q349" i="6"/>
  <c r="M349" i="6"/>
  <c r="N349" i="6"/>
  <c r="P349" i="6"/>
  <c r="L348" i="6"/>
  <c r="K348" i="6"/>
  <c r="J348" i="6"/>
  <c r="I348" i="6"/>
  <c r="H348" i="6"/>
  <c r="G348" i="6"/>
  <c r="F348" i="6"/>
  <c r="E348" i="6"/>
  <c r="D348" i="6"/>
  <c r="O346" i="6"/>
  <c r="Q346" i="6"/>
  <c r="M346" i="6"/>
  <c r="N346" i="6"/>
  <c r="P346" i="6"/>
  <c r="L345" i="6"/>
  <c r="K345" i="6"/>
  <c r="J345" i="6"/>
  <c r="I345" i="6"/>
  <c r="H345" i="6"/>
  <c r="G345" i="6"/>
  <c r="F345" i="6"/>
  <c r="E345" i="6"/>
  <c r="D345" i="6"/>
  <c r="O343" i="6"/>
  <c r="Q343" i="6"/>
  <c r="M343" i="6"/>
  <c r="N343" i="6"/>
  <c r="P343" i="6"/>
  <c r="L342" i="6"/>
  <c r="K342" i="6"/>
  <c r="J342" i="6"/>
  <c r="I342" i="6"/>
  <c r="H342" i="6"/>
  <c r="G342" i="6"/>
  <c r="F342" i="6"/>
  <c r="E342" i="6"/>
  <c r="D342" i="6"/>
  <c r="O340" i="6"/>
  <c r="Q340" i="6"/>
  <c r="M340" i="6"/>
  <c r="N340" i="6"/>
  <c r="P340" i="6"/>
  <c r="L339" i="6"/>
  <c r="K339" i="6"/>
  <c r="J339" i="6"/>
  <c r="I339" i="6"/>
  <c r="H339" i="6"/>
  <c r="G339" i="6"/>
  <c r="F339" i="6"/>
  <c r="E339" i="6"/>
  <c r="D339" i="6"/>
  <c r="O337" i="6"/>
  <c r="Q337" i="6"/>
  <c r="M337" i="6"/>
  <c r="N337" i="6"/>
  <c r="P337" i="6"/>
  <c r="L336" i="6"/>
  <c r="K336" i="6"/>
  <c r="J336" i="6"/>
  <c r="I336" i="6"/>
  <c r="H336" i="6"/>
  <c r="G336" i="6"/>
  <c r="F336" i="6"/>
  <c r="E336" i="6"/>
  <c r="D336" i="6"/>
  <c r="O334" i="6"/>
  <c r="Q334" i="6"/>
  <c r="M334" i="6"/>
  <c r="N334" i="6"/>
  <c r="P334" i="6"/>
  <c r="L333" i="6"/>
  <c r="K333" i="6"/>
  <c r="J333" i="6"/>
  <c r="I333" i="6"/>
  <c r="H333" i="6"/>
  <c r="G333" i="6"/>
  <c r="F333" i="6"/>
  <c r="E333" i="6"/>
  <c r="D333" i="6"/>
  <c r="O331" i="6"/>
  <c r="Q331" i="6"/>
  <c r="M331" i="6"/>
  <c r="N331" i="6"/>
  <c r="P331" i="6"/>
  <c r="L330" i="6"/>
  <c r="K330" i="6"/>
  <c r="J330" i="6"/>
  <c r="I330" i="6"/>
  <c r="H330" i="6"/>
  <c r="G330" i="6"/>
  <c r="F330" i="6"/>
  <c r="E330" i="6"/>
  <c r="D330" i="6"/>
  <c r="O328" i="6"/>
  <c r="Q328" i="6"/>
  <c r="M328" i="6"/>
  <c r="N328" i="6"/>
  <c r="P328" i="6"/>
  <c r="L327" i="6"/>
  <c r="K327" i="6"/>
  <c r="J327" i="6"/>
  <c r="I327" i="6"/>
  <c r="H327" i="6"/>
  <c r="G327" i="6"/>
  <c r="F327" i="6"/>
  <c r="E327" i="6"/>
  <c r="D327" i="6"/>
  <c r="O325" i="6"/>
  <c r="Q325" i="6"/>
  <c r="M325" i="6"/>
  <c r="N325" i="6"/>
  <c r="P325" i="6"/>
  <c r="L324" i="6"/>
  <c r="K324" i="6"/>
  <c r="J324" i="6"/>
  <c r="I324" i="6"/>
  <c r="H324" i="6"/>
  <c r="G324" i="6"/>
  <c r="F324" i="6"/>
  <c r="E324" i="6"/>
  <c r="D324" i="6"/>
  <c r="O322" i="6"/>
  <c r="Q322" i="6"/>
  <c r="M322" i="6"/>
  <c r="N322" i="6"/>
  <c r="P322" i="6"/>
  <c r="L321" i="6"/>
  <c r="K321" i="6"/>
  <c r="J321" i="6"/>
  <c r="I321" i="6"/>
  <c r="H321" i="6"/>
  <c r="G321" i="6"/>
  <c r="F321" i="6"/>
  <c r="E321" i="6"/>
  <c r="D321" i="6"/>
  <c r="O319" i="6"/>
  <c r="Q319" i="6"/>
  <c r="M319" i="6"/>
  <c r="N319" i="6"/>
  <c r="P319" i="6"/>
  <c r="L318" i="6"/>
  <c r="K318" i="6"/>
  <c r="J318" i="6"/>
  <c r="I318" i="6"/>
  <c r="H318" i="6"/>
  <c r="G318" i="6"/>
  <c r="F318" i="6"/>
  <c r="E318" i="6"/>
  <c r="D318" i="6"/>
  <c r="O316" i="6"/>
  <c r="Q316" i="6"/>
  <c r="M316" i="6"/>
  <c r="N316" i="6"/>
  <c r="P316" i="6"/>
  <c r="L315" i="6"/>
  <c r="K315" i="6"/>
  <c r="J315" i="6"/>
  <c r="I315" i="6"/>
  <c r="H315" i="6"/>
  <c r="G315" i="6"/>
  <c r="F315" i="6"/>
  <c r="E315" i="6"/>
  <c r="D315" i="6"/>
  <c r="O313" i="6"/>
  <c r="Q313" i="6"/>
  <c r="M313" i="6"/>
  <c r="N313" i="6"/>
  <c r="P313" i="6"/>
  <c r="L312" i="6"/>
  <c r="K312" i="6"/>
  <c r="J312" i="6"/>
  <c r="I312" i="6"/>
  <c r="H312" i="6"/>
  <c r="G312" i="6"/>
  <c r="F312" i="6"/>
  <c r="E312" i="6"/>
  <c r="D312" i="6"/>
  <c r="O310" i="6"/>
  <c r="Q310" i="6"/>
  <c r="M310" i="6"/>
  <c r="N310" i="6"/>
  <c r="P310" i="6"/>
  <c r="L309" i="6"/>
  <c r="K309" i="6"/>
  <c r="J309" i="6"/>
  <c r="I309" i="6"/>
  <c r="H309" i="6"/>
  <c r="G309" i="6"/>
  <c r="F309" i="6"/>
  <c r="E309" i="6"/>
  <c r="D309" i="6"/>
  <c r="O307" i="6"/>
  <c r="Q307" i="6"/>
  <c r="M307" i="6"/>
  <c r="N307" i="6"/>
  <c r="P307" i="6"/>
  <c r="L306" i="6"/>
  <c r="K306" i="6"/>
  <c r="J306" i="6"/>
  <c r="I306" i="6"/>
  <c r="H306" i="6"/>
  <c r="G306" i="6"/>
  <c r="F306" i="6"/>
  <c r="E306" i="6"/>
  <c r="D306" i="6"/>
  <c r="O304" i="6"/>
  <c r="Q304" i="6"/>
  <c r="M304" i="6"/>
  <c r="N304" i="6"/>
  <c r="P304" i="6"/>
  <c r="L303" i="6"/>
  <c r="K303" i="6"/>
  <c r="J303" i="6"/>
  <c r="I303" i="6"/>
  <c r="H303" i="6"/>
  <c r="G303" i="6"/>
  <c r="F303" i="6"/>
  <c r="E303" i="6"/>
  <c r="D303" i="6"/>
  <c r="O301" i="6"/>
  <c r="Q301" i="6"/>
  <c r="M301" i="6"/>
  <c r="N301" i="6"/>
  <c r="P301" i="6"/>
  <c r="L300" i="6"/>
  <c r="K300" i="6"/>
  <c r="J300" i="6"/>
  <c r="I300" i="6"/>
  <c r="H300" i="6"/>
  <c r="G300" i="6"/>
  <c r="F300" i="6"/>
  <c r="E300" i="6"/>
  <c r="D300" i="6"/>
  <c r="O298" i="6"/>
  <c r="Q298" i="6"/>
  <c r="M298" i="6"/>
  <c r="N298" i="6"/>
  <c r="P298" i="6"/>
  <c r="L297" i="6"/>
  <c r="K297" i="6"/>
  <c r="J297" i="6"/>
  <c r="I297" i="6"/>
  <c r="H297" i="6"/>
  <c r="G297" i="6"/>
  <c r="F297" i="6"/>
  <c r="E297" i="6"/>
  <c r="D297" i="6"/>
  <c r="O295" i="6"/>
  <c r="Q295" i="6"/>
  <c r="M295" i="6"/>
  <c r="N295" i="6"/>
  <c r="P295" i="6"/>
  <c r="L294" i="6"/>
  <c r="K294" i="6"/>
  <c r="J294" i="6"/>
  <c r="I294" i="6"/>
  <c r="H294" i="6"/>
  <c r="G294" i="6"/>
  <c r="F294" i="6"/>
  <c r="E294" i="6"/>
  <c r="D294" i="6"/>
  <c r="O292" i="6"/>
  <c r="Q292" i="6"/>
  <c r="M292" i="6"/>
  <c r="N292" i="6"/>
  <c r="P292" i="6"/>
  <c r="L291" i="6"/>
  <c r="K291" i="6"/>
  <c r="J291" i="6"/>
  <c r="I291" i="6"/>
  <c r="H291" i="6"/>
  <c r="G291" i="6"/>
  <c r="F291" i="6"/>
  <c r="E291" i="6"/>
  <c r="D291" i="6"/>
  <c r="O289" i="6"/>
  <c r="Q289" i="6"/>
  <c r="M289" i="6"/>
  <c r="N289" i="6"/>
  <c r="P289" i="6"/>
  <c r="L288" i="6"/>
  <c r="K288" i="6"/>
  <c r="J288" i="6"/>
  <c r="I288" i="6"/>
  <c r="H288" i="6"/>
  <c r="G288" i="6"/>
  <c r="F288" i="6"/>
  <c r="E288" i="6"/>
  <c r="D288" i="6"/>
  <c r="O286" i="6"/>
  <c r="Q286" i="6"/>
  <c r="M286" i="6"/>
  <c r="N286" i="6"/>
  <c r="P286" i="6"/>
  <c r="L285" i="6"/>
  <c r="K285" i="6"/>
  <c r="J285" i="6"/>
  <c r="I285" i="6"/>
  <c r="H285" i="6"/>
  <c r="G285" i="6"/>
  <c r="F285" i="6"/>
  <c r="E285" i="6"/>
  <c r="D285" i="6"/>
  <c r="O283" i="6"/>
  <c r="Q283" i="6"/>
  <c r="M283" i="6"/>
  <c r="N283" i="6"/>
  <c r="P283" i="6"/>
  <c r="L282" i="6"/>
  <c r="K282" i="6"/>
  <c r="J282" i="6"/>
  <c r="I282" i="6"/>
  <c r="H282" i="6"/>
  <c r="G282" i="6"/>
  <c r="F282" i="6"/>
  <c r="E282" i="6"/>
  <c r="D282" i="6"/>
  <c r="O280" i="6"/>
  <c r="Q280" i="6"/>
  <c r="M280" i="6"/>
  <c r="N280" i="6"/>
  <c r="P280" i="6"/>
  <c r="L279" i="6"/>
  <c r="K279" i="6"/>
  <c r="J279" i="6"/>
  <c r="I279" i="6"/>
  <c r="H279" i="6"/>
  <c r="G279" i="6"/>
  <c r="F279" i="6"/>
  <c r="E279" i="6"/>
  <c r="D279" i="6"/>
  <c r="O277" i="6"/>
  <c r="Q277" i="6"/>
  <c r="M277" i="6"/>
  <c r="N277" i="6"/>
  <c r="P277" i="6"/>
  <c r="L276" i="6"/>
  <c r="K276" i="6"/>
  <c r="J276" i="6"/>
  <c r="I276" i="6"/>
  <c r="H276" i="6"/>
  <c r="G276" i="6"/>
  <c r="F276" i="6"/>
  <c r="E276" i="6"/>
  <c r="D276" i="6"/>
  <c r="O274" i="6"/>
  <c r="Q274" i="6"/>
  <c r="M274" i="6"/>
  <c r="N274" i="6"/>
  <c r="P274" i="6"/>
  <c r="L273" i="6"/>
  <c r="K273" i="6"/>
  <c r="J273" i="6"/>
  <c r="I273" i="6"/>
  <c r="H273" i="6"/>
  <c r="G273" i="6"/>
  <c r="F273" i="6"/>
  <c r="E273" i="6"/>
  <c r="D273" i="6"/>
  <c r="O271" i="6"/>
  <c r="Q271" i="6"/>
  <c r="M271" i="6"/>
  <c r="N271" i="6"/>
  <c r="P271" i="6"/>
  <c r="L270" i="6"/>
  <c r="K270" i="6"/>
  <c r="J270" i="6"/>
  <c r="I270" i="6"/>
  <c r="H270" i="6"/>
  <c r="G270" i="6"/>
  <c r="F270" i="6"/>
  <c r="E270" i="6"/>
  <c r="D270" i="6"/>
  <c r="O268" i="6"/>
  <c r="Q268" i="6"/>
  <c r="M268" i="6"/>
  <c r="N268" i="6"/>
  <c r="P268" i="6"/>
  <c r="L267" i="6"/>
  <c r="K267" i="6"/>
  <c r="J267" i="6"/>
  <c r="I267" i="6"/>
  <c r="H267" i="6"/>
  <c r="G267" i="6"/>
  <c r="F267" i="6"/>
  <c r="E267" i="6"/>
  <c r="D267" i="6"/>
  <c r="O265" i="6"/>
  <c r="Q265" i="6"/>
  <c r="M265" i="6"/>
  <c r="N265" i="6"/>
  <c r="P265" i="6"/>
  <c r="L264" i="6"/>
  <c r="K264" i="6"/>
  <c r="J264" i="6"/>
  <c r="I264" i="6"/>
  <c r="H264" i="6"/>
  <c r="G264" i="6"/>
  <c r="F264" i="6"/>
  <c r="E264" i="6"/>
  <c r="D264" i="6"/>
  <c r="O262" i="6"/>
  <c r="Q262" i="6"/>
  <c r="M262" i="6"/>
  <c r="N262" i="6"/>
  <c r="P262" i="6"/>
  <c r="L261" i="6"/>
  <c r="K261" i="6"/>
  <c r="J261" i="6"/>
  <c r="I261" i="6"/>
  <c r="H261" i="6"/>
  <c r="G261" i="6"/>
  <c r="F261" i="6"/>
  <c r="E261" i="6"/>
  <c r="D261" i="6"/>
  <c r="O259" i="6"/>
  <c r="Q259" i="6"/>
  <c r="M259" i="6"/>
  <c r="N259" i="6"/>
  <c r="P259" i="6"/>
  <c r="L258" i="6"/>
  <c r="K258" i="6"/>
  <c r="J258" i="6"/>
  <c r="I258" i="6"/>
  <c r="H258" i="6"/>
  <c r="G258" i="6"/>
  <c r="F258" i="6"/>
  <c r="E258" i="6"/>
  <c r="D258" i="6"/>
  <c r="O256" i="6"/>
  <c r="Q256" i="6"/>
  <c r="M256" i="6"/>
  <c r="N256" i="6"/>
  <c r="P256" i="6"/>
  <c r="L255" i="6"/>
  <c r="K255" i="6"/>
  <c r="J255" i="6"/>
  <c r="I255" i="6"/>
  <c r="H255" i="6"/>
  <c r="G255" i="6"/>
  <c r="F255" i="6"/>
  <c r="E255" i="6"/>
  <c r="D255" i="6"/>
  <c r="O253" i="6"/>
  <c r="Q253" i="6"/>
  <c r="M253" i="6"/>
  <c r="N253" i="6"/>
  <c r="P253" i="6"/>
  <c r="L252" i="6"/>
  <c r="K252" i="6"/>
  <c r="J252" i="6"/>
  <c r="I252" i="6"/>
  <c r="H252" i="6"/>
  <c r="G252" i="6"/>
  <c r="F252" i="6"/>
  <c r="E252" i="6"/>
  <c r="D252" i="6"/>
  <c r="O250" i="6"/>
  <c r="Q250" i="6"/>
  <c r="M250" i="6"/>
  <c r="N250" i="6"/>
  <c r="P250" i="6"/>
  <c r="L249" i="6"/>
  <c r="K249" i="6"/>
  <c r="J249" i="6"/>
  <c r="I249" i="6"/>
  <c r="H249" i="6"/>
  <c r="G249" i="6"/>
  <c r="F249" i="6"/>
  <c r="E249" i="6"/>
  <c r="D249" i="6"/>
  <c r="O247" i="6"/>
  <c r="Q247" i="6"/>
  <c r="M247" i="6"/>
  <c r="N247" i="6"/>
  <c r="P247" i="6"/>
  <c r="L246" i="6"/>
  <c r="K246" i="6"/>
  <c r="J246" i="6"/>
  <c r="I246" i="6"/>
  <c r="H246" i="6"/>
  <c r="G246" i="6"/>
  <c r="F246" i="6"/>
  <c r="E246" i="6"/>
  <c r="D246" i="6"/>
  <c r="O244" i="6"/>
  <c r="Q244" i="6"/>
  <c r="M244" i="6"/>
  <c r="N244" i="6"/>
  <c r="P244" i="6"/>
  <c r="L243" i="6"/>
  <c r="K243" i="6"/>
  <c r="J243" i="6"/>
  <c r="I243" i="6"/>
  <c r="H243" i="6"/>
  <c r="G243" i="6"/>
  <c r="F243" i="6"/>
  <c r="E243" i="6"/>
  <c r="D243" i="6"/>
  <c r="O241" i="6"/>
  <c r="Q241" i="6"/>
  <c r="M241" i="6"/>
  <c r="N241" i="6"/>
  <c r="P241" i="6"/>
  <c r="L240" i="6"/>
  <c r="K240" i="6"/>
  <c r="J240" i="6"/>
  <c r="I240" i="6"/>
  <c r="H240" i="6"/>
  <c r="G240" i="6"/>
  <c r="F240" i="6"/>
  <c r="E240" i="6"/>
  <c r="D240" i="6"/>
  <c r="O238" i="6"/>
  <c r="Q238" i="6"/>
  <c r="M238" i="6"/>
  <c r="N238" i="6"/>
  <c r="P238" i="6"/>
  <c r="L237" i="6"/>
  <c r="K237" i="6"/>
  <c r="J237" i="6"/>
  <c r="I237" i="6"/>
  <c r="H237" i="6"/>
  <c r="G237" i="6"/>
  <c r="F237" i="6"/>
  <c r="E237" i="6"/>
  <c r="D237" i="6"/>
  <c r="O235" i="6"/>
  <c r="Q235" i="6"/>
  <c r="M235" i="6"/>
  <c r="N235" i="6"/>
  <c r="P235" i="6"/>
  <c r="L234" i="6"/>
  <c r="K234" i="6"/>
  <c r="J234" i="6"/>
  <c r="I234" i="6"/>
  <c r="H234" i="6"/>
  <c r="G234" i="6"/>
  <c r="F234" i="6"/>
  <c r="E234" i="6"/>
  <c r="D234" i="6"/>
  <c r="O232" i="6"/>
  <c r="Q232" i="6"/>
  <c r="M232" i="6"/>
  <c r="N232" i="6"/>
  <c r="P232" i="6"/>
  <c r="L231" i="6"/>
  <c r="K231" i="6"/>
  <c r="J231" i="6"/>
  <c r="I231" i="6"/>
  <c r="H231" i="6"/>
  <c r="G231" i="6"/>
  <c r="F231" i="6"/>
  <c r="E231" i="6"/>
  <c r="D231" i="6"/>
  <c r="O229" i="6"/>
  <c r="Q229" i="6"/>
  <c r="M229" i="6"/>
  <c r="N229" i="6"/>
  <c r="P229" i="6"/>
  <c r="L228" i="6"/>
  <c r="K228" i="6"/>
  <c r="J228" i="6"/>
  <c r="I228" i="6"/>
  <c r="H228" i="6"/>
  <c r="G228" i="6"/>
  <c r="F228" i="6"/>
  <c r="E228" i="6"/>
  <c r="D228" i="6"/>
  <c r="O226" i="6"/>
  <c r="Q226" i="6"/>
  <c r="M226" i="6"/>
  <c r="N226" i="6"/>
  <c r="P226" i="6"/>
  <c r="L225" i="6"/>
  <c r="K225" i="6"/>
  <c r="J225" i="6"/>
  <c r="I225" i="6"/>
  <c r="H225" i="6"/>
  <c r="G225" i="6"/>
  <c r="F225" i="6"/>
  <c r="E225" i="6"/>
  <c r="D225" i="6"/>
  <c r="O223" i="6"/>
  <c r="Q223" i="6"/>
  <c r="M223" i="6"/>
  <c r="N223" i="6"/>
  <c r="P223" i="6"/>
  <c r="L222" i="6"/>
  <c r="K222" i="6"/>
  <c r="J222" i="6"/>
  <c r="I222" i="6"/>
  <c r="H222" i="6"/>
  <c r="G222" i="6"/>
  <c r="F222" i="6"/>
  <c r="E222" i="6"/>
  <c r="D222" i="6"/>
  <c r="O220" i="6"/>
  <c r="Q220" i="6"/>
  <c r="M220" i="6"/>
  <c r="N220" i="6"/>
  <c r="P220" i="6"/>
  <c r="L219" i="6"/>
  <c r="K219" i="6"/>
  <c r="J219" i="6"/>
  <c r="I219" i="6"/>
  <c r="H219" i="6"/>
  <c r="G219" i="6"/>
  <c r="F219" i="6"/>
  <c r="E219" i="6"/>
  <c r="D219" i="6"/>
  <c r="O217" i="6"/>
  <c r="Q217" i="6"/>
  <c r="M217" i="6"/>
  <c r="N217" i="6"/>
  <c r="P217" i="6"/>
  <c r="L216" i="6"/>
  <c r="K216" i="6"/>
  <c r="J216" i="6"/>
  <c r="I216" i="6"/>
  <c r="H216" i="6"/>
  <c r="G216" i="6"/>
  <c r="F216" i="6"/>
  <c r="E216" i="6"/>
  <c r="D216" i="6"/>
  <c r="O214" i="6"/>
  <c r="Q214" i="6"/>
  <c r="M214" i="6"/>
  <c r="N214" i="6"/>
  <c r="P214" i="6"/>
  <c r="L213" i="6"/>
  <c r="K213" i="6"/>
  <c r="J213" i="6"/>
  <c r="I213" i="6"/>
  <c r="H213" i="6"/>
  <c r="G213" i="6"/>
  <c r="F213" i="6"/>
  <c r="E213" i="6"/>
  <c r="D213" i="6"/>
  <c r="O211" i="6"/>
  <c r="Q211" i="6"/>
  <c r="M211" i="6"/>
  <c r="N211" i="6"/>
  <c r="P211" i="6"/>
  <c r="L210" i="6"/>
  <c r="K210" i="6"/>
  <c r="J210" i="6"/>
  <c r="I210" i="6"/>
  <c r="H210" i="6"/>
  <c r="G210" i="6"/>
  <c r="F210" i="6"/>
  <c r="E210" i="6"/>
  <c r="D210" i="6"/>
  <c r="O208" i="6"/>
  <c r="Q208" i="6"/>
  <c r="M208" i="6"/>
  <c r="N208" i="6"/>
  <c r="P208" i="6"/>
  <c r="L207" i="6"/>
  <c r="K207" i="6"/>
  <c r="J207" i="6"/>
  <c r="I207" i="6"/>
  <c r="H207" i="6"/>
  <c r="G207" i="6"/>
  <c r="F207" i="6"/>
  <c r="E207" i="6"/>
  <c r="D207" i="6"/>
  <c r="O205" i="6"/>
  <c r="Q205" i="6"/>
  <c r="M205" i="6"/>
  <c r="N205" i="6"/>
  <c r="P205" i="6"/>
  <c r="L204" i="6"/>
  <c r="K204" i="6"/>
  <c r="J204" i="6"/>
  <c r="I204" i="6"/>
  <c r="H204" i="6"/>
  <c r="G204" i="6"/>
  <c r="F204" i="6"/>
  <c r="E204" i="6"/>
  <c r="D204" i="6"/>
  <c r="O202" i="6"/>
  <c r="Q202" i="6"/>
  <c r="M202" i="6"/>
  <c r="N202" i="6"/>
  <c r="P202" i="6"/>
  <c r="L201" i="6"/>
  <c r="K201" i="6"/>
  <c r="J201" i="6"/>
  <c r="I201" i="6"/>
  <c r="H201" i="6"/>
  <c r="G201" i="6"/>
  <c r="F201" i="6"/>
  <c r="E201" i="6"/>
  <c r="D201" i="6"/>
  <c r="O199" i="6"/>
  <c r="Q199" i="6"/>
  <c r="M199" i="6"/>
  <c r="N199" i="6"/>
  <c r="P199" i="6"/>
  <c r="L198" i="6"/>
  <c r="K198" i="6"/>
  <c r="J198" i="6"/>
  <c r="I198" i="6"/>
  <c r="H198" i="6"/>
  <c r="G198" i="6"/>
  <c r="F198" i="6"/>
  <c r="E198" i="6"/>
  <c r="D198" i="6"/>
  <c r="O196" i="6"/>
  <c r="Q196" i="6"/>
  <c r="M196" i="6"/>
  <c r="N196" i="6"/>
  <c r="P196" i="6"/>
  <c r="L195" i="6"/>
  <c r="K195" i="6"/>
  <c r="J195" i="6"/>
  <c r="I195" i="6"/>
  <c r="H195" i="6"/>
  <c r="G195" i="6"/>
  <c r="F195" i="6"/>
  <c r="E195" i="6"/>
  <c r="D195" i="6"/>
  <c r="O193" i="6"/>
  <c r="Q193" i="6"/>
  <c r="M193" i="6"/>
  <c r="N193" i="6"/>
  <c r="P193" i="6"/>
  <c r="L192" i="6"/>
  <c r="K192" i="6"/>
  <c r="J192" i="6"/>
  <c r="I192" i="6"/>
  <c r="H192" i="6"/>
  <c r="G192" i="6"/>
  <c r="F192" i="6"/>
  <c r="E192" i="6"/>
  <c r="D192" i="6"/>
  <c r="O190" i="6"/>
  <c r="Q190" i="6"/>
  <c r="M190" i="6"/>
  <c r="N190" i="6"/>
  <c r="P190" i="6"/>
  <c r="L189" i="6"/>
  <c r="K189" i="6"/>
  <c r="J189" i="6"/>
  <c r="I189" i="6"/>
  <c r="H189" i="6"/>
  <c r="G189" i="6"/>
  <c r="F189" i="6"/>
  <c r="E189" i="6"/>
  <c r="D189" i="6"/>
  <c r="O187" i="6"/>
  <c r="Q187" i="6"/>
  <c r="M187" i="6"/>
  <c r="N187" i="6"/>
  <c r="P187" i="6"/>
  <c r="L186" i="6"/>
  <c r="K186" i="6"/>
  <c r="J186" i="6"/>
  <c r="I186" i="6"/>
  <c r="H186" i="6"/>
  <c r="G186" i="6"/>
  <c r="F186" i="6"/>
  <c r="E186" i="6"/>
  <c r="D186" i="6"/>
  <c r="O184" i="6"/>
  <c r="Q184" i="6"/>
  <c r="M184" i="6"/>
  <c r="N184" i="6"/>
  <c r="P184" i="6"/>
  <c r="L183" i="6"/>
  <c r="K183" i="6"/>
  <c r="J183" i="6"/>
  <c r="I183" i="6"/>
  <c r="H183" i="6"/>
  <c r="G183" i="6"/>
  <c r="F183" i="6"/>
  <c r="E183" i="6"/>
  <c r="D183" i="6"/>
  <c r="O181" i="6"/>
  <c r="Q181" i="6"/>
  <c r="M181" i="6"/>
  <c r="N181" i="6"/>
  <c r="P181" i="6"/>
  <c r="L180" i="6"/>
  <c r="K180" i="6"/>
  <c r="J180" i="6"/>
  <c r="I180" i="6"/>
  <c r="H180" i="6"/>
  <c r="G180" i="6"/>
  <c r="F180" i="6"/>
  <c r="E180" i="6"/>
  <c r="D180" i="6"/>
  <c r="O178" i="6"/>
  <c r="Q178" i="6"/>
  <c r="M178" i="6"/>
  <c r="N178" i="6"/>
  <c r="P178" i="6"/>
  <c r="L177" i="6"/>
  <c r="K177" i="6"/>
  <c r="J177" i="6"/>
  <c r="I177" i="6"/>
  <c r="H177" i="6"/>
  <c r="G177" i="6"/>
  <c r="F177" i="6"/>
  <c r="E177" i="6"/>
  <c r="D177" i="6"/>
  <c r="O175" i="6"/>
  <c r="Q175" i="6"/>
  <c r="M175" i="6"/>
  <c r="N175" i="6"/>
  <c r="P175" i="6"/>
  <c r="L174" i="6"/>
  <c r="K174" i="6"/>
  <c r="J174" i="6"/>
  <c r="I174" i="6"/>
  <c r="H174" i="6"/>
  <c r="G174" i="6"/>
  <c r="F174" i="6"/>
  <c r="E174" i="6"/>
  <c r="D174" i="6"/>
  <c r="O172" i="6"/>
  <c r="Q172" i="6"/>
  <c r="M172" i="6"/>
  <c r="N172" i="6"/>
  <c r="P172" i="6"/>
  <c r="L171" i="6"/>
  <c r="K171" i="6"/>
  <c r="J171" i="6"/>
  <c r="I171" i="6"/>
  <c r="H171" i="6"/>
  <c r="G171" i="6"/>
  <c r="F171" i="6"/>
  <c r="E171" i="6"/>
  <c r="D171" i="6"/>
  <c r="O169" i="6"/>
  <c r="Q169" i="6"/>
  <c r="M169" i="6"/>
  <c r="N169" i="6"/>
  <c r="P169" i="6"/>
  <c r="L168" i="6"/>
  <c r="K168" i="6"/>
  <c r="J168" i="6"/>
  <c r="I168" i="6"/>
  <c r="H168" i="6"/>
  <c r="G168" i="6"/>
  <c r="F168" i="6"/>
  <c r="E168" i="6"/>
  <c r="D168" i="6"/>
  <c r="O166" i="6"/>
  <c r="Q166" i="6"/>
  <c r="M166" i="6"/>
  <c r="N166" i="6"/>
  <c r="P166" i="6"/>
  <c r="L165" i="6"/>
  <c r="K165" i="6"/>
  <c r="J165" i="6"/>
  <c r="I165" i="6"/>
  <c r="H165" i="6"/>
  <c r="G165" i="6"/>
  <c r="F165" i="6"/>
  <c r="E165" i="6"/>
  <c r="D165" i="6"/>
  <c r="O163" i="6"/>
  <c r="Q163" i="6"/>
  <c r="M163" i="6"/>
  <c r="N163" i="6"/>
  <c r="P163" i="6"/>
  <c r="L162" i="6"/>
  <c r="K162" i="6"/>
  <c r="J162" i="6"/>
  <c r="I162" i="6"/>
  <c r="H162" i="6"/>
  <c r="G162" i="6"/>
  <c r="F162" i="6"/>
  <c r="E162" i="6"/>
  <c r="D162" i="6"/>
  <c r="O160" i="6"/>
  <c r="Q160" i="6"/>
  <c r="M160" i="6"/>
  <c r="N160" i="6"/>
  <c r="P160" i="6"/>
  <c r="L159" i="6"/>
  <c r="K159" i="6"/>
  <c r="J159" i="6"/>
  <c r="I159" i="6"/>
  <c r="H159" i="6"/>
  <c r="G159" i="6"/>
  <c r="F159" i="6"/>
  <c r="E159" i="6"/>
  <c r="D159" i="6"/>
  <c r="O157" i="6"/>
  <c r="Q157" i="6"/>
  <c r="M157" i="6"/>
  <c r="N157" i="6"/>
  <c r="P157" i="6"/>
  <c r="L156" i="6"/>
  <c r="K156" i="6"/>
  <c r="J156" i="6"/>
  <c r="I156" i="6"/>
  <c r="H156" i="6"/>
  <c r="G156" i="6"/>
  <c r="F156" i="6"/>
  <c r="E156" i="6"/>
  <c r="D156" i="6"/>
  <c r="O154" i="6"/>
  <c r="Q154" i="6"/>
  <c r="M154" i="6"/>
  <c r="N154" i="6"/>
  <c r="P154" i="6"/>
  <c r="L153" i="6"/>
  <c r="K153" i="6"/>
  <c r="J153" i="6"/>
  <c r="I153" i="6"/>
  <c r="H153" i="6"/>
  <c r="G153" i="6"/>
  <c r="F153" i="6"/>
  <c r="E153" i="6"/>
  <c r="D153" i="6"/>
  <c r="O151" i="6"/>
  <c r="Q151" i="6"/>
  <c r="M151" i="6"/>
  <c r="N151" i="6"/>
  <c r="P151" i="6"/>
  <c r="L150" i="6"/>
  <c r="K150" i="6"/>
  <c r="J150" i="6"/>
  <c r="I150" i="6"/>
  <c r="H150" i="6"/>
  <c r="G150" i="6"/>
  <c r="F150" i="6"/>
  <c r="E150" i="6"/>
  <c r="D150" i="6"/>
  <c r="O148" i="6"/>
  <c r="Q148" i="6"/>
  <c r="M148" i="6"/>
  <c r="N148" i="6"/>
  <c r="P148" i="6"/>
  <c r="L147" i="6"/>
  <c r="K147" i="6"/>
  <c r="J147" i="6"/>
  <c r="I147" i="6"/>
  <c r="H147" i="6"/>
  <c r="G147" i="6"/>
  <c r="F147" i="6"/>
  <c r="E147" i="6"/>
  <c r="D147" i="6"/>
  <c r="O145" i="6"/>
  <c r="Q145" i="6"/>
  <c r="M145" i="6"/>
  <c r="N145" i="6"/>
  <c r="P145" i="6"/>
  <c r="L144" i="6"/>
  <c r="K144" i="6"/>
  <c r="J144" i="6"/>
  <c r="I144" i="6"/>
  <c r="H144" i="6"/>
  <c r="G144" i="6"/>
  <c r="F144" i="6"/>
  <c r="E144" i="6"/>
  <c r="D144" i="6"/>
  <c r="O142" i="6"/>
  <c r="Q142" i="6"/>
  <c r="M142" i="6"/>
  <c r="N142" i="6"/>
  <c r="P142" i="6"/>
  <c r="L141" i="6"/>
  <c r="K141" i="6"/>
  <c r="J141" i="6"/>
  <c r="I141" i="6"/>
  <c r="H141" i="6"/>
  <c r="G141" i="6"/>
  <c r="F141" i="6"/>
  <c r="E141" i="6"/>
  <c r="D141" i="6"/>
  <c r="O139" i="6"/>
  <c r="Q139" i="6"/>
  <c r="M139" i="6"/>
  <c r="N139" i="6"/>
  <c r="P139" i="6"/>
  <c r="L138" i="6"/>
  <c r="K138" i="6"/>
  <c r="J138" i="6"/>
  <c r="I138" i="6"/>
  <c r="H138" i="6"/>
  <c r="G138" i="6"/>
  <c r="F138" i="6"/>
  <c r="E138" i="6"/>
  <c r="D138" i="6"/>
  <c r="O136" i="6"/>
  <c r="Q136" i="6"/>
  <c r="M136" i="6"/>
  <c r="N136" i="6"/>
  <c r="P136" i="6"/>
  <c r="L135" i="6"/>
  <c r="K135" i="6"/>
  <c r="J135" i="6"/>
  <c r="I135" i="6"/>
  <c r="H135" i="6"/>
  <c r="G135" i="6"/>
  <c r="F135" i="6"/>
  <c r="E135" i="6"/>
  <c r="D135" i="6"/>
  <c r="O133" i="6"/>
  <c r="Q133" i="6"/>
  <c r="M133" i="6"/>
  <c r="N133" i="6"/>
  <c r="P133" i="6"/>
  <c r="L132" i="6"/>
  <c r="K132" i="6"/>
  <c r="J132" i="6"/>
  <c r="I132" i="6"/>
  <c r="H132" i="6"/>
  <c r="G132" i="6"/>
  <c r="F132" i="6"/>
  <c r="E132" i="6"/>
  <c r="D132" i="6"/>
  <c r="O130" i="6"/>
  <c r="Q130" i="6"/>
  <c r="M130" i="6"/>
  <c r="N130" i="6"/>
  <c r="P130" i="6"/>
  <c r="L129" i="6"/>
  <c r="K129" i="6"/>
  <c r="J129" i="6"/>
  <c r="I129" i="6"/>
  <c r="H129" i="6"/>
  <c r="G129" i="6"/>
  <c r="F129" i="6"/>
  <c r="E129" i="6"/>
  <c r="D129" i="6"/>
  <c r="O127" i="6"/>
  <c r="Q127" i="6"/>
  <c r="M127" i="6"/>
  <c r="N127" i="6"/>
  <c r="P127" i="6"/>
  <c r="L126" i="6"/>
  <c r="K126" i="6"/>
  <c r="J126" i="6"/>
  <c r="I126" i="6"/>
  <c r="H126" i="6"/>
  <c r="G126" i="6"/>
  <c r="F126" i="6"/>
  <c r="E126" i="6"/>
  <c r="D126" i="6"/>
  <c r="O124" i="6"/>
  <c r="Q124" i="6"/>
  <c r="M124" i="6"/>
  <c r="N124" i="6"/>
  <c r="P124" i="6"/>
  <c r="L123" i="6"/>
  <c r="K123" i="6"/>
  <c r="J123" i="6"/>
  <c r="I123" i="6"/>
  <c r="H123" i="6"/>
  <c r="G123" i="6"/>
  <c r="F123" i="6"/>
  <c r="E123" i="6"/>
  <c r="D123" i="6"/>
  <c r="O121" i="6"/>
  <c r="Q121" i="6"/>
  <c r="M121" i="6"/>
  <c r="N121" i="6"/>
  <c r="P121" i="6"/>
  <c r="L120" i="6"/>
  <c r="K120" i="6"/>
  <c r="J120" i="6"/>
  <c r="I120" i="6"/>
  <c r="H120" i="6"/>
  <c r="G120" i="6"/>
  <c r="F120" i="6"/>
  <c r="E120" i="6"/>
  <c r="D120" i="6"/>
  <c r="O118" i="6"/>
  <c r="Q118" i="6"/>
  <c r="M118" i="6"/>
  <c r="N118" i="6"/>
  <c r="P118" i="6"/>
  <c r="L117" i="6"/>
  <c r="K117" i="6"/>
  <c r="J117" i="6"/>
  <c r="I117" i="6"/>
  <c r="H117" i="6"/>
  <c r="G117" i="6"/>
  <c r="F117" i="6"/>
  <c r="E117" i="6"/>
  <c r="D117" i="6"/>
  <c r="O115" i="6"/>
  <c r="Q115" i="6"/>
  <c r="M115" i="6"/>
  <c r="N115" i="6"/>
  <c r="P115" i="6"/>
  <c r="L114" i="6"/>
  <c r="K114" i="6"/>
  <c r="J114" i="6"/>
  <c r="I114" i="6"/>
  <c r="H114" i="6"/>
  <c r="G114" i="6"/>
  <c r="F114" i="6"/>
  <c r="E114" i="6"/>
  <c r="D114" i="6"/>
  <c r="O112" i="6"/>
  <c r="Q112" i="6"/>
  <c r="M112" i="6"/>
  <c r="N112" i="6"/>
  <c r="P112" i="6"/>
  <c r="L111" i="6"/>
  <c r="K111" i="6"/>
  <c r="J111" i="6"/>
  <c r="I111" i="6"/>
  <c r="H111" i="6"/>
  <c r="G111" i="6"/>
  <c r="F111" i="6"/>
  <c r="E111" i="6"/>
  <c r="D111" i="6"/>
  <c r="O109" i="6"/>
  <c r="Q109" i="6"/>
  <c r="M109" i="6"/>
  <c r="N109" i="6"/>
  <c r="P109" i="6"/>
  <c r="L108" i="6"/>
  <c r="K108" i="6"/>
  <c r="J108" i="6"/>
  <c r="I108" i="6"/>
  <c r="H108" i="6"/>
  <c r="G108" i="6"/>
  <c r="F108" i="6"/>
  <c r="E108" i="6"/>
  <c r="D108" i="6"/>
  <c r="O106" i="6"/>
  <c r="Q106" i="6"/>
  <c r="M106" i="6"/>
  <c r="N106" i="6"/>
  <c r="P106" i="6"/>
  <c r="L105" i="6"/>
  <c r="K105" i="6"/>
  <c r="J105" i="6"/>
  <c r="I105" i="6"/>
  <c r="H105" i="6"/>
  <c r="G105" i="6"/>
  <c r="F105" i="6"/>
  <c r="E105" i="6"/>
  <c r="D105" i="6"/>
  <c r="O103" i="6"/>
  <c r="Q103" i="6"/>
  <c r="M103" i="6"/>
  <c r="N103" i="6"/>
  <c r="P103" i="6"/>
  <c r="L102" i="6"/>
  <c r="K102" i="6"/>
  <c r="J102" i="6"/>
  <c r="I102" i="6"/>
  <c r="H102" i="6"/>
  <c r="G102" i="6"/>
  <c r="F102" i="6"/>
  <c r="E102" i="6"/>
  <c r="D102" i="6"/>
  <c r="O100" i="6"/>
  <c r="Q100" i="6"/>
  <c r="M100" i="6"/>
  <c r="N100" i="6"/>
  <c r="P100" i="6"/>
  <c r="L99" i="6"/>
  <c r="K99" i="6"/>
  <c r="J99" i="6"/>
  <c r="I99" i="6"/>
  <c r="H99" i="6"/>
  <c r="G99" i="6"/>
  <c r="F99" i="6"/>
  <c r="E99" i="6"/>
  <c r="D99" i="6"/>
  <c r="O97" i="6"/>
  <c r="Q97" i="6"/>
  <c r="M97" i="6"/>
  <c r="N97" i="6"/>
  <c r="P97" i="6"/>
  <c r="L96" i="6"/>
  <c r="K96" i="6"/>
  <c r="J96" i="6"/>
  <c r="I96" i="6"/>
  <c r="H96" i="6"/>
  <c r="G96" i="6"/>
  <c r="F96" i="6"/>
  <c r="E96" i="6"/>
  <c r="D96" i="6"/>
  <c r="O94" i="6"/>
  <c r="Q94" i="6"/>
  <c r="M94" i="6"/>
  <c r="N94" i="6"/>
  <c r="P94" i="6"/>
  <c r="L93" i="6"/>
  <c r="K93" i="6"/>
  <c r="J93" i="6"/>
  <c r="I93" i="6"/>
  <c r="H93" i="6"/>
  <c r="G93" i="6"/>
  <c r="F93" i="6"/>
  <c r="E93" i="6"/>
  <c r="D93" i="6"/>
  <c r="O91" i="6"/>
  <c r="Q91" i="6"/>
  <c r="M91" i="6"/>
  <c r="N91" i="6"/>
  <c r="P91" i="6"/>
  <c r="L90" i="6"/>
  <c r="K90" i="6"/>
  <c r="J90" i="6"/>
  <c r="I90" i="6"/>
  <c r="H90" i="6"/>
  <c r="G90" i="6"/>
  <c r="F90" i="6"/>
  <c r="E90" i="6"/>
  <c r="D90" i="6"/>
  <c r="O88" i="6"/>
  <c r="Q88" i="6"/>
  <c r="M88" i="6"/>
  <c r="N88" i="6"/>
  <c r="P88" i="6"/>
  <c r="L87" i="6"/>
  <c r="K87" i="6"/>
  <c r="J87" i="6"/>
  <c r="I87" i="6"/>
  <c r="H87" i="6"/>
  <c r="G87" i="6"/>
  <c r="F87" i="6"/>
  <c r="E87" i="6"/>
  <c r="D87" i="6"/>
  <c r="O85" i="6"/>
  <c r="Q85" i="6"/>
  <c r="M85" i="6"/>
  <c r="N85" i="6"/>
  <c r="P85" i="6"/>
  <c r="L84" i="6"/>
  <c r="K84" i="6"/>
  <c r="J84" i="6"/>
  <c r="I84" i="6"/>
  <c r="H84" i="6"/>
  <c r="G84" i="6"/>
  <c r="F84" i="6"/>
  <c r="E84" i="6"/>
  <c r="D84" i="6"/>
  <c r="O82" i="6"/>
  <c r="Q82" i="6"/>
  <c r="M82" i="6"/>
  <c r="N82" i="6"/>
  <c r="P82" i="6"/>
  <c r="L81" i="6"/>
  <c r="K81" i="6"/>
  <c r="J81" i="6"/>
  <c r="I81" i="6"/>
  <c r="H81" i="6"/>
  <c r="G81" i="6"/>
  <c r="F81" i="6"/>
  <c r="E81" i="6"/>
  <c r="D81" i="6"/>
  <c r="O79" i="6"/>
  <c r="Q79" i="6"/>
  <c r="M79" i="6"/>
  <c r="N79" i="6"/>
  <c r="P79" i="6"/>
  <c r="L78" i="6"/>
  <c r="K78" i="6"/>
  <c r="J78" i="6"/>
  <c r="I78" i="6"/>
  <c r="H78" i="6"/>
  <c r="G78" i="6"/>
  <c r="F78" i="6"/>
  <c r="E78" i="6"/>
  <c r="D78" i="6"/>
  <c r="O76" i="6"/>
  <c r="Q76" i="6"/>
  <c r="M76" i="6"/>
  <c r="N76" i="6"/>
  <c r="P76" i="6"/>
  <c r="L75" i="6"/>
  <c r="K75" i="6"/>
  <c r="J75" i="6"/>
  <c r="I75" i="6"/>
  <c r="H75" i="6"/>
  <c r="G75" i="6"/>
  <c r="F75" i="6"/>
  <c r="E75" i="6"/>
  <c r="D75" i="6"/>
  <c r="O73" i="6"/>
  <c r="Q73" i="6"/>
  <c r="M73" i="6"/>
  <c r="N73" i="6"/>
  <c r="P73" i="6"/>
  <c r="L72" i="6"/>
  <c r="K72" i="6"/>
  <c r="J72" i="6"/>
  <c r="I72" i="6"/>
  <c r="H72" i="6"/>
  <c r="G72" i="6"/>
  <c r="F72" i="6"/>
  <c r="E72" i="6"/>
  <c r="D72" i="6"/>
  <c r="O70" i="6"/>
  <c r="Q70" i="6"/>
  <c r="M70" i="6"/>
  <c r="N70" i="6"/>
  <c r="P70" i="6"/>
  <c r="L69" i="6"/>
  <c r="K69" i="6"/>
  <c r="J69" i="6"/>
  <c r="I69" i="6"/>
  <c r="H69" i="6"/>
  <c r="G69" i="6"/>
  <c r="F69" i="6"/>
  <c r="E69" i="6"/>
  <c r="D69" i="6"/>
  <c r="O67" i="6"/>
  <c r="Q67" i="6"/>
  <c r="M67" i="6"/>
  <c r="N67" i="6"/>
  <c r="P67" i="6"/>
  <c r="L66" i="6"/>
  <c r="K66" i="6"/>
  <c r="J66" i="6"/>
  <c r="I66" i="6"/>
  <c r="H66" i="6"/>
  <c r="G66" i="6"/>
  <c r="F66" i="6"/>
  <c r="E66" i="6"/>
  <c r="D66" i="6"/>
  <c r="O64" i="6"/>
  <c r="Q64" i="6"/>
  <c r="M64" i="6"/>
  <c r="N64" i="6"/>
  <c r="P64" i="6"/>
  <c r="L63" i="6"/>
  <c r="K63" i="6"/>
  <c r="J63" i="6"/>
  <c r="I63" i="6"/>
  <c r="H63" i="6"/>
  <c r="G63" i="6"/>
  <c r="F63" i="6"/>
  <c r="E63" i="6"/>
  <c r="D63" i="6"/>
  <c r="O61" i="6"/>
  <c r="Q61" i="6"/>
  <c r="M61" i="6"/>
  <c r="N61" i="6"/>
  <c r="P61" i="6"/>
  <c r="L60" i="6"/>
  <c r="K60" i="6"/>
  <c r="J60" i="6"/>
  <c r="I60" i="6"/>
  <c r="H60" i="6"/>
  <c r="G60" i="6"/>
  <c r="F60" i="6"/>
  <c r="E60" i="6"/>
  <c r="D60" i="6"/>
  <c r="O58" i="6"/>
  <c r="Q58" i="6"/>
  <c r="M58" i="6"/>
  <c r="N58" i="6"/>
  <c r="P58" i="6"/>
  <c r="L57" i="6"/>
  <c r="K57" i="6"/>
  <c r="J57" i="6"/>
  <c r="I57" i="6"/>
  <c r="H57" i="6"/>
  <c r="G57" i="6"/>
  <c r="F57" i="6"/>
  <c r="E57" i="6"/>
  <c r="D57" i="6"/>
  <c r="O55" i="6"/>
  <c r="Q55" i="6"/>
  <c r="M55" i="6"/>
  <c r="N55" i="6"/>
  <c r="P55" i="6"/>
  <c r="L54" i="6"/>
  <c r="K54" i="6"/>
  <c r="J54" i="6"/>
  <c r="I54" i="6"/>
  <c r="H54" i="6"/>
  <c r="G54" i="6"/>
  <c r="F54" i="6"/>
  <c r="E54" i="6"/>
  <c r="D54" i="6"/>
  <c r="O52" i="6"/>
  <c r="Q52" i="6"/>
  <c r="M52" i="6"/>
  <c r="N52" i="6"/>
  <c r="P52" i="6"/>
  <c r="L51" i="6"/>
  <c r="K51" i="6"/>
  <c r="J51" i="6"/>
  <c r="I51" i="6"/>
  <c r="H51" i="6"/>
  <c r="G51" i="6"/>
  <c r="F51" i="6"/>
  <c r="E51" i="6"/>
  <c r="D51" i="6"/>
  <c r="O49" i="6"/>
  <c r="Q49" i="6"/>
  <c r="M49" i="6"/>
  <c r="N49" i="6"/>
  <c r="P49" i="6"/>
  <c r="L48" i="6"/>
  <c r="K48" i="6"/>
  <c r="J48" i="6"/>
  <c r="I48" i="6"/>
  <c r="H48" i="6"/>
  <c r="G48" i="6"/>
  <c r="F48" i="6"/>
  <c r="E48" i="6"/>
  <c r="D48" i="6"/>
  <c r="O46" i="6"/>
  <c r="Q46" i="6"/>
  <c r="M46" i="6"/>
  <c r="N46" i="6"/>
  <c r="P46" i="6"/>
  <c r="L45" i="6"/>
  <c r="K45" i="6"/>
  <c r="J45" i="6"/>
  <c r="I45" i="6"/>
  <c r="H45" i="6"/>
  <c r="G45" i="6"/>
  <c r="F45" i="6"/>
  <c r="E45" i="6"/>
  <c r="D45" i="6"/>
  <c r="O43" i="6"/>
  <c r="Q43" i="6"/>
  <c r="M43" i="6"/>
  <c r="N43" i="6"/>
  <c r="P43" i="6"/>
  <c r="L42" i="6"/>
  <c r="K42" i="6"/>
  <c r="J42" i="6"/>
  <c r="I42" i="6"/>
  <c r="H42" i="6"/>
  <c r="G42" i="6"/>
  <c r="F42" i="6"/>
  <c r="E42" i="6"/>
  <c r="D42" i="6"/>
  <c r="O40" i="6"/>
  <c r="Q40" i="6"/>
  <c r="M40" i="6"/>
  <c r="N40" i="6"/>
  <c r="P40" i="6"/>
  <c r="L39" i="6"/>
  <c r="K39" i="6"/>
  <c r="J39" i="6"/>
  <c r="I39" i="6"/>
  <c r="H39" i="6"/>
  <c r="G39" i="6"/>
  <c r="F39" i="6"/>
  <c r="E39" i="6"/>
  <c r="D39" i="6"/>
  <c r="O37" i="6"/>
  <c r="Q37" i="6"/>
  <c r="M37" i="6"/>
  <c r="N37" i="6"/>
  <c r="P37" i="6"/>
  <c r="L36" i="6"/>
  <c r="K36" i="6"/>
  <c r="J36" i="6"/>
  <c r="I36" i="6"/>
  <c r="H36" i="6"/>
  <c r="G36" i="6"/>
  <c r="F36" i="6"/>
  <c r="E36" i="6"/>
  <c r="D36" i="6"/>
  <c r="O34" i="6"/>
  <c r="Q34" i="6"/>
  <c r="M34" i="6"/>
  <c r="N34" i="6"/>
  <c r="P34" i="6"/>
  <c r="L33" i="6"/>
  <c r="K33" i="6"/>
  <c r="J33" i="6"/>
  <c r="I33" i="6"/>
  <c r="H33" i="6"/>
  <c r="G33" i="6"/>
  <c r="F33" i="6"/>
  <c r="E33" i="6"/>
  <c r="D33" i="6"/>
  <c r="O31" i="6"/>
  <c r="Q31" i="6"/>
  <c r="M31" i="6"/>
  <c r="N31" i="6"/>
  <c r="P31" i="6"/>
  <c r="L30" i="6"/>
  <c r="K30" i="6"/>
  <c r="J30" i="6"/>
  <c r="I30" i="6"/>
  <c r="H30" i="6"/>
  <c r="G30" i="6"/>
  <c r="F30" i="6"/>
  <c r="E30" i="6"/>
  <c r="D30" i="6"/>
  <c r="O28" i="6"/>
  <c r="Q28" i="6"/>
  <c r="M28" i="6"/>
  <c r="N28" i="6"/>
  <c r="P28" i="6"/>
  <c r="L27" i="6"/>
  <c r="K27" i="6"/>
  <c r="J27" i="6"/>
  <c r="I27" i="6"/>
  <c r="H27" i="6"/>
  <c r="G27" i="6"/>
  <c r="F27" i="6"/>
  <c r="E27" i="6"/>
  <c r="D27" i="6"/>
  <c r="O25" i="6"/>
  <c r="Q25" i="6"/>
  <c r="M25" i="6"/>
  <c r="N25" i="6"/>
  <c r="P25" i="6"/>
  <c r="L24" i="6"/>
  <c r="K24" i="6"/>
  <c r="J24" i="6"/>
  <c r="I24" i="6"/>
  <c r="H24" i="6"/>
  <c r="G24" i="6"/>
  <c r="F24" i="6"/>
  <c r="E24" i="6"/>
  <c r="D24" i="6"/>
  <c r="O22" i="6"/>
  <c r="Q22" i="6"/>
  <c r="M22" i="6"/>
  <c r="N22" i="6"/>
  <c r="P22" i="6"/>
  <c r="L21" i="6"/>
  <c r="K21" i="6"/>
  <c r="J21" i="6"/>
  <c r="I21" i="6"/>
  <c r="H21" i="6"/>
  <c r="G21" i="6"/>
  <c r="F21" i="6"/>
  <c r="E21" i="6"/>
  <c r="D21" i="6"/>
  <c r="O19" i="6"/>
  <c r="Q19" i="6"/>
  <c r="M19" i="6"/>
  <c r="N19" i="6"/>
  <c r="P19" i="6"/>
  <c r="L18" i="6"/>
  <c r="K18" i="6"/>
  <c r="J18" i="6"/>
  <c r="I18" i="6"/>
  <c r="H18" i="6"/>
  <c r="G18" i="6"/>
  <c r="F18" i="6"/>
  <c r="E18" i="6"/>
  <c r="D18" i="6"/>
  <c r="O16" i="6"/>
  <c r="Q16" i="6"/>
  <c r="M16" i="6"/>
  <c r="N16" i="6"/>
  <c r="P16" i="6"/>
  <c r="L15" i="6"/>
  <c r="K15" i="6"/>
  <c r="J15" i="6"/>
  <c r="I15" i="6"/>
  <c r="H15" i="6"/>
  <c r="G15" i="6"/>
  <c r="F15" i="6"/>
  <c r="E15" i="6"/>
  <c r="D15" i="6"/>
  <c r="O13" i="6"/>
  <c r="Q13" i="6"/>
  <c r="M13" i="6"/>
  <c r="N13" i="6"/>
  <c r="P13" i="6"/>
  <c r="L12" i="6"/>
  <c r="K12" i="6"/>
  <c r="J12" i="6"/>
  <c r="I12" i="6"/>
  <c r="H12" i="6"/>
  <c r="G12" i="6"/>
  <c r="F12" i="6"/>
  <c r="E12" i="6"/>
  <c r="D12" i="6"/>
  <c r="O10" i="6"/>
  <c r="Q10" i="6"/>
  <c r="M10" i="6"/>
  <c r="N10" i="6"/>
  <c r="P10" i="6"/>
  <c r="T1228" i="5"/>
  <c r="R1228" i="5"/>
  <c r="O1228" i="5"/>
  <c r="N1228" i="5"/>
  <c r="M1228" i="5"/>
  <c r="L1227" i="5"/>
  <c r="K1227" i="5"/>
  <c r="J1227" i="5"/>
  <c r="I1227" i="5"/>
  <c r="H1227" i="5"/>
  <c r="G1227" i="5"/>
  <c r="F1227" i="5"/>
  <c r="E1227" i="5"/>
  <c r="D1227" i="5"/>
  <c r="T1225" i="5"/>
  <c r="R1225" i="5"/>
  <c r="O1225" i="5"/>
  <c r="N1225" i="5"/>
  <c r="M1225" i="5"/>
  <c r="L1224" i="5"/>
  <c r="K1224" i="5"/>
  <c r="J1224" i="5"/>
  <c r="I1224" i="5"/>
  <c r="H1224" i="5"/>
  <c r="G1224" i="5"/>
  <c r="F1224" i="5"/>
  <c r="E1224" i="5"/>
  <c r="D1224" i="5"/>
  <c r="T1222" i="5"/>
  <c r="R1222" i="5"/>
  <c r="O1222" i="5"/>
  <c r="N1222" i="5"/>
  <c r="M1222" i="5"/>
  <c r="L1221" i="5"/>
  <c r="K1221" i="5"/>
  <c r="J1221" i="5"/>
  <c r="I1221" i="5"/>
  <c r="H1221" i="5"/>
  <c r="G1221" i="5"/>
  <c r="F1221" i="5"/>
  <c r="E1221" i="5"/>
  <c r="D1221" i="5"/>
  <c r="T1219" i="5"/>
  <c r="R1219" i="5"/>
  <c r="O1219" i="5"/>
  <c r="N1219" i="5"/>
  <c r="M1219" i="5"/>
  <c r="L1218" i="5"/>
  <c r="K1218" i="5"/>
  <c r="J1218" i="5"/>
  <c r="I1218" i="5"/>
  <c r="H1218" i="5"/>
  <c r="G1218" i="5"/>
  <c r="F1218" i="5"/>
  <c r="E1218" i="5"/>
  <c r="D1218" i="5"/>
  <c r="T1216" i="5"/>
  <c r="R1216" i="5"/>
  <c r="O1216" i="5"/>
  <c r="N1216" i="5"/>
  <c r="M1216" i="5"/>
  <c r="L1215" i="5"/>
  <c r="K1215" i="5"/>
  <c r="J1215" i="5"/>
  <c r="I1215" i="5"/>
  <c r="H1215" i="5"/>
  <c r="G1215" i="5"/>
  <c r="F1215" i="5"/>
  <c r="E1215" i="5"/>
  <c r="D1215" i="5"/>
  <c r="T1213" i="5"/>
  <c r="R1213" i="5"/>
  <c r="O1213" i="5"/>
  <c r="N1213" i="5"/>
  <c r="M1213" i="5"/>
  <c r="L1212" i="5"/>
  <c r="K1212" i="5"/>
  <c r="J1212" i="5"/>
  <c r="I1212" i="5"/>
  <c r="H1212" i="5"/>
  <c r="G1212" i="5"/>
  <c r="F1212" i="5"/>
  <c r="E1212" i="5"/>
  <c r="D1212" i="5"/>
  <c r="T1210" i="5"/>
  <c r="R1210" i="5"/>
  <c r="O1210" i="5"/>
  <c r="N1210" i="5"/>
  <c r="M1210" i="5"/>
  <c r="L1209" i="5"/>
  <c r="K1209" i="5"/>
  <c r="J1209" i="5"/>
  <c r="I1209" i="5"/>
  <c r="H1209" i="5"/>
  <c r="G1209" i="5"/>
  <c r="F1209" i="5"/>
  <c r="E1209" i="5"/>
  <c r="D1209" i="5"/>
  <c r="T1207" i="5"/>
  <c r="R1207" i="5"/>
  <c r="O1207" i="5"/>
  <c r="N1207" i="5"/>
  <c r="M1207" i="5"/>
  <c r="L1206" i="5"/>
  <c r="K1206" i="5"/>
  <c r="J1206" i="5"/>
  <c r="I1206" i="5"/>
  <c r="H1206" i="5"/>
  <c r="G1206" i="5"/>
  <c r="F1206" i="5"/>
  <c r="E1206" i="5"/>
  <c r="D1206" i="5"/>
  <c r="T1204" i="5"/>
  <c r="R1204" i="5"/>
  <c r="O1204" i="5"/>
  <c r="N1204" i="5"/>
  <c r="M1204" i="5"/>
  <c r="L1203" i="5"/>
  <c r="K1203" i="5"/>
  <c r="J1203" i="5"/>
  <c r="I1203" i="5"/>
  <c r="H1203" i="5"/>
  <c r="G1203" i="5"/>
  <c r="F1203" i="5"/>
  <c r="E1203" i="5"/>
  <c r="D1203" i="5"/>
  <c r="T1201" i="5"/>
  <c r="R1201" i="5"/>
  <c r="O1201" i="5"/>
  <c r="N1201" i="5"/>
  <c r="M1201" i="5"/>
  <c r="L1200" i="5"/>
  <c r="K1200" i="5"/>
  <c r="J1200" i="5"/>
  <c r="I1200" i="5"/>
  <c r="H1200" i="5"/>
  <c r="G1200" i="5"/>
  <c r="F1200" i="5"/>
  <c r="E1200" i="5"/>
  <c r="D1200" i="5"/>
  <c r="T1198" i="5"/>
  <c r="R1198" i="5"/>
  <c r="O1198" i="5"/>
  <c r="N1198" i="5"/>
  <c r="M1198" i="5"/>
  <c r="L1197" i="5"/>
  <c r="K1197" i="5"/>
  <c r="J1197" i="5"/>
  <c r="I1197" i="5"/>
  <c r="H1197" i="5"/>
  <c r="G1197" i="5"/>
  <c r="F1197" i="5"/>
  <c r="E1197" i="5"/>
  <c r="D1197" i="5"/>
  <c r="T1195" i="5"/>
  <c r="R1195" i="5"/>
  <c r="O1195" i="5"/>
  <c r="N1195" i="5"/>
  <c r="M1195" i="5"/>
  <c r="L1194" i="5"/>
  <c r="K1194" i="5"/>
  <c r="J1194" i="5"/>
  <c r="I1194" i="5"/>
  <c r="H1194" i="5"/>
  <c r="G1194" i="5"/>
  <c r="F1194" i="5"/>
  <c r="E1194" i="5"/>
  <c r="D1194" i="5"/>
  <c r="T1192" i="5"/>
  <c r="R1192" i="5"/>
  <c r="O1192" i="5"/>
  <c r="N1192" i="5"/>
  <c r="M1192" i="5"/>
  <c r="L1191" i="5"/>
  <c r="K1191" i="5"/>
  <c r="J1191" i="5"/>
  <c r="I1191" i="5"/>
  <c r="H1191" i="5"/>
  <c r="G1191" i="5"/>
  <c r="F1191" i="5"/>
  <c r="E1191" i="5"/>
  <c r="D1191" i="5"/>
  <c r="T1189" i="5"/>
  <c r="R1189" i="5"/>
  <c r="O1189" i="5"/>
  <c r="N1189" i="5"/>
  <c r="M1189" i="5"/>
  <c r="L1188" i="5"/>
  <c r="K1188" i="5"/>
  <c r="J1188" i="5"/>
  <c r="I1188" i="5"/>
  <c r="H1188" i="5"/>
  <c r="G1188" i="5"/>
  <c r="F1188" i="5"/>
  <c r="E1188" i="5"/>
  <c r="D1188" i="5"/>
  <c r="T1186" i="5"/>
  <c r="R1186" i="5"/>
  <c r="O1186" i="5"/>
  <c r="N1186" i="5"/>
  <c r="M1186" i="5"/>
  <c r="L1185" i="5"/>
  <c r="K1185" i="5"/>
  <c r="J1185" i="5"/>
  <c r="I1185" i="5"/>
  <c r="H1185" i="5"/>
  <c r="G1185" i="5"/>
  <c r="F1185" i="5"/>
  <c r="E1185" i="5"/>
  <c r="D1185" i="5"/>
  <c r="T1183" i="5"/>
  <c r="R1183" i="5"/>
  <c r="O1183" i="5"/>
  <c r="N1183" i="5"/>
  <c r="M1183" i="5"/>
  <c r="L1182" i="5"/>
  <c r="K1182" i="5"/>
  <c r="J1182" i="5"/>
  <c r="I1182" i="5"/>
  <c r="H1182" i="5"/>
  <c r="G1182" i="5"/>
  <c r="F1182" i="5"/>
  <c r="E1182" i="5"/>
  <c r="D1182" i="5"/>
  <c r="T1180" i="5"/>
  <c r="R1180" i="5"/>
  <c r="O1180" i="5"/>
  <c r="N1180" i="5"/>
  <c r="M1180" i="5"/>
  <c r="L1179" i="5"/>
  <c r="K1179" i="5"/>
  <c r="J1179" i="5"/>
  <c r="I1179" i="5"/>
  <c r="H1179" i="5"/>
  <c r="G1179" i="5"/>
  <c r="F1179" i="5"/>
  <c r="E1179" i="5"/>
  <c r="D1179" i="5"/>
  <c r="T1177" i="5"/>
  <c r="R1177" i="5"/>
  <c r="O1177" i="5"/>
  <c r="N1177" i="5"/>
  <c r="M1177" i="5"/>
  <c r="L1176" i="5"/>
  <c r="K1176" i="5"/>
  <c r="J1176" i="5"/>
  <c r="I1176" i="5"/>
  <c r="H1176" i="5"/>
  <c r="G1176" i="5"/>
  <c r="F1176" i="5"/>
  <c r="E1176" i="5"/>
  <c r="D1176" i="5"/>
  <c r="T1174" i="5"/>
  <c r="R1174" i="5"/>
  <c r="O1174" i="5"/>
  <c r="N1174" i="5"/>
  <c r="M1174" i="5"/>
  <c r="L1173" i="5"/>
  <c r="K1173" i="5"/>
  <c r="J1173" i="5"/>
  <c r="I1173" i="5"/>
  <c r="H1173" i="5"/>
  <c r="G1173" i="5"/>
  <c r="F1173" i="5"/>
  <c r="E1173" i="5"/>
  <c r="D1173" i="5"/>
  <c r="T1171" i="5"/>
  <c r="R1171" i="5"/>
  <c r="O1171" i="5"/>
  <c r="N1171" i="5"/>
  <c r="M1171" i="5"/>
  <c r="L1170" i="5"/>
  <c r="K1170" i="5"/>
  <c r="J1170" i="5"/>
  <c r="I1170" i="5"/>
  <c r="H1170" i="5"/>
  <c r="G1170" i="5"/>
  <c r="F1170" i="5"/>
  <c r="E1170" i="5"/>
  <c r="D1170" i="5"/>
  <c r="T1168" i="5"/>
  <c r="R1168" i="5"/>
  <c r="O1168" i="5"/>
  <c r="N1168" i="5"/>
  <c r="M1168" i="5"/>
  <c r="L1167" i="5"/>
  <c r="K1167" i="5"/>
  <c r="J1167" i="5"/>
  <c r="I1167" i="5"/>
  <c r="H1167" i="5"/>
  <c r="G1167" i="5"/>
  <c r="F1167" i="5"/>
  <c r="E1167" i="5"/>
  <c r="D1167" i="5"/>
  <c r="T1165" i="5"/>
  <c r="R1165" i="5"/>
  <c r="O1165" i="5"/>
  <c r="N1165" i="5"/>
  <c r="M1165" i="5"/>
  <c r="L1164" i="5"/>
  <c r="K1164" i="5"/>
  <c r="J1164" i="5"/>
  <c r="I1164" i="5"/>
  <c r="H1164" i="5"/>
  <c r="G1164" i="5"/>
  <c r="F1164" i="5"/>
  <c r="E1164" i="5"/>
  <c r="D1164" i="5"/>
  <c r="T1162" i="5"/>
  <c r="R1162" i="5"/>
  <c r="O1162" i="5"/>
  <c r="N1162" i="5"/>
  <c r="M1162" i="5"/>
  <c r="L1161" i="5"/>
  <c r="K1161" i="5"/>
  <c r="J1161" i="5"/>
  <c r="I1161" i="5"/>
  <c r="H1161" i="5"/>
  <c r="G1161" i="5"/>
  <c r="F1161" i="5"/>
  <c r="E1161" i="5"/>
  <c r="D1161" i="5"/>
  <c r="T1159" i="5"/>
  <c r="R1159" i="5"/>
  <c r="O1159" i="5"/>
  <c r="N1159" i="5"/>
  <c r="M1159" i="5"/>
  <c r="L1158" i="5"/>
  <c r="K1158" i="5"/>
  <c r="J1158" i="5"/>
  <c r="I1158" i="5"/>
  <c r="H1158" i="5"/>
  <c r="G1158" i="5"/>
  <c r="F1158" i="5"/>
  <c r="E1158" i="5"/>
  <c r="D1158" i="5"/>
  <c r="T1156" i="5"/>
  <c r="R1156" i="5"/>
  <c r="O1156" i="5"/>
  <c r="N1156" i="5"/>
  <c r="M1156" i="5"/>
  <c r="L1155" i="5"/>
  <c r="K1155" i="5"/>
  <c r="J1155" i="5"/>
  <c r="I1155" i="5"/>
  <c r="H1155" i="5"/>
  <c r="G1155" i="5"/>
  <c r="F1155" i="5"/>
  <c r="E1155" i="5"/>
  <c r="D1155" i="5"/>
  <c r="T1153" i="5"/>
  <c r="R1153" i="5"/>
  <c r="O1153" i="5"/>
  <c r="N1153" i="5"/>
  <c r="M1153" i="5"/>
  <c r="L1152" i="5"/>
  <c r="K1152" i="5"/>
  <c r="J1152" i="5"/>
  <c r="I1152" i="5"/>
  <c r="H1152" i="5"/>
  <c r="G1152" i="5"/>
  <c r="F1152" i="5"/>
  <c r="E1152" i="5"/>
  <c r="D1152" i="5"/>
  <c r="T1150" i="5"/>
  <c r="R1150" i="5"/>
  <c r="O1150" i="5"/>
  <c r="N1150" i="5"/>
  <c r="M1150" i="5"/>
  <c r="L1149" i="5"/>
  <c r="K1149" i="5"/>
  <c r="J1149" i="5"/>
  <c r="I1149" i="5"/>
  <c r="H1149" i="5"/>
  <c r="G1149" i="5"/>
  <c r="F1149" i="5"/>
  <c r="E1149" i="5"/>
  <c r="D1149" i="5"/>
  <c r="T1147" i="5"/>
  <c r="R1147" i="5"/>
  <c r="O1147" i="5"/>
  <c r="N1147" i="5"/>
  <c r="M1147" i="5"/>
  <c r="L1146" i="5"/>
  <c r="K1146" i="5"/>
  <c r="J1146" i="5"/>
  <c r="I1146" i="5"/>
  <c r="H1146" i="5"/>
  <c r="G1146" i="5"/>
  <c r="F1146" i="5"/>
  <c r="E1146" i="5"/>
  <c r="D1146" i="5"/>
  <c r="T1144" i="5"/>
  <c r="R1144" i="5"/>
  <c r="O1144" i="5"/>
  <c r="N1144" i="5"/>
  <c r="M1144" i="5"/>
  <c r="L1143" i="5"/>
  <c r="K1143" i="5"/>
  <c r="J1143" i="5"/>
  <c r="I1143" i="5"/>
  <c r="H1143" i="5"/>
  <c r="G1143" i="5"/>
  <c r="F1143" i="5"/>
  <c r="E1143" i="5"/>
  <c r="D1143" i="5"/>
  <c r="T1141" i="5"/>
  <c r="R1141" i="5"/>
  <c r="O1141" i="5"/>
  <c r="N1141" i="5"/>
  <c r="M1141" i="5"/>
  <c r="L1140" i="5"/>
  <c r="K1140" i="5"/>
  <c r="J1140" i="5"/>
  <c r="I1140" i="5"/>
  <c r="H1140" i="5"/>
  <c r="G1140" i="5"/>
  <c r="F1140" i="5"/>
  <c r="E1140" i="5"/>
  <c r="D1140" i="5"/>
  <c r="T1138" i="5"/>
  <c r="R1138" i="5"/>
  <c r="O1138" i="5"/>
  <c r="N1138" i="5"/>
  <c r="M1138" i="5"/>
  <c r="L1137" i="5"/>
  <c r="K1137" i="5"/>
  <c r="J1137" i="5"/>
  <c r="I1137" i="5"/>
  <c r="H1137" i="5"/>
  <c r="G1137" i="5"/>
  <c r="F1137" i="5"/>
  <c r="E1137" i="5"/>
  <c r="D1137" i="5"/>
  <c r="T1135" i="5"/>
  <c r="R1135" i="5"/>
  <c r="O1135" i="5"/>
  <c r="N1135" i="5"/>
  <c r="M1135" i="5"/>
  <c r="L1134" i="5"/>
  <c r="K1134" i="5"/>
  <c r="J1134" i="5"/>
  <c r="I1134" i="5"/>
  <c r="H1134" i="5"/>
  <c r="G1134" i="5"/>
  <c r="F1134" i="5"/>
  <c r="E1134" i="5"/>
  <c r="D1134" i="5"/>
  <c r="T1132" i="5"/>
  <c r="R1132" i="5"/>
  <c r="O1132" i="5"/>
  <c r="N1132" i="5"/>
  <c r="M1132" i="5"/>
  <c r="L1131" i="5"/>
  <c r="K1131" i="5"/>
  <c r="J1131" i="5"/>
  <c r="I1131" i="5"/>
  <c r="H1131" i="5"/>
  <c r="G1131" i="5"/>
  <c r="F1131" i="5"/>
  <c r="E1131" i="5"/>
  <c r="D1131" i="5"/>
  <c r="T1129" i="5"/>
  <c r="R1129" i="5"/>
  <c r="O1129" i="5"/>
  <c r="N1129" i="5"/>
  <c r="M1129" i="5"/>
  <c r="L1128" i="5"/>
  <c r="K1128" i="5"/>
  <c r="J1128" i="5"/>
  <c r="I1128" i="5"/>
  <c r="H1128" i="5"/>
  <c r="G1128" i="5"/>
  <c r="F1128" i="5"/>
  <c r="E1128" i="5"/>
  <c r="D1128" i="5"/>
  <c r="T1126" i="5"/>
  <c r="R1126" i="5"/>
  <c r="O1126" i="5"/>
  <c r="N1126" i="5"/>
  <c r="M1126" i="5"/>
  <c r="L1125" i="5"/>
  <c r="K1125" i="5"/>
  <c r="J1125" i="5"/>
  <c r="I1125" i="5"/>
  <c r="H1125" i="5"/>
  <c r="G1125" i="5"/>
  <c r="F1125" i="5"/>
  <c r="E1125" i="5"/>
  <c r="D1125" i="5"/>
  <c r="T1123" i="5"/>
  <c r="R1123" i="5"/>
  <c r="O1123" i="5"/>
  <c r="N1123" i="5"/>
  <c r="M1123" i="5"/>
  <c r="L1122" i="5"/>
  <c r="K1122" i="5"/>
  <c r="J1122" i="5"/>
  <c r="I1122" i="5"/>
  <c r="H1122" i="5"/>
  <c r="G1122" i="5"/>
  <c r="F1122" i="5"/>
  <c r="E1122" i="5"/>
  <c r="D1122" i="5"/>
  <c r="T1120" i="5"/>
  <c r="R1120" i="5"/>
  <c r="O1120" i="5"/>
  <c r="N1120" i="5"/>
  <c r="M1120" i="5"/>
  <c r="L1119" i="5"/>
  <c r="K1119" i="5"/>
  <c r="J1119" i="5"/>
  <c r="I1119" i="5"/>
  <c r="H1119" i="5"/>
  <c r="G1119" i="5"/>
  <c r="F1119" i="5"/>
  <c r="E1119" i="5"/>
  <c r="D1119" i="5"/>
  <c r="T1117" i="5"/>
  <c r="R1117" i="5"/>
  <c r="O1117" i="5"/>
  <c r="N1117" i="5"/>
  <c r="M1117" i="5"/>
  <c r="L1116" i="5"/>
  <c r="K1116" i="5"/>
  <c r="J1116" i="5"/>
  <c r="I1116" i="5"/>
  <c r="H1116" i="5"/>
  <c r="G1116" i="5"/>
  <c r="F1116" i="5"/>
  <c r="E1116" i="5"/>
  <c r="D1116" i="5"/>
  <c r="T1114" i="5"/>
  <c r="R1114" i="5"/>
  <c r="O1114" i="5"/>
  <c r="N1114" i="5"/>
  <c r="M1114" i="5"/>
  <c r="L1113" i="5"/>
  <c r="K1113" i="5"/>
  <c r="J1113" i="5"/>
  <c r="I1113" i="5"/>
  <c r="H1113" i="5"/>
  <c r="G1113" i="5"/>
  <c r="F1113" i="5"/>
  <c r="E1113" i="5"/>
  <c r="D1113" i="5"/>
  <c r="T1111" i="5"/>
  <c r="R1111" i="5"/>
  <c r="O1111" i="5"/>
  <c r="N1111" i="5"/>
  <c r="M1111" i="5"/>
  <c r="L1110" i="5"/>
  <c r="K1110" i="5"/>
  <c r="J1110" i="5"/>
  <c r="I1110" i="5"/>
  <c r="H1110" i="5"/>
  <c r="G1110" i="5"/>
  <c r="F1110" i="5"/>
  <c r="E1110" i="5"/>
  <c r="D1110" i="5"/>
  <c r="T1108" i="5"/>
  <c r="R1108" i="5"/>
  <c r="O1108" i="5"/>
  <c r="N1108" i="5"/>
  <c r="M1108" i="5"/>
  <c r="L1107" i="5"/>
  <c r="K1107" i="5"/>
  <c r="J1107" i="5"/>
  <c r="I1107" i="5"/>
  <c r="H1107" i="5"/>
  <c r="G1107" i="5"/>
  <c r="F1107" i="5"/>
  <c r="E1107" i="5"/>
  <c r="D1107" i="5"/>
  <c r="T1105" i="5"/>
  <c r="R1105" i="5"/>
  <c r="O1105" i="5"/>
  <c r="N1105" i="5"/>
  <c r="M1105" i="5"/>
  <c r="L1104" i="5"/>
  <c r="K1104" i="5"/>
  <c r="J1104" i="5"/>
  <c r="I1104" i="5"/>
  <c r="H1104" i="5"/>
  <c r="G1104" i="5"/>
  <c r="F1104" i="5"/>
  <c r="E1104" i="5"/>
  <c r="D1104" i="5"/>
  <c r="T1102" i="5"/>
  <c r="R1102" i="5"/>
  <c r="O1102" i="5"/>
  <c r="N1102" i="5"/>
  <c r="M1102" i="5"/>
  <c r="L1101" i="5"/>
  <c r="K1101" i="5"/>
  <c r="J1101" i="5"/>
  <c r="I1101" i="5"/>
  <c r="H1101" i="5"/>
  <c r="G1101" i="5"/>
  <c r="F1101" i="5"/>
  <c r="E1101" i="5"/>
  <c r="D1101" i="5"/>
  <c r="T1099" i="5"/>
  <c r="R1099" i="5"/>
  <c r="O1099" i="5"/>
  <c r="N1099" i="5"/>
  <c r="M1099" i="5"/>
  <c r="L1098" i="5"/>
  <c r="K1098" i="5"/>
  <c r="J1098" i="5"/>
  <c r="I1098" i="5"/>
  <c r="H1098" i="5"/>
  <c r="G1098" i="5"/>
  <c r="F1098" i="5"/>
  <c r="E1098" i="5"/>
  <c r="D1098" i="5"/>
  <c r="T1096" i="5"/>
  <c r="R1096" i="5"/>
  <c r="O1096" i="5"/>
  <c r="N1096" i="5"/>
  <c r="M1096" i="5"/>
  <c r="L1095" i="5"/>
  <c r="K1095" i="5"/>
  <c r="J1095" i="5"/>
  <c r="I1095" i="5"/>
  <c r="H1095" i="5"/>
  <c r="G1095" i="5"/>
  <c r="F1095" i="5"/>
  <c r="E1095" i="5"/>
  <c r="D1095" i="5"/>
  <c r="T1093" i="5"/>
  <c r="R1093" i="5"/>
  <c r="O1093" i="5"/>
  <c r="N1093" i="5"/>
  <c r="M1093" i="5"/>
  <c r="L1092" i="5"/>
  <c r="K1092" i="5"/>
  <c r="J1092" i="5"/>
  <c r="I1092" i="5"/>
  <c r="H1092" i="5"/>
  <c r="G1092" i="5"/>
  <c r="F1092" i="5"/>
  <c r="E1092" i="5"/>
  <c r="D1092" i="5"/>
  <c r="T1090" i="5"/>
  <c r="R1090" i="5"/>
  <c r="O1090" i="5"/>
  <c r="N1090" i="5"/>
  <c r="M1090" i="5"/>
  <c r="L1089" i="5"/>
  <c r="K1089" i="5"/>
  <c r="J1089" i="5"/>
  <c r="I1089" i="5"/>
  <c r="H1089" i="5"/>
  <c r="G1089" i="5"/>
  <c r="F1089" i="5"/>
  <c r="E1089" i="5"/>
  <c r="D1089" i="5"/>
  <c r="T1087" i="5"/>
  <c r="R1087" i="5"/>
  <c r="O1087" i="5"/>
  <c r="N1087" i="5"/>
  <c r="M1087" i="5"/>
  <c r="L1086" i="5"/>
  <c r="K1086" i="5"/>
  <c r="J1086" i="5"/>
  <c r="I1086" i="5"/>
  <c r="H1086" i="5"/>
  <c r="G1086" i="5"/>
  <c r="F1086" i="5"/>
  <c r="E1086" i="5"/>
  <c r="D1086" i="5"/>
  <c r="T1084" i="5"/>
  <c r="R1084" i="5"/>
  <c r="O1084" i="5"/>
  <c r="N1084" i="5"/>
  <c r="M1084" i="5"/>
  <c r="L1083" i="5"/>
  <c r="K1083" i="5"/>
  <c r="J1083" i="5"/>
  <c r="I1083" i="5"/>
  <c r="H1083" i="5"/>
  <c r="G1083" i="5"/>
  <c r="F1083" i="5"/>
  <c r="E1083" i="5"/>
  <c r="D1083" i="5"/>
  <c r="T1081" i="5"/>
  <c r="R1081" i="5"/>
  <c r="O1081" i="5"/>
  <c r="N1081" i="5"/>
  <c r="M1081" i="5"/>
  <c r="L1080" i="5"/>
  <c r="K1080" i="5"/>
  <c r="J1080" i="5"/>
  <c r="I1080" i="5"/>
  <c r="H1080" i="5"/>
  <c r="G1080" i="5"/>
  <c r="F1080" i="5"/>
  <c r="E1080" i="5"/>
  <c r="D1080" i="5"/>
  <c r="T1078" i="5"/>
  <c r="R1078" i="5"/>
  <c r="O1078" i="5"/>
  <c r="N1078" i="5"/>
  <c r="M1078" i="5"/>
  <c r="L1077" i="5"/>
  <c r="K1077" i="5"/>
  <c r="J1077" i="5"/>
  <c r="I1077" i="5"/>
  <c r="H1077" i="5"/>
  <c r="G1077" i="5"/>
  <c r="F1077" i="5"/>
  <c r="E1077" i="5"/>
  <c r="D1077" i="5"/>
  <c r="T1075" i="5"/>
  <c r="R1075" i="5"/>
  <c r="O1075" i="5"/>
  <c r="N1075" i="5"/>
  <c r="M1075" i="5"/>
  <c r="L1074" i="5"/>
  <c r="K1074" i="5"/>
  <c r="J1074" i="5"/>
  <c r="I1074" i="5"/>
  <c r="H1074" i="5"/>
  <c r="G1074" i="5"/>
  <c r="F1074" i="5"/>
  <c r="E1074" i="5"/>
  <c r="D1074" i="5"/>
  <c r="T1072" i="5"/>
  <c r="R1072" i="5"/>
  <c r="O1072" i="5"/>
  <c r="N1072" i="5"/>
  <c r="M1072" i="5"/>
  <c r="L1071" i="5"/>
  <c r="K1071" i="5"/>
  <c r="J1071" i="5"/>
  <c r="I1071" i="5"/>
  <c r="H1071" i="5"/>
  <c r="G1071" i="5"/>
  <c r="F1071" i="5"/>
  <c r="E1071" i="5"/>
  <c r="D1071" i="5"/>
  <c r="T1069" i="5"/>
  <c r="R1069" i="5"/>
  <c r="O1069" i="5"/>
  <c r="N1069" i="5"/>
  <c r="M1069" i="5"/>
  <c r="L1068" i="5"/>
  <c r="K1068" i="5"/>
  <c r="J1068" i="5"/>
  <c r="I1068" i="5"/>
  <c r="H1068" i="5"/>
  <c r="G1068" i="5"/>
  <c r="F1068" i="5"/>
  <c r="E1068" i="5"/>
  <c r="D1068" i="5"/>
  <c r="T1066" i="5"/>
  <c r="R1066" i="5"/>
  <c r="O1066" i="5"/>
  <c r="N1066" i="5"/>
  <c r="M1066" i="5"/>
  <c r="L1065" i="5"/>
  <c r="K1065" i="5"/>
  <c r="J1065" i="5"/>
  <c r="I1065" i="5"/>
  <c r="H1065" i="5"/>
  <c r="G1065" i="5"/>
  <c r="F1065" i="5"/>
  <c r="E1065" i="5"/>
  <c r="D1065" i="5"/>
  <c r="T1063" i="5"/>
  <c r="R1063" i="5"/>
  <c r="O1063" i="5"/>
  <c r="N1063" i="5"/>
  <c r="M1063" i="5"/>
  <c r="L1062" i="5"/>
  <c r="K1062" i="5"/>
  <c r="J1062" i="5"/>
  <c r="I1062" i="5"/>
  <c r="H1062" i="5"/>
  <c r="G1062" i="5"/>
  <c r="F1062" i="5"/>
  <c r="E1062" i="5"/>
  <c r="D1062" i="5"/>
  <c r="T1060" i="5"/>
  <c r="R1060" i="5"/>
  <c r="O1060" i="5"/>
  <c r="N1060" i="5"/>
  <c r="M1060" i="5"/>
  <c r="L1059" i="5"/>
  <c r="K1059" i="5"/>
  <c r="J1059" i="5"/>
  <c r="I1059" i="5"/>
  <c r="H1059" i="5"/>
  <c r="G1059" i="5"/>
  <c r="F1059" i="5"/>
  <c r="E1059" i="5"/>
  <c r="D1059" i="5"/>
  <c r="T1057" i="5"/>
  <c r="R1057" i="5"/>
  <c r="O1057" i="5"/>
  <c r="N1057" i="5"/>
  <c r="M1057" i="5"/>
  <c r="L1056" i="5"/>
  <c r="K1056" i="5"/>
  <c r="J1056" i="5"/>
  <c r="I1056" i="5"/>
  <c r="H1056" i="5"/>
  <c r="G1056" i="5"/>
  <c r="F1056" i="5"/>
  <c r="E1056" i="5"/>
  <c r="D1056" i="5"/>
  <c r="T1054" i="5"/>
  <c r="R1054" i="5"/>
  <c r="O1054" i="5"/>
  <c r="N1054" i="5"/>
  <c r="M1054" i="5"/>
  <c r="L1053" i="5"/>
  <c r="K1053" i="5"/>
  <c r="J1053" i="5"/>
  <c r="I1053" i="5"/>
  <c r="H1053" i="5"/>
  <c r="G1053" i="5"/>
  <c r="F1053" i="5"/>
  <c r="E1053" i="5"/>
  <c r="D1053" i="5"/>
  <c r="T1051" i="5"/>
  <c r="R1051" i="5"/>
  <c r="O1051" i="5"/>
  <c r="N1051" i="5"/>
  <c r="M1051" i="5"/>
  <c r="L1050" i="5"/>
  <c r="K1050" i="5"/>
  <c r="J1050" i="5"/>
  <c r="I1050" i="5"/>
  <c r="H1050" i="5"/>
  <c r="G1050" i="5"/>
  <c r="F1050" i="5"/>
  <c r="E1050" i="5"/>
  <c r="D1050" i="5"/>
  <c r="T1048" i="5"/>
  <c r="R1048" i="5"/>
  <c r="O1048" i="5"/>
  <c r="N1048" i="5"/>
  <c r="M1048" i="5"/>
  <c r="L1047" i="5"/>
  <c r="K1047" i="5"/>
  <c r="J1047" i="5"/>
  <c r="I1047" i="5"/>
  <c r="H1047" i="5"/>
  <c r="G1047" i="5"/>
  <c r="F1047" i="5"/>
  <c r="E1047" i="5"/>
  <c r="D1047" i="5"/>
  <c r="T1045" i="5"/>
  <c r="R1045" i="5"/>
  <c r="O1045" i="5"/>
  <c r="N1045" i="5"/>
  <c r="M1045" i="5"/>
  <c r="L1044" i="5"/>
  <c r="K1044" i="5"/>
  <c r="J1044" i="5"/>
  <c r="I1044" i="5"/>
  <c r="H1044" i="5"/>
  <c r="G1044" i="5"/>
  <c r="F1044" i="5"/>
  <c r="E1044" i="5"/>
  <c r="D1044" i="5"/>
  <c r="T1042" i="5"/>
  <c r="R1042" i="5"/>
  <c r="O1042" i="5"/>
  <c r="N1042" i="5"/>
  <c r="M1042" i="5"/>
  <c r="L1041" i="5"/>
  <c r="K1041" i="5"/>
  <c r="J1041" i="5"/>
  <c r="I1041" i="5"/>
  <c r="H1041" i="5"/>
  <c r="G1041" i="5"/>
  <c r="F1041" i="5"/>
  <c r="E1041" i="5"/>
  <c r="D1041" i="5"/>
  <c r="T1039" i="5"/>
  <c r="R1039" i="5"/>
  <c r="O1039" i="5"/>
  <c r="N1039" i="5"/>
  <c r="M1039" i="5"/>
  <c r="L1038" i="5"/>
  <c r="K1038" i="5"/>
  <c r="J1038" i="5"/>
  <c r="I1038" i="5"/>
  <c r="H1038" i="5"/>
  <c r="G1038" i="5"/>
  <c r="F1038" i="5"/>
  <c r="E1038" i="5"/>
  <c r="D1038" i="5"/>
  <c r="T1036" i="5"/>
  <c r="R1036" i="5"/>
  <c r="O1036" i="5"/>
  <c r="N1036" i="5"/>
  <c r="M1036" i="5"/>
  <c r="L1035" i="5"/>
  <c r="K1035" i="5"/>
  <c r="J1035" i="5"/>
  <c r="I1035" i="5"/>
  <c r="H1035" i="5"/>
  <c r="G1035" i="5"/>
  <c r="F1035" i="5"/>
  <c r="E1035" i="5"/>
  <c r="D1035" i="5"/>
  <c r="T1033" i="5"/>
  <c r="R1033" i="5"/>
  <c r="O1033" i="5"/>
  <c r="N1033" i="5"/>
  <c r="M1033" i="5"/>
  <c r="L1032" i="5"/>
  <c r="K1032" i="5"/>
  <c r="J1032" i="5"/>
  <c r="I1032" i="5"/>
  <c r="H1032" i="5"/>
  <c r="G1032" i="5"/>
  <c r="F1032" i="5"/>
  <c r="E1032" i="5"/>
  <c r="D1032" i="5"/>
  <c r="T1030" i="5"/>
  <c r="R1030" i="5"/>
  <c r="O1030" i="5"/>
  <c r="N1030" i="5"/>
  <c r="M1030" i="5"/>
  <c r="L1029" i="5"/>
  <c r="K1029" i="5"/>
  <c r="J1029" i="5"/>
  <c r="I1029" i="5"/>
  <c r="H1029" i="5"/>
  <c r="G1029" i="5"/>
  <c r="F1029" i="5"/>
  <c r="E1029" i="5"/>
  <c r="D1029" i="5"/>
  <c r="T1027" i="5"/>
  <c r="R1027" i="5"/>
  <c r="O1027" i="5"/>
  <c r="N1027" i="5"/>
  <c r="M1027" i="5"/>
  <c r="L1026" i="5"/>
  <c r="K1026" i="5"/>
  <c r="J1026" i="5"/>
  <c r="I1026" i="5"/>
  <c r="H1026" i="5"/>
  <c r="G1026" i="5"/>
  <c r="F1026" i="5"/>
  <c r="E1026" i="5"/>
  <c r="D1026" i="5"/>
  <c r="T1024" i="5"/>
  <c r="R1024" i="5"/>
  <c r="O1024" i="5"/>
  <c r="N1024" i="5"/>
  <c r="M1024" i="5"/>
  <c r="L1023" i="5"/>
  <c r="K1023" i="5"/>
  <c r="J1023" i="5"/>
  <c r="I1023" i="5"/>
  <c r="H1023" i="5"/>
  <c r="G1023" i="5"/>
  <c r="F1023" i="5"/>
  <c r="E1023" i="5"/>
  <c r="D1023" i="5"/>
  <c r="T1021" i="5"/>
  <c r="R1021" i="5"/>
  <c r="O1021" i="5"/>
  <c r="N1021" i="5"/>
  <c r="M1021" i="5"/>
  <c r="L1020" i="5"/>
  <c r="K1020" i="5"/>
  <c r="J1020" i="5"/>
  <c r="I1020" i="5"/>
  <c r="H1020" i="5"/>
  <c r="G1020" i="5"/>
  <c r="F1020" i="5"/>
  <c r="E1020" i="5"/>
  <c r="D1020" i="5"/>
  <c r="T1018" i="5"/>
  <c r="R1018" i="5"/>
  <c r="O1018" i="5"/>
  <c r="N1018" i="5"/>
  <c r="M1018" i="5"/>
  <c r="L1017" i="5"/>
  <c r="K1017" i="5"/>
  <c r="J1017" i="5"/>
  <c r="I1017" i="5"/>
  <c r="H1017" i="5"/>
  <c r="G1017" i="5"/>
  <c r="F1017" i="5"/>
  <c r="E1017" i="5"/>
  <c r="D1017" i="5"/>
  <c r="T1015" i="5"/>
  <c r="R1015" i="5"/>
  <c r="O1015" i="5"/>
  <c r="N1015" i="5"/>
  <c r="M1015" i="5"/>
  <c r="L1014" i="5"/>
  <c r="K1014" i="5"/>
  <c r="J1014" i="5"/>
  <c r="I1014" i="5"/>
  <c r="H1014" i="5"/>
  <c r="G1014" i="5"/>
  <c r="F1014" i="5"/>
  <c r="E1014" i="5"/>
  <c r="D1014" i="5"/>
  <c r="T1012" i="5"/>
  <c r="R1012" i="5"/>
  <c r="O1012" i="5"/>
  <c r="N1012" i="5"/>
  <c r="M1012" i="5"/>
  <c r="L1011" i="5"/>
  <c r="K1011" i="5"/>
  <c r="J1011" i="5"/>
  <c r="I1011" i="5"/>
  <c r="H1011" i="5"/>
  <c r="G1011" i="5"/>
  <c r="F1011" i="5"/>
  <c r="E1011" i="5"/>
  <c r="D1011" i="5"/>
  <c r="T1009" i="5"/>
  <c r="R1009" i="5"/>
  <c r="O1009" i="5"/>
  <c r="N1009" i="5"/>
  <c r="M1009" i="5"/>
  <c r="L1008" i="5"/>
  <c r="K1008" i="5"/>
  <c r="J1008" i="5"/>
  <c r="I1008" i="5"/>
  <c r="H1008" i="5"/>
  <c r="G1008" i="5"/>
  <c r="F1008" i="5"/>
  <c r="E1008" i="5"/>
  <c r="D1008" i="5"/>
  <c r="T1006" i="5"/>
  <c r="R1006" i="5"/>
  <c r="O1006" i="5"/>
  <c r="N1006" i="5"/>
  <c r="M1006" i="5"/>
  <c r="L1005" i="5"/>
  <c r="K1005" i="5"/>
  <c r="J1005" i="5"/>
  <c r="I1005" i="5"/>
  <c r="H1005" i="5"/>
  <c r="G1005" i="5"/>
  <c r="F1005" i="5"/>
  <c r="E1005" i="5"/>
  <c r="D1005" i="5"/>
  <c r="T1003" i="5"/>
  <c r="R1003" i="5"/>
  <c r="O1003" i="5"/>
  <c r="N1003" i="5"/>
  <c r="M1003" i="5"/>
  <c r="L1002" i="5"/>
  <c r="K1002" i="5"/>
  <c r="J1002" i="5"/>
  <c r="I1002" i="5"/>
  <c r="H1002" i="5"/>
  <c r="G1002" i="5"/>
  <c r="F1002" i="5"/>
  <c r="E1002" i="5"/>
  <c r="D1002" i="5"/>
  <c r="T1000" i="5"/>
  <c r="R1000" i="5"/>
  <c r="O1000" i="5"/>
  <c r="N1000" i="5"/>
  <c r="M1000" i="5"/>
  <c r="L999" i="5"/>
  <c r="K999" i="5"/>
  <c r="J999" i="5"/>
  <c r="I999" i="5"/>
  <c r="H999" i="5"/>
  <c r="G999" i="5"/>
  <c r="F999" i="5"/>
  <c r="E999" i="5"/>
  <c r="D999" i="5"/>
  <c r="T997" i="5"/>
  <c r="R997" i="5"/>
  <c r="O997" i="5"/>
  <c r="N997" i="5"/>
  <c r="M997" i="5"/>
  <c r="L996" i="5"/>
  <c r="K996" i="5"/>
  <c r="J996" i="5"/>
  <c r="I996" i="5"/>
  <c r="H996" i="5"/>
  <c r="G996" i="5"/>
  <c r="F996" i="5"/>
  <c r="E996" i="5"/>
  <c r="D996" i="5"/>
  <c r="T994" i="5"/>
  <c r="R994" i="5"/>
  <c r="O994" i="5"/>
  <c r="N994" i="5"/>
  <c r="M994" i="5"/>
  <c r="L993" i="5"/>
  <c r="K993" i="5"/>
  <c r="J993" i="5"/>
  <c r="I993" i="5"/>
  <c r="H993" i="5"/>
  <c r="G993" i="5"/>
  <c r="F993" i="5"/>
  <c r="E993" i="5"/>
  <c r="D993" i="5"/>
  <c r="T991" i="5"/>
  <c r="R991" i="5"/>
  <c r="O991" i="5"/>
  <c r="N991" i="5"/>
  <c r="M991" i="5"/>
  <c r="L990" i="5"/>
  <c r="K990" i="5"/>
  <c r="J990" i="5"/>
  <c r="I990" i="5"/>
  <c r="H990" i="5"/>
  <c r="G990" i="5"/>
  <c r="F990" i="5"/>
  <c r="E990" i="5"/>
  <c r="D990" i="5"/>
  <c r="T988" i="5"/>
  <c r="R988" i="5"/>
  <c r="O988" i="5"/>
  <c r="N988" i="5"/>
  <c r="M988" i="5"/>
  <c r="L987" i="5"/>
  <c r="K987" i="5"/>
  <c r="J987" i="5"/>
  <c r="I987" i="5"/>
  <c r="H987" i="5"/>
  <c r="G987" i="5"/>
  <c r="F987" i="5"/>
  <c r="E987" i="5"/>
  <c r="D987" i="5"/>
  <c r="T985" i="5"/>
  <c r="R985" i="5"/>
  <c r="O985" i="5"/>
  <c r="N985" i="5"/>
  <c r="M985" i="5"/>
  <c r="L984" i="5"/>
  <c r="K984" i="5"/>
  <c r="J984" i="5"/>
  <c r="I984" i="5"/>
  <c r="H984" i="5"/>
  <c r="G984" i="5"/>
  <c r="F984" i="5"/>
  <c r="E984" i="5"/>
  <c r="D984" i="5"/>
  <c r="T982" i="5"/>
  <c r="R982" i="5"/>
  <c r="O982" i="5"/>
  <c r="N982" i="5"/>
  <c r="M982" i="5"/>
  <c r="L981" i="5"/>
  <c r="K981" i="5"/>
  <c r="J981" i="5"/>
  <c r="I981" i="5"/>
  <c r="H981" i="5"/>
  <c r="G981" i="5"/>
  <c r="F981" i="5"/>
  <c r="E981" i="5"/>
  <c r="D981" i="5"/>
  <c r="T979" i="5"/>
  <c r="R979" i="5"/>
  <c r="O979" i="5"/>
  <c r="N979" i="5"/>
  <c r="M979" i="5"/>
  <c r="L978" i="5"/>
  <c r="K978" i="5"/>
  <c r="J978" i="5"/>
  <c r="I978" i="5"/>
  <c r="H978" i="5"/>
  <c r="G978" i="5"/>
  <c r="F978" i="5"/>
  <c r="E978" i="5"/>
  <c r="D978" i="5"/>
  <c r="T976" i="5"/>
  <c r="R976" i="5"/>
  <c r="O976" i="5"/>
  <c r="N976" i="5"/>
  <c r="M976" i="5"/>
  <c r="L975" i="5"/>
  <c r="K975" i="5"/>
  <c r="J975" i="5"/>
  <c r="I975" i="5"/>
  <c r="H975" i="5"/>
  <c r="G975" i="5"/>
  <c r="F975" i="5"/>
  <c r="E975" i="5"/>
  <c r="D975" i="5"/>
  <c r="T973" i="5"/>
  <c r="R973" i="5"/>
  <c r="O973" i="5"/>
  <c r="N973" i="5"/>
  <c r="M973" i="5"/>
  <c r="L972" i="5"/>
  <c r="K972" i="5"/>
  <c r="J972" i="5"/>
  <c r="I972" i="5"/>
  <c r="H972" i="5"/>
  <c r="G972" i="5"/>
  <c r="F972" i="5"/>
  <c r="E972" i="5"/>
  <c r="D972" i="5"/>
  <c r="T970" i="5"/>
  <c r="R970" i="5"/>
  <c r="O970" i="5"/>
  <c r="N970" i="5"/>
  <c r="M970" i="5"/>
  <c r="L969" i="5"/>
  <c r="K969" i="5"/>
  <c r="J969" i="5"/>
  <c r="I969" i="5"/>
  <c r="H969" i="5"/>
  <c r="G969" i="5"/>
  <c r="F969" i="5"/>
  <c r="E969" i="5"/>
  <c r="D969" i="5"/>
  <c r="T967" i="5"/>
  <c r="R967" i="5"/>
  <c r="O967" i="5"/>
  <c r="N967" i="5"/>
  <c r="M967" i="5"/>
  <c r="L966" i="5"/>
  <c r="K966" i="5"/>
  <c r="J966" i="5"/>
  <c r="I966" i="5"/>
  <c r="H966" i="5"/>
  <c r="G966" i="5"/>
  <c r="F966" i="5"/>
  <c r="E966" i="5"/>
  <c r="D966" i="5"/>
  <c r="T964" i="5"/>
  <c r="R964" i="5"/>
  <c r="O964" i="5"/>
  <c r="N964" i="5"/>
  <c r="M964" i="5"/>
  <c r="L963" i="5"/>
  <c r="K963" i="5"/>
  <c r="J963" i="5"/>
  <c r="I963" i="5"/>
  <c r="H963" i="5"/>
  <c r="G963" i="5"/>
  <c r="F963" i="5"/>
  <c r="E963" i="5"/>
  <c r="D963" i="5"/>
  <c r="T961" i="5"/>
  <c r="R961" i="5"/>
  <c r="O961" i="5"/>
  <c r="N961" i="5"/>
  <c r="M961" i="5"/>
  <c r="L960" i="5"/>
  <c r="K960" i="5"/>
  <c r="J960" i="5"/>
  <c r="I960" i="5"/>
  <c r="H960" i="5"/>
  <c r="G960" i="5"/>
  <c r="F960" i="5"/>
  <c r="E960" i="5"/>
  <c r="D960" i="5"/>
  <c r="T958" i="5"/>
  <c r="R958" i="5"/>
  <c r="O958" i="5"/>
  <c r="N958" i="5"/>
  <c r="M958" i="5"/>
  <c r="L957" i="5"/>
  <c r="K957" i="5"/>
  <c r="J957" i="5"/>
  <c r="I957" i="5"/>
  <c r="H957" i="5"/>
  <c r="G957" i="5"/>
  <c r="F957" i="5"/>
  <c r="E957" i="5"/>
  <c r="D957" i="5"/>
  <c r="T955" i="5"/>
  <c r="R955" i="5"/>
  <c r="O955" i="5"/>
  <c r="N955" i="5"/>
  <c r="M955" i="5"/>
  <c r="L954" i="5"/>
  <c r="K954" i="5"/>
  <c r="J954" i="5"/>
  <c r="I954" i="5"/>
  <c r="H954" i="5"/>
  <c r="G954" i="5"/>
  <c r="F954" i="5"/>
  <c r="E954" i="5"/>
  <c r="D954" i="5"/>
  <c r="T952" i="5"/>
  <c r="R952" i="5"/>
  <c r="O952" i="5"/>
  <c r="N952" i="5"/>
  <c r="M952" i="5"/>
  <c r="L951" i="5"/>
  <c r="K951" i="5"/>
  <c r="J951" i="5"/>
  <c r="I951" i="5"/>
  <c r="H951" i="5"/>
  <c r="G951" i="5"/>
  <c r="F951" i="5"/>
  <c r="E951" i="5"/>
  <c r="D951" i="5"/>
  <c r="T949" i="5"/>
  <c r="R949" i="5"/>
  <c r="O949" i="5"/>
  <c r="N949" i="5"/>
  <c r="M949" i="5"/>
  <c r="L948" i="5"/>
  <c r="K948" i="5"/>
  <c r="J948" i="5"/>
  <c r="I948" i="5"/>
  <c r="H948" i="5"/>
  <c r="G948" i="5"/>
  <c r="F948" i="5"/>
  <c r="E948" i="5"/>
  <c r="D948" i="5"/>
  <c r="T946" i="5"/>
  <c r="R946" i="5"/>
  <c r="O946" i="5"/>
  <c r="N946" i="5"/>
  <c r="M946" i="5"/>
  <c r="L945" i="5"/>
  <c r="K945" i="5"/>
  <c r="J945" i="5"/>
  <c r="I945" i="5"/>
  <c r="H945" i="5"/>
  <c r="G945" i="5"/>
  <c r="F945" i="5"/>
  <c r="E945" i="5"/>
  <c r="D945" i="5"/>
  <c r="T943" i="5"/>
  <c r="R943" i="5"/>
  <c r="O943" i="5"/>
  <c r="N943" i="5"/>
  <c r="M943" i="5"/>
  <c r="L942" i="5"/>
  <c r="K942" i="5"/>
  <c r="J942" i="5"/>
  <c r="I942" i="5"/>
  <c r="H942" i="5"/>
  <c r="G942" i="5"/>
  <c r="F942" i="5"/>
  <c r="E942" i="5"/>
  <c r="D942" i="5"/>
  <c r="T940" i="5"/>
  <c r="R940" i="5"/>
  <c r="O940" i="5"/>
  <c r="N940" i="5"/>
  <c r="M940" i="5"/>
  <c r="L939" i="5"/>
  <c r="K939" i="5"/>
  <c r="J939" i="5"/>
  <c r="I939" i="5"/>
  <c r="H939" i="5"/>
  <c r="G939" i="5"/>
  <c r="F939" i="5"/>
  <c r="E939" i="5"/>
  <c r="D939" i="5"/>
  <c r="T937" i="5"/>
  <c r="R937" i="5"/>
  <c r="O937" i="5"/>
  <c r="N937" i="5"/>
  <c r="M937" i="5"/>
  <c r="L936" i="5"/>
  <c r="K936" i="5"/>
  <c r="J936" i="5"/>
  <c r="I936" i="5"/>
  <c r="H936" i="5"/>
  <c r="G936" i="5"/>
  <c r="F936" i="5"/>
  <c r="E936" i="5"/>
  <c r="D936" i="5"/>
  <c r="T934" i="5"/>
  <c r="R934" i="5"/>
  <c r="O934" i="5"/>
  <c r="N934" i="5"/>
  <c r="M934" i="5"/>
  <c r="L933" i="5"/>
  <c r="K933" i="5"/>
  <c r="J933" i="5"/>
  <c r="I933" i="5"/>
  <c r="H933" i="5"/>
  <c r="G933" i="5"/>
  <c r="F933" i="5"/>
  <c r="E933" i="5"/>
  <c r="D933" i="5"/>
  <c r="T931" i="5"/>
  <c r="R931" i="5"/>
  <c r="O931" i="5"/>
  <c r="N931" i="5"/>
  <c r="M931" i="5"/>
  <c r="L930" i="5"/>
  <c r="K930" i="5"/>
  <c r="J930" i="5"/>
  <c r="I930" i="5"/>
  <c r="H930" i="5"/>
  <c r="G930" i="5"/>
  <c r="F930" i="5"/>
  <c r="E930" i="5"/>
  <c r="D930" i="5"/>
  <c r="T928" i="5"/>
  <c r="R928" i="5"/>
  <c r="O928" i="5"/>
  <c r="N928" i="5"/>
  <c r="M928" i="5"/>
  <c r="L927" i="5"/>
  <c r="K927" i="5"/>
  <c r="J927" i="5"/>
  <c r="I927" i="5"/>
  <c r="H927" i="5"/>
  <c r="G927" i="5"/>
  <c r="F927" i="5"/>
  <c r="E927" i="5"/>
  <c r="D927" i="5"/>
  <c r="T925" i="5"/>
  <c r="R925" i="5"/>
  <c r="O925" i="5"/>
  <c r="N925" i="5"/>
  <c r="M925" i="5"/>
  <c r="L924" i="5"/>
  <c r="K924" i="5"/>
  <c r="J924" i="5"/>
  <c r="I924" i="5"/>
  <c r="H924" i="5"/>
  <c r="G924" i="5"/>
  <c r="F924" i="5"/>
  <c r="E924" i="5"/>
  <c r="D924" i="5"/>
  <c r="T922" i="5"/>
  <c r="R922" i="5"/>
  <c r="O922" i="5"/>
  <c r="N922" i="5"/>
  <c r="M922" i="5"/>
  <c r="L921" i="5"/>
  <c r="K921" i="5"/>
  <c r="J921" i="5"/>
  <c r="I921" i="5"/>
  <c r="H921" i="5"/>
  <c r="G921" i="5"/>
  <c r="F921" i="5"/>
  <c r="E921" i="5"/>
  <c r="D921" i="5"/>
  <c r="T919" i="5"/>
  <c r="R919" i="5"/>
  <c r="O919" i="5"/>
  <c r="N919" i="5"/>
  <c r="M919" i="5"/>
  <c r="L918" i="5"/>
  <c r="K918" i="5"/>
  <c r="J918" i="5"/>
  <c r="I918" i="5"/>
  <c r="H918" i="5"/>
  <c r="G918" i="5"/>
  <c r="F918" i="5"/>
  <c r="E918" i="5"/>
  <c r="D918" i="5"/>
  <c r="T916" i="5"/>
  <c r="R916" i="5"/>
  <c r="O916" i="5"/>
  <c r="N916" i="5"/>
  <c r="M916" i="5"/>
  <c r="L915" i="5"/>
  <c r="K915" i="5"/>
  <c r="J915" i="5"/>
  <c r="I915" i="5"/>
  <c r="H915" i="5"/>
  <c r="G915" i="5"/>
  <c r="F915" i="5"/>
  <c r="E915" i="5"/>
  <c r="D915" i="5"/>
  <c r="T913" i="5"/>
  <c r="R913" i="5"/>
  <c r="O913" i="5"/>
  <c r="N913" i="5"/>
  <c r="M913" i="5"/>
  <c r="L912" i="5"/>
  <c r="K912" i="5"/>
  <c r="J912" i="5"/>
  <c r="I912" i="5"/>
  <c r="H912" i="5"/>
  <c r="G912" i="5"/>
  <c r="F912" i="5"/>
  <c r="E912" i="5"/>
  <c r="D912" i="5"/>
  <c r="T910" i="5"/>
  <c r="R910" i="5"/>
  <c r="O910" i="5"/>
  <c r="N910" i="5"/>
  <c r="M910" i="5"/>
  <c r="L909" i="5"/>
  <c r="K909" i="5"/>
  <c r="J909" i="5"/>
  <c r="I909" i="5"/>
  <c r="H909" i="5"/>
  <c r="G909" i="5"/>
  <c r="F909" i="5"/>
  <c r="E909" i="5"/>
  <c r="D909" i="5"/>
  <c r="T907" i="5"/>
  <c r="R907" i="5"/>
  <c r="O907" i="5"/>
  <c r="N907" i="5"/>
  <c r="M907" i="5"/>
  <c r="L906" i="5"/>
  <c r="K906" i="5"/>
  <c r="J906" i="5"/>
  <c r="I906" i="5"/>
  <c r="H906" i="5"/>
  <c r="G906" i="5"/>
  <c r="F906" i="5"/>
  <c r="E906" i="5"/>
  <c r="D906" i="5"/>
  <c r="T904" i="5"/>
  <c r="R904" i="5"/>
  <c r="O904" i="5"/>
  <c r="N904" i="5"/>
  <c r="M904" i="5"/>
  <c r="L903" i="5"/>
  <c r="K903" i="5"/>
  <c r="J903" i="5"/>
  <c r="I903" i="5"/>
  <c r="H903" i="5"/>
  <c r="G903" i="5"/>
  <c r="F903" i="5"/>
  <c r="E903" i="5"/>
  <c r="D903" i="5"/>
  <c r="T901" i="5"/>
  <c r="R901" i="5"/>
  <c r="O901" i="5"/>
  <c r="N901" i="5"/>
  <c r="M901" i="5"/>
  <c r="L900" i="5"/>
  <c r="K900" i="5"/>
  <c r="J900" i="5"/>
  <c r="I900" i="5"/>
  <c r="H900" i="5"/>
  <c r="G900" i="5"/>
  <c r="F900" i="5"/>
  <c r="E900" i="5"/>
  <c r="D900" i="5"/>
  <c r="T898" i="5"/>
  <c r="R898" i="5"/>
  <c r="O898" i="5"/>
  <c r="N898" i="5"/>
  <c r="M898" i="5"/>
  <c r="L897" i="5"/>
  <c r="K897" i="5"/>
  <c r="J897" i="5"/>
  <c r="I897" i="5"/>
  <c r="H897" i="5"/>
  <c r="G897" i="5"/>
  <c r="F897" i="5"/>
  <c r="E897" i="5"/>
  <c r="D897" i="5"/>
  <c r="T895" i="5"/>
  <c r="R895" i="5"/>
  <c r="O895" i="5"/>
  <c r="N895" i="5"/>
  <c r="M895" i="5"/>
  <c r="L894" i="5"/>
  <c r="K894" i="5"/>
  <c r="J894" i="5"/>
  <c r="I894" i="5"/>
  <c r="H894" i="5"/>
  <c r="G894" i="5"/>
  <c r="F894" i="5"/>
  <c r="E894" i="5"/>
  <c r="D894" i="5"/>
  <c r="T892" i="5"/>
  <c r="R892" i="5"/>
  <c r="O892" i="5"/>
  <c r="N892" i="5"/>
  <c r="M892" i="5"/>
  <c r="L891" i="5"/>
  <c r="K891" i="5"/>
  <c r="J891" i="5"/>
  <c r="I891" i="5"/>
  <c r="H891" i="5"/>
  <c r="G891" i="5"/>
  <c r="F891" i="5"/>
  <c r="E891" i="5"/>
  <c r="D891" i="5"/>
  <c r="T889" i="5"/>
  <c r="R889" i="5"/>
  <c r="O889" i="5"/>
  <c r="N889" i="5"/>
  <c r="M889" i="5"/>
  <c r="L888" i="5"/>
  <c r="K888" i="5"/>
  <c r="J888" i="5"/>
  <c r="I888" i="5"/>
  <c r="H888" i="5"/>
  <c r="G888" i="5"/>
  <c r="F888" i="5"/>
  <c r="E888" i="5"/>
  <c r="D888" i="5"/>
  <c r="T886" i="5"/>
  <c r="R886" i="5"/>
  <c r="O886" i="5"/>
  <c r="N886" i="5"/>
  <c r="M886" i="5"/>
  <c r="L885" i="5"/>
  <c r="K885" i="5"/>
  <c r="J885" i="5"/>
  <c r="I885" i="5"/>
  <c r="H885" i="5"/>
  <c r="G885" i="5"/>
  <c r="F885" i="5"/>
  <c r="E885" i="5"/>
  <c r="D885" i="5"/>
  <c r="T883" i="5"/>
  <c r="R883" i="5"/>
  <c r="O883" i="5"/>
  <c r="N883" i="5"/>
  <c r="M883" i="5"/>
  <c r="L882" i="5"/>
  <c r="K882" i="5"/>
  <c r="J882" i="5"/>
  <c r="I882" i="5"/>
  <c r="H882" i="5"/>
  <c r="G882" i="5"/>
  <c r="F882" i="5"/>
  <c r="E882" i="5"/>
  <c r="D882" i="5"/>
  <c r="T880" i="5"/>
  <c r="R880" i="5"/>
  <c r="O880" i="5"/>
  <c r="N880" i="5"/>
  <c r="M880" i="5"/>
  <c r="L879" i="5"/>
  <c r="K879" i="5"/>
  <c r="J879" i="5"/>
  <c r="I879" i="5"/>
  <c r="H879" i="5"/>
  <c r="G879" i="5"/>
  <c r="F879" i="5"/>
  <c r="E879" i="5"/>
  <c r="D879" i="5"/>
  <c r="T877" i="5"/>
  <c r="R877" i="5"/>
  <c r="O877" i="5"/>
  <c r="N877" i="5"/>
  <c r="M877" i="5"/>
  <c r="L876" i="5"/>
  <c r="K876" i="5"/>
  <c r="J876" i="5"/>
  <c r="I876" i="5"/>
  <c r="H876" i="5"/>
  <c r="G876" i="5"/>
  <c r="F876" i="5"/>
  <c r="E876" i="5"/>
  <c r="D876" i="5"/>
  <c r="T874" i="5"/>
  <c r="R874" i="5"/>
  <c r="O874" i="5"/>
  <c r="N874" i="5"/>
  <c r="M874" i="5"/>
  <c r="L873" i="5"/>
  <c r="K873" i="5"/>
  <c r="J873" i="5"/>
  <c r="I873" i="5"/>
  <c r="H873" i="5"/>
  <c r="G873" i="5"/>
  <c r="F873" i="5"/>
  <c r="E873" i="5"/>
  <c r="D873" i="5"/>
  <c r="T871" i="5"/>
  <c r="R871" i="5"/>
  <c r="O871" i="5"/>
  <c r="N871" i="5"/>
  <c r="M871" i="5"/>
  <c r="L870" i="5"/>
  <c r="K870" i="5"/>
  <c r="J870" i="5"/>
  <c r="I870" i="5"/>
  <c r="H870" i="5"/>
  <c r="G870" i="5"/>
  <c r="F870" i="5"/>
  <c r="E870" i="5"/>
  <c r="D870" i="5"/>
  <c r="T868" i="5"/>
  <c r="R868" i="5"/>
  <c r="O868" i="5"/>
  <c r="N868" i="5"/>
  <c r="M868" i="5"/>
  <c r="L867" i="5"/>
  <c r="K867" i="5"/>
  <c r="J867" i="5"/>
  <c r="I867" i="5"/>
  <c r="H867" i="5"/>
  <c r="G867" i="5"/>
  <c r="F867" i="5"/>
  <c r="E867" i="5"/>
  <c r="D867" i="5"/>
  <c r="T865" i="5"/>
  <c r="R865" i="5"/>
  <c r="O865" i="5"/>
  <c r="N865" i="5"/>
  <c r="M865" i="5"/>
  <c r="L864" i="5"/>
  <c r="K864" i="5"/>
  <c r="J864" i="5"/>
  <c r="I864" i="5"/>
  <c r="H864" i="5"/>
  <c r="G864" i="5"/>
  <c r="F864" i="5"/>
  <c r="E864" i="5"/>
  <c r="D864" i="5"/>
  <c r="T862" i="5"/>
  <c r="R862" i="5"/>
  <c r="O862" i="5"/>
  <c r="N862" i="5"/>
  <c r="M862" i="5"/>
  <c r="L861" i="5"/>
  <c r="K861" i="5"/>
  <c r="J861" i="5"/>
  <c r="I861" i="5"/>
  <c r="H861" i="5"/>
  <c r="G861" i="5"/>
  <c r="F861" i="5"/>
  <c r="E861" i="5"/>
  <c r="D861" i="5"/>
  <c r="T859" i="5"/>
  <c r="R859" i="5"/>
  <c r="O859" i="5"/>
  <c r="N859" i="5"/>
  <c r="M859" i="5"/>
  <c r="L858" i="5"/>
  <c r="K858" i="5"/>
  <c r="J858" i="5"/>
  <c r="I858" i="5"/>
  <c r="H858" i="5"/>
  <c r="G858" i="5"/>
  <c r="F858" i="5"/>
  <c r="E858" i="5"/>
  <c r="D858" i="5"/>
  <c r="T856" i="5"/>
  <c r="R856" i="5"/>
  <c r="O856" i="5"/>
  <c r="N856" i="5"/>
  <c r="M856" i="5"/>
  <c r="L855" i="5"/>
  <c r="K855" i="5"/>
  <c r="J855" i="5"/>
  <c r="I855" i="5"/>
  <c r="H855" i="5"/>
  <c r="G855" i="5"/>
  <c r="F855" i="5"/>
  <c r="E855" i="5"/>
  <c r="D855" i="5"/>
  <c r="T853" i="5"/>
  <c r="R853" i="5"/>
  <c r="O853" i="5"/>
  <c r="N853" i="5"/>
  <c r="M853" i="5"/>
  <c r="L852" i="5"/>
  <c r="K852" i="5"/>
  <c r="J852" i="5"/>
  <c r="I852" i="5"/>
  <c r="H852" i="5"/>
  <c r="G852" i="5"/>
  <c r="F852" i="5"/>
  <c r="E852" i="5"/>
  <c r="D852" i="5"/>
  <c r="T850" i="5"/>
  <c r="R850" i="5"/>
  <c r="O850" i="5"/>
  <c r="N850" i="5"/>
  <c r="M850" i="5"/>
  <c r="L849" i="5"/>
  <c r="K849" i="5"/>
  <c r="J849" i="5"/>
  <c r="I849" i="5"/>
  <c r="H849" i="5"/>
  <c r="G849" i="5"/>
  <c r="F849" i="5"/>
  <c r="E849" i="5"/>
  <c r="D849" i="5"/>
  <c r="T847" i="5"/>
  <c r="R847" i="5"/>
  <c r="O847" i="5"/>
  <c r="N847" i="5"/>
  <c r="M847" i="5"/>
  <c r="L846" i="5"/>
  <c r="K846" i="5"/>
  <c r="J846" i="5"/>
  <c r="I846" i="5"/>
  <c r="H846" i="5"/>
  <c r="G846" i="5"/>
  <c r="F846" i="5"/>
  <c r="E846" i="5"/>
  <c r="D846" i="5"/>
  <c r="T844" i="5"/>
  <c r="R844" i="5"/>
  <c r="O844" i="5"/>
  <c r="N844" i="5"/>
  <c r="M844" i="5"/>
  <c r="L843" i="5"/>
  <c r="K843" i="5"/>
  <c r="J843" i="5"/>
  <c r="I843" i="5"/>
  <c r="H843" i="5"/>
  <c r="G843" i="5"/>
  <c r="F843" i="5"/>
  <c r="E843" i="5"/>
  <c r="D843" i="5"/>
  <c r="T841" i="5"/>
  <c r="R841" i="5"/>
  <c r="O841" i="5"/>
  <c r="N841" i="5"/>
  <c r="M841" i="5"/>
  <c r="L840" i="5"/>
  <c r="K840" i="5"/>
  <c r="J840" i="5"/>
  <c r="I840" i="5"/>
  <c r="H840" i="5"/>
  <c r="G840" i="5"/>
  <c r="F840" i="5"/>
  <c r="E840" i="5"/>
  <c r="D840" i="5"/>
  <c r="T838" i="5"/>
  <c r="R838" i="5"/>
  <c r="O838" i="5"/>
  <c r="N838" i="5"/>
  <c r="M838" i="5"/>
  <c r="L837" i="5"/>
  <c r="K837" i="5"/>
  <c r="J837" i="5"/>
  <c r="I837" i="5"/>
  <c r="H837" i="5"/>
  <c r="G837" i="5"/>
  <c r="F837" i="5"/>
  <c r="E837" i="5"/>
  <c r="D837" i="5"/>
  <c r="T835" i="5"/>
  <c r="R835" i="5"/>
  <c r="O835" i="5"/>
  <c r="N835" i="5"/>
  <c r="M835" i="5"/>
  <c r="L834" i="5"/>
  <c r="K834" i="5"/>
  <c r="J834" i="5"/>
  <c r="I834" i="5"/>
  <c r="H834" i="5"/>
  <c r="G834" i="5"/>
  <c r="F834" i="5"/>
  <c r="E834" i="5"/>
  <c r="D834" i="5"/>
  <c r="T832" i="5"/>
  <c r="R832" i="5"/>
  <c r="O832" i="5"/>
  <c r="N832" i="5"/>
  <c r="M832" i="5"/>
  <c r="L831" i="5"/>
  <c r="K831" i="5"/>
  <c r="J831" i="5"/>
  <c r="I831" i="5"/>
  <c r="H831" i="5"/>
  <c r="G831" i="5"/>
  <c r="F831" i="5"/>
  <c r="E831" i="5"/>
  <c r="D831" i="5"/>
  <c r="T829" i="5"/>
  <c r="R829" i="5"/>
  <c r="O829" i="5"/>
  <c r="N829" i="5"/>
  <c r="M829" i="5"/>
  <c r="L828" i="5"/>
  <c r="K828" i="5"/>
  <c r="J828" i="5"/>
  <c r="I828" i="5"/>
  <c r="H828" i="5"/>
  <c r="G828" i="5"/>
  <c r="F828" i="5"/>
  <c r="E828" i="5"/>
  <c r="D828" i="5"/>
  <c r="T826" i="5"/>
  <c r="R826" i="5"/>
  <c r="O826" i="5"/>
  <c r="N826" i="5"/>
  <c r="M826" i="5"/>
  <c r="L825" i="5"/>
  <c r="K825" i="5"/>
  <c r="J825" i="5"/>
  <c r="I825" i="5"/>
  <c r="H825" i="5"/>
  <c r="G825" i="5"/>
  <c r="F825" i="5"/>
  <c r="E825" i="5"/>
  <c r="D825" i="5"/>
  <c r="T823" i="5"/>
  <c r="R823" i="5"/>
  <c r="O823" i="5"/>
  <c r="N823" i="5"/>
  <c r="M823" i="5"/>
  <c r="L822" i="5"/>
  <c r="K822" i="5"/>
  <c r="J822" i="5"/>
  <c r="I822" i="5"/>
  <c r="H822" i="5"/>
  <c r="G822" i="5"/>
  <c r="F822" i="5"/>
  <c r="E822" i="5"/>
  <c r="D822" i="5"/>
  <c r="T820" i="5"/>
  <c r="R820" i="5"/>
  <c r="O820" i="5"/>
  <c r="N820" i="5"/>
  <c r="M820" i="5"/>
  <c r="L819" i="5"/>
  <c r="K819" i="5"/>
  <c r="J819" i="5"/>
  <c r="I819" i="5"/>
  <c r="H819" i="5"/>
  <c r="G819" i="5"/>
  <c r="F819" i="5"/>
  <c r="E819" i="5"/>
  <c r="D819" i="5"/>
  <c r="T817" i="5"/>
  <c r="R817" i="5"/>
  <c r="O817" i="5"/>
  <c r="N817" i="5"/>
  <c r="M817" i="5"/>
  <c r="L816" i="5"/>
  <c r="K816" i="5"/>
  <c r="J816" i="5"/>
  <c r="I816" i="5"/>
  <c r="H816" i="5"/>
  <c r="G816" i="5"/>
  <c r="F816" i="5"/>
  <c r="E816" i="5"/>
  <c r="D816" i="5"/>
  <c r="T814" i="5"/>
  <c r="R814" i="5"/>
  <c r="O814" i="5"/>
  <c r="N814" i="5"/>
  <c r="M814" i="5"/>
  <c r="L813" i="5"/>
  <c r="K813" i="5"/>
  <c r="J813" i="5"/>
  <c r="I813" i="5"/>
  <c r="H813" i="5"/>
  <c r="G813" i="5"/>
  <c r="F813" i="5"/>
  <c r="E813" i="5"/>
  <c r="D813" i="5"/>
  <c r="T811" i="5"/>
  <c r="R811" i="5"/>
  <c r="O811" i="5"/>
  <c r="N811" i="5"/>
  <c r="M811" i="5"/>
  <c r="L810" i="5"/>
  <c r="K810" i="5"/>
  <c r="J810" i="5"/>
  <c r="I810" i="5"/>
  <c r="H810" i="5"/>
  <c r="G810" i="5"/>
  <c r="F810" i="5"/>
  <c r="E810" i="5"/>
  <c r="D810" i="5"/>
  <c r="T808" i="5"/>
  <c r="R808" i="5"/>
  <c r="O808" i="5"/>
  <c r="N808" i="5"/>
  <c r="M808" i="5"/>
  <c r="L807" i="5"/>
  <c r="K807" i="5"/>
  <c r="J807" i="5"/>
  <c r="I807" i="5"/>
  <c r="H807" i="5"/>
  <c r="G807" i="5"/>
  <c r="F807" i="5"/>
  <c r="E807" i="5"/>
  <c r="D807" i="5"/>
  <c r="T805" i="5"/>
  <c r="R805" i="5"/>
  <c r="O805" i="5"/>
  <c r="N805" i="5"/>
  <c r="M805" i="5"/>
  <c r="L804" i="5"/>
  <c r="K804" i="5"/>
  <c r="J804" i="5"/>
  <c r="I804" i="5"/>
  <c r="H804" i="5"/>
  <c r="G804" i="5"/>
  <c r="F804" i="5"/>
  <c r="E804" i="5"/>
  <c r="D804" i="5"/>
  <c r="T802" i="5"/>
  <c r="R802" i="5"/>
  <c r="O802" i="5"/>
  <c r="N802" i="5"/>
  <c r="M802" i="5"/>
  <c r="L801" i="5"/>
  <c r="K801" i="5"/>
  <c r="J801" i="5"/>
  <c r="I801" i="5"/>
  <c r="H801" i="5"/>
  <c r="G801" i="5"/>
  <c r="F801" i="5"/>
  <c r="E801" i="5"/>
  <c r="D801" i="5"/>
  <c r="T799" i="5"/>
  <c r="R799" i="5"/>
  <c r="O799" i="5"/>
  <c r="N799" i="5"/>
  <c r="M799" i="5"/>
  <c r="L798" i="5"/>
  <c r="K798" i="5"/>
  <c r="J798" i="5"/>
  <c r="I798" i="5"/>
  <c r="H798" i="5"/>
  <c r="G798" i="5"/>
  <c r="F798" i="5"/>
  <c r="E798" i="5"/>
  <c r="D798" i="5"/>
  <c r="T796" i="5"/>
  <c r="R796" i="5"/>
  <c r="O796" i="5"/>
  <c r="N796" i="5"/>
  <c r="M796" i="5"/>
  <c r="L795" i="5"/>
  <c r="K795" i="5"/>
  <c r="J795" i="5"/>
  <c r="I795" i="5"/>
  <c r="H795" i="5"/>
  <c r="G795" i="5"/>
  <c r="F795" i="5"/>
  <c r="E795" i="5"/>
  <c r="D795" i="5"/>
  <c r="T793" i="5"/>
  <c r="R793" i="5"/>
  <c r="O793" i="5"/>
  <c r="N793" i="5"/>
  <c r="M793" i="5"/>
  <c r="L792" i="5"/>
  <c r="K792" i="5"/>
  <c r="J792" i="5"/>
  <c r="I792" i="5"/>
  <c r="H792" i="5"/>
  <c r="G792" i="5"/>
  <c r="F792" i="5"/>
  <c r="E792" i="5"/>
  <c r="D792" i="5"/>
  <c r="T790" i="5"/>
  <c r="R790" i="5"/>
  <c r="O790" i="5"/>
  <c r="N790" i="5"/>
  <c r="M790" i="5"/>
  <c r="L789" i="5"/>
  <c r="K789" i="5"/>
  <c r="J789" i="5"/>
  <c r="I789" i="5"/>
  <c r="H789" i="5"/>
  <c r="G789" i="5"/>
  <c r="F789" i="5"/>
  <c r="E789" i="5"/>
  <c r="D789" i="5"/>
  <c r="T787" i="5"/>
  <c r="R787" i="5"/>
  <c r="O787" i="5"/>
  <c r="N787" i="5"/>
  <c r="M787" i="5"/>
  <c r="L786" i="5"/>
  <c r="K786" i="5"/>
  <c r="J786" i="5"/>
  <c r="I786" i="5"/>
  <c r="H786" i="5"/>
  <c r="G786" i="5"/>
  <c r="F786" i="5"/>
  <c r="E786" i="5"/>
  <c r="D786" i="5"/>
  <c r="T784" i="5"/>
  <c r="R784" i="5"/>
  <c r="O784" i="5"/>
  <c r="N784" i="5"/>
  <c r="M784" i="5"/>
  <c r="L783" i="5"/>
  <c r="K783" i="5"/>
  <c r="J783" i="5"/>
  <c r="I783" i="5"/>
  <c r="H783" i="5"/>
  <c r="G783" i="5"/>
  <c r="F783" i="5"/>
  <c r="E783" i="5"/>
  <c r="D783" i="5"/>
  <c r="T781" i="5"/>
  <c r="R781" i="5"/>
  <c r="O781" i="5"/>
  <c r="N781" i="5"/>
  <c r="M781" i="5"/>
  <c r="L780" i="5"/>
  <c r="K780" i="5"/>
  <c r="J780" i="5"/>
  <c r="I780" i="5"/>
  <c r="H780" i="5"/>
  <c r="G780" i="5"/>
  <c r="F780" i="5"/>
  <c r="E780" i="5"/>
  <c r="D780" i="5"/>
  <c r="T778" i="5"/>
  <c r="R778" i="5"/>
  <c r="O778" i="5"/>
  <c r="N778" i="5"/>
  <c r="M778" i="5"/>
  <c r="L777" i="5"/>
  <c r="K777" i="5"/>
  <c r="J777" i="5"/>
  <c r="I777" i="5"/>
  <c r="H777" i="5"/>
  <c r="G777" i="5"/>
  <c r="F777" i="5"/>
  <c r="E777" i="5"/>
  <c r="D777" i="5"/>
  <c r="T775" i="5"/>
  <c r="R775" i="5"/>
  <c r="O775" i="5"/>
  <c r="N775" i="5"/>
  <c r="M775" i="5"/>
  <c r="L774" i="5"/>
  <c r="K774" i="5"/>
  <c r="J774" i="5"/>
  <c r="I774" i="5"/>
  <c r="H774" i="5"/>
  <c r="G774" i="5"/>
  <c r="F774" i="5"/>
  <c r="E774" i="5"/>
  <c r="D774" i="5"/>
  <c r="T772" i="5"/>
  <c r="R772" i="5"/>
  <c r="O772" i="5"/>
  <c r="N772" i="5"/>
  <c r="M772" i="5"/>
  <c r="L771" i="5"/>
  <c r="K771" i="5"/>
  <c r="J771" i="5"/>
  <c r="I771" i="5"/>
  <c r="H771" i="5"/>
  <c r="G771" i="5"/>
  <c r="F771" i="5"/>
  <c r="E771" i="5"/>
  <c r="D771" i="5"/>
  <c r="T769" i="5"/>
  <c r="R769" i="5"/>
  <c r="O769" i="5"/>
  <c r="N769" i="5"/>
  <c r="M769" i="5"/>
  <c r="L768" i="5"/>
  <c r="K768" i="5"/>
  <c r="J768" i="5"/>
  <c r="I768" i="5"/>
  <c r="H768" i="5"/>
  <c r="G768" i="5"/>
  <c r="F768" i="5"/>
  <c r="E768" i="5"/>
  <c r="D768" i="5"/>
  <c r="T766" i="5"/>
  <c r="R766" i="5"/>
  <c r="O766" i="5"/>
  <c r="N766" i="5"/>
  <c r="M766" i="5"/>
  <c r="L765" i="5"/>
  <c r="K765" i="5"/>
  <c r="J765" i="5"/>
  <c r="I765" i="5"/>
  <c r="H765" i="5"/>
  <c r="G765" i="5"/>
  <c r="F765" i="5"/>
  <c r="E765" i="5"/>
  <c r="D765" i="5"/>
  <c r="T763" i="5"/>
  <c r="R763" i="5"/>
  <c r="O763" i="5"/>
  <c r="N763" i="5"/>
  <c r="M763" i="5"/>
  <c r="L762" i="5"/>
  <c r="K762" i="5"/>
  <c r="J762" i="5"/>
  <c r="I762" i="5"/>
  <c r="H762" i="5"/>
  <c r="G762" i="5"/>
  <c r="F762" i="5"/>
  <c r="E762" i="5"/>
  <c r="D762" i="5"/>
  <c r="T760" i="5"/>
  <c r="R760" i="5"/>
  <c r="O760" i="5"/>
  <c r="N760" i="5"/>
  <c r="M760" i="5"/>
  <c r="L759" i="5"/>
  <c r="K759" i="5"/>
  <c r="J759" i="5"/>
  <c r="I759" i="5"/>
  <c r="H759" i="5"/>
  <c r="G759" i="5"/>
  <c r="F759" i="5"/>
  <c r="E759" i="5"/>
  <c r="D759" i="5"/>
  <c r="T757" i="5"/>
  <c r="R757" i="5"/>
  <c r="O757" i="5"/>
  <c r="N757" i="5"/>
  <c r="M757" i="5"/>
  <c r="L756" i="5"/>
  <c r="K756" i="5"/>
  <c r="J756" i="5"/>
  <c r="I756" i="5"/>
  <c r="H756" i="5"/>
  <c r="G756" i="5"/>
  <c r="F756" i="5"/>
  <c r="E756" i="5"/>
  <c r="D756" i="5"/>
  <c r="T754" i="5"/>
  <c r="R754" i="5"/>
  <c r="O754" i="5"/>
  <c r="N754" i="5"/>
  <c r="M754" i="5"/>
  <c r="L753" i="5"/>
  <c r="K753" i="5"/>
  <c r="J753" i="5"/>
  <c r="I753" i="5"/>
  <c r="H753" i="5"/>
  <c r="G753" i="5"/>
  <c r="F753" i="5"/>
  <c r="E753" i="5"/>
  <c r="D753" i="5"/>
  <c r="T751" i="5"/>
  <c r="R751" i="5"/>
  <c r="O751" i="5"/>
  <c r="N751" i="5"/>
  <c r="M751" i="5"/>
  <c r="L750" i="5"/>
  <c r="K750" i="5"/>
  <c r="J750" i="5"/>
  <c r="I750" i="5"/>
  <c r="H750" i="5"/>
  <c r="G750" i="5"/>
  <c r="F750" i="5"/>
  <c r="E750" i="5"/>
  <c r="D750" i="5"/>
  <c r="T748" i="5"/>
  <c r="R748" i="5"/>
  <c r="O748" i="5"/>
  <c r="N748" i="5"/>
  <c r="M748" i="5"/>
  <c r="L747" i="5"/>
  <c r="K747" i="5"/>
  <c r="J747" i="5"/>
  <c r="I747" i="5"/>
  <c r="H747" i="5"/>
  <c r="G747" i="5"/>
  <c r="F747" i="5"/>
  <c r="E747" i="5"/>
  <c r="D747" i="5"/>
  <c r="T745" i="5"/>
  <c r="R745" i="5"/>
  <c r="O745" i="5"/>
  <c r="N745" i="5"/>
  <c r="M745" i="5"/>
  <c r="L744" i="5"/>
  <c r="K744" i="5"/>
  <c r="J744" i="5"/>
  <c r="I744" i="5"/>
  <c r="H744" i="5"/>
  <c r="G744" i="5"/>
  <c r="F744" i="5"/>
  <c r="E744" i="5"/>
  <c r="D744" i="5"/>
  <c r="T742" i="5"/>
  <c r="R742" i="5"/>
  <c r="O742" i="5"/>
  <c r="N742" i="5"/>
  <c r="M742" i="5"/>
  <c r="L741" i="5"/>
  <c r="K741" i="5"/>
  <c r="J741" i="5"/>
  <c r="I741" i="5"/>
  <c r="H741" i="5"/>
  <c r="G741" i="5"/>
  <c r="F741" i="5"/>
  <c r="E741" i="5"/>
  <c r="D741" i="5"/>
  <c r="T739" i="5"/>
  <c r="R739" i="5"/>
  <c r="O739" i="5"/>
  <c r="N739" i="5"/>
  <c r="M739" i="5"/>
  <c r="L738" i="5"/>
  <c r="K738" i="5"/>
  <c r="J738" i="5"/>
  <c r="I738" i="5"/>
  <c r="H738" i="5"/>
  <c r="G738" i="5"/>
  <c r="F738" i="5"/>
  <c r="E738" i="5"/>
  <c r="D738" i="5"/>
  <c r="T736" i="5"/>
  <c r="R736" i="5"/>
  <c r="O736" i="5"/>
  <c r="N736" i="5"/>
  <c r="M736" i="5"/>
  <c r="L735" i="5"/>
  <c r="K735" i="5"/>
  <c r="J735" i="5"/>
  <c r="I735" i="5"/>
  <c r="H735" i="5"/>
  <c r="G735" i="5"/>
  <c r="F735" i="5"/>
  <c r="E735" i="5"/>
  <c r="D735" i="5"/>
  <c r="T733" i="5"/>
  <c r="R733" i="5"/>
  <c r="O733" i="5"/>
  <c r="N733" i="5"/>
  <c r="M733" i="5"/>
  <c r="L732" i="5"/>
  <c r="K732" i="5"/>
  <c r="J732" i="5"/>
  <c r="I732" i="5"/>
  <c r="H732" i="5"/>
  <c r="G732" i="5"/>
  <c r="F732" i="5"/>
  <c r="E732" i="5"/>
  <c r="D732" i="5"/>
  <c r="T730" i="5"/>
  <c r="R730" i="5"/>
  <c r="O730" i="5"/>
  <c r="N730" i="5"/>
  <c r="M730" i="5"/>
  <c r="L729" i="5"/>
  <c r="K729" i="5"/>
  <c r="J729" i="5"/>
  <c r="I729" i="5"/>
  <c r="H729" i="5"/>
  <c r="G729" i="5"/>
  <c r="F729" i="5"/>
  <c r="E729" i="5"/>
  <c r="D729" i="5"/>
  <c r="T727" i="5"/>
  <c r="R727" i="5"/>
  <c r="O727" i="5"/>
  <c r="N727" i="5"/>
  <c r="M727" i="5"/>
  <c r="L726" i="5"/>
  <c r="K726" i="5"/>
  <c r="J726" i="5"/>
  <c r="I726" i="5"/>
  <c r="H726" i="5"/>
  <c r="G726" i="5"/>
  <c r="F726" i="5"/>
  <c r="E726" i="5"/>
  <c r="D726" i="5"/>
  <c r="T724" i="5"/>
  <c r="R724" i="5"/>
  <c r="O724" i="5"/>
  <c r="N724" i="5"/>
  <c r="M724" i="5"/>
  <c r="L723" i="5"/>
  <c r="K723" i="5"/>
  <c r="J723" i="5"/>
  <c r="I723" i="5"/>
  <c r="H723" i="5"/>
  <c r="G723" i="5"/>
  <c r="F723" i="5"/>
  <c r="E723" i="5"/>
  <c r="D723" i="5"/>
  <c r="T721" i="5"/>
  <c r="R721" i="5"/>
  <c r="O721" i="5"/>
  <c r="N721" i="5"/>
  <c r="M721" i="5"/>
  <c r="L720" i="5"/>
  <c r="K720" i="5"/>
  <c r="J720" i="5"/>
  <c r="I720" i="5"/>
  <c r="H720" i="5"/>
  <c r="G720" i="5"/>
  <c r="F720" i="5"/>
  <c r="E720" i="5"/>
  <c r="D720" i="5"/>
  <c r="T718" i="5"/>
  <c r="R718" i="5"/>
  <c r="O718" i="5"/>
  <c r="N718" i="5"/>
  <c r="M718" i="5"/>
  <c r="L717" i="5"/>
  <c r="K717" i="5"/>
  <c r="J717" i="5"/>
  <c r="I717" i="5"/>
  <c r="H717" i="5"/>
  <c r="G717" i="5"/>
  <c r="F717" i="5"/>
  <c r="E717" i="5"/>
  <c r="D717" i="5"/>
  <c r="T715" i="5"/>
  <c r="R715" i="5"/>
  <c r="O715" i="5"/>
  <c r="N715" i="5"/>
  <c r="M715" i="5"/>
  <c r="L714" i="5"/>
  <c r="K714" i="5"/>
  <c r="J714" i="5"/>
  <c r="I714" i="5"/>
  <c r="H714" i="5"/>
  <c r="G714" i="5"/>
  <c r="F714" i="5"/>
  <c r="E714" i="5"/>
  <c r="D714" i="5"/>
  <c r="T712" i="5"/>
  <c r="R712" i="5"/>
  <c r="O712" i="5"/>
  <c r="N712" i="5"/>
  <c r="M712" i="5"/>
  <c r="L711" i="5"/>
  <c r="K711" i="5"/>
  <c r="J711" i="5"/>
  <c r="I711" i="5"/>
  <c r="H711" i="5"/>
  <c r="G711" i="5"/>
  <c r="F711" i="5"/>
  <c r="E711" i="5"/>
  <c r="D711" i="5"/>
  <c r="T709" i="5"/>
  <c r="R709" i="5"/>
  <c r="O709" i="5"/>
  <c r="N709" i="5"/>
  <c r="M709" i="5"/>
  <c r="L708" i="5"/>
  <c r="K708" i="5"/>
  <c r="J708" i="5"/>
  <c r="I708" i="5"/>
  <c r="H708" i="5"/>
  <c r="G708" i="5"/>
  <c r="F708" i="5"/>
  <c r="E708" i="5"/>
  <c r="D708" i="5"/>
  <c r="T706" i="5"/>
  <c r="R706" i="5"/>
  <c r="O706" i="5"/>
  <c r="N706" i="5"/>
  <c r="M706" i="5"/>
  <c r="L705" i="5"/>
  <c r="K705" i="5"/>
  <c r="J705" i="5"/>
  <c r="I705" i="5"/>
  <c r="H705" i="5"/>
  <c r="G705" i="5"/>
  <c r="F705" i="5"/>
  <c r="E705" i="5"/>
  <c r="D705" i="5"/>
  <c r="T703" i="5"/>
  <c r="R703" i="5"/>
  <c r="O703" i="5"/>
  <c r="N703" i="5"/>
  <c r="M703" i="5"/>
  <c r="L702" i="5"/>
  <c r="K702" i="5"/>
  <c r="J702" i="5"/>
  <c r="I702" i="5"/>
  <c r="H702" i="5"/>
  <c r="G702" i="5"/>
  <c r="F702" i="5"/>
  <c r="E702" i="5"/>
  <c r="D702" i="5"/>
  <c r="T700" i="5"/>
  <c r="R700" i="5"/>
  <c r="O700" i="5"/>
  <c r="N700" i="5"/>
  <c r="M700" i="5"/>
  <c r="L699" i="5"/>
  <c r="K699" i="5"/>
  <c r="J699" i="5"/>
  <c r="I699" i="5"/>
  <c r="H699" i="5"/>
  <c r="G699" i="5"/>
  <c r="F699" i="5"/>
  <c r="E699" i="5"/>
  <c r="D699" i="5"/>
  <c r="T697" i="5"/>
  <c r="R697" i="5"/>
  <c r="O697" i="5"/>
  <c r="N697" i="5"/>
  <c r="M697" i="5"/>
  <c r="L696" i="5"/>
  <c r="K696" i="5"/>
  <c r="J696" i="5"/>
  <c r="I696" i="5"/>
  <c r="H696" i="5"/>
  <c r="G696" i="5"/>
  <c r="F696" i="5"/>
  <c r="E696" i="5"/>
  <c r="D696" i="5"/>
  <c r="O694" i="5"/>
  <c r="T694" i="5"/>
  <c r="M694" i="5"/>
  <c r="N694" i="5"/>
  <c r="R694" i="5"/>
  <c r="L693" i="5"/>
  <c r="K693" i="5"/>
  <c r="J693" i="5"/>
  <c r="I693" i="5"/>
  <c r="H693" i="5"/>
  <c r="G693" i="5"/>
  <c r="F693" i="5"/>
  <c r="E693" i="5"/>
  <c r="D693" i="5"/>
  <c r="O691" i="5"/>
  <c r="T691" i="5"/>
  <c r="M691" i="5"/>
  <c r="N691" i="5"/>
  <c r="R691" i="5"/>
  <c r="L690" i="5"/>
  <c r="K690" i="5"/>
  <c r="J690" i="5"/>
  <c r="I690" i="5"/>
  <c r="H690" i="5"/>
  <c r="G690" i="5"/>
  <c r="F690" i="5"/>
  <c r="E690" i="5"/>
  <c r="D690" i="5"/>
  <c r="O688" i="5"/>
  <c r="T688" i="5"/>
  <c r="M688" i="5"/>
  <c r="N688" i="5"/>
  <c r="R688" i="5"/>
  <c r="L687" i="5"/>
  <c r="K687" i="5"/>
  <c r="J687" i="5"/>
  <c r="I687" i="5"/>
  <c r="H687" i="5"/>
  <c r="G687" i="5"/>
  <c r="F687" i="5"/>
  <c r="E687" i="5"/>
  <c r="D687" i="5"/>
  <c r="O685" i="5"/>
  <c r="T685" i="5"/>
  <c r="M685" i="5"/>
  <c r="N685" i="5"/>
  <c r="R685" i="5"/>
  <c r="L684" i="5"/>
  <c r="K684" i="5"/>
  <c r="J684" i="5"/>
  <c r="I684" i="5"/>
  <c r="H684" i="5"/>
  <c r="G684" i="5"/>
  <c r="F684" i="5"/>
  <c r="E684" i="5"/>
  <c r="O682" i="5"/>
  <c r="T682" i="5"/>
  <c r="M682" i="5"/>
  <c r="N682" i="5"/>
  <c r="R682" i="5"/>
  <c r="L681" i="5"/>
  <c r="K681" i="5"/>
  <c r="J681" i="5"/>
  <c r="I681" i="5"/>
  <c r="H681" i="5"/>
  <c r="G681" i="5"/>
  <c r="F681" i="5"/>
  <c r="E681" i="5"/>
  <c r="O679" i="5"/>
  <c r="T679" i="5"/>
  <c r="M679" i="5"/>
  <c r="N679" i="5"/>
  <c r="R679" i="5"/>
  <c r="L678" i="5"/>
  <c r="K678" i="5"/>
  <c r="J678" i="5"/>
  <c r="I678" i="5"/>
  <c r="H678" i="5"/>
  <c r="G678" i="5"/>
  <c r="F678" i="5"/>
  <c r="E678" i="5"/>
  <c r="O676" i="5"/>
  <c r="T676" i="5"/>
  <c r="M676" i="5"/>
  <c r="N676" i="5"/>
  <c r="R676" i="5"/>
  <c r="L675" i="5"/>
  <c r="K675" i="5"/>
  <c r="J675" i="5"/>
  <c r="I675" i="5"/>
  <c r="H675" i="5"/>
  <c r="G675" i="5"/>
  <c r="F675" i="5"/>
  <c r="E675" i="5"/>
  <c r="D675" i="5"/>
  <c r="O673" i="5"/>
  <c r="T673" i="5"/>
  <c r="M673" i="5"/>
  <c r="N673" i="5"/>
  <c r="R673" i="5"/>
  <c r="L672" i="5"/>
  <c r="K672" i="5"/>
  <c r="J672" i="5"/>
  <c r="I672" i="5"/>
  <c r="H672" i="5"/>
  <c r="G672" i="5"/>
  <c r="F672" i="5"/>
  <c r="E672" i="5"/>
  <c r="D672" i="5"/>
  <c r="O670" i="5"/>
  <c r="T670" i="5"/>
  <c r="M670" i="5"/>
  <c r="N670" i="5"/>
  <c r="R670" i="5"/>
  <c r="L669" i="5"/>
  <c r="K669" i="5"/>
  <c r="J669" i="5"/>
  <c r="I669" i="5"/>
  <c r="H669" i="5"/>
  <c r="G669" i="5"/>
  <c r="F669" i="5"/>
  <c r="E669" i="5"/>
  <c r="D669" i="5"/>
  <c r="O667" i="5"/>
  <c r="T667" i="5"/>
  <c r="M667" i="5"/>
  <c r="N667" i="5"/>
  <c r="R667" i="5"/>
  <c r="L666" i="5"/>
  <c r="K666" i="5"/>
  <c r="J666" i="5"/>
  <c r="I666" i="5"/>
  <c r="H666" i="5"/>
  <c r="G666" i="5"/>
  <c r="F666" i="5"/>
  <c r="E666" i="5"/>
  <c r="D666" i="5"/>
  <c r="O664" i="5"/>
  <c r="T664" i="5"/>
  <c r="M664" i="5"/>
  <c r="N664" i="5"/>
  <c r="R664" i="5"/>
  <c r="L663" i="5"/>
  <c r="K663" i="5"/>
  <c r="J663" i="5"/>
  <c r="I663" i="5"/>
  <c r="H663" i="5"/>
  <c r="G663" i="5"/>
  <c r="F663" i="5"/>
  <c r="E663" i="5"/>
  <c r="D663" i="5"/>
  <c r="O661" i="5"/>
  <c r="T661" i="5"/>
  <c r="M661" i="5"/>
  <c r="N661" i="5"/>
  <c r="R661" i="5"/>
  <c r="L660" i="5"/>
  <c r="K660" i="5"/>
  <c r="J660" i="5"/>
  <c r="I660" i="5"/>
  <c r="H660" i="5"/>
  <c r="G660" i="5"/>
  <c r="F660" i="5"/>
  <c r="E660" i="5"/>
  <c r="D660" i="5"/>
  <c r="O658" i="5"/>
  <c r="T658" i="5"/>
  <c r="M658" i="5"/>
  <c r="N658" i="5"/>
  <c r="R658" i="5"/>
  <c r="L657" i="5"/>
  <c r="K657" i="5"/>
  <c r="J657" i="5"/>
  <c r="I657" i="5"/>
  <c r="H657" i="5"/>
  <c r="G657" i="5"/>
  <c r="F657" i="5"/>
  <c r="E657" i="5"/>
  <c r="D657" i="5"/>
  <c r="O655" i="5"/>
  <c r="T655" i="5"/>
  <c r="M655" i="5"/>
  <c r="N655" i="5"/>
  <c r="R655" i="5"/>
  <c r="L654" i="5"/>
  <c r="K654" i="5"/>
  <c r="J654" i="5"/>
  <c r="I654" i="5"/>
  <c r="H654" i="5"/>
  <c r="F654" i="5"/>
  <c r="E654" i="5"/>
  <c r="D654" i="5"/>
  <c r="O652" i="5"/>
  <c r="T652" i="5"/>
  <c r="M652" i="5"/>
  <c r="N652" i="5"/>
  <c r="R652" i="5"/>
  <c r="L651" i="5"/>
  <c r="K651" i="5"/>
  <c r="J651" i="5"/>
  <c r="I651" i="5"/>
  <c r="H651" i="5"/>
  <c r="G651" i="5"/>
  <c r="F651" i="5"/>
  <c r="E651" i="5"/>
  <c r="D651" i="5"/>
  <c r="O649" i="5"/>
  <c r="T649" i="5"/>
  <c r="M649" i="5"/>
  <c r="N649" i="5"/>
  <c r="R649" i="5"/>
  <c r="L648" i="5"/>
  <c r="K648" i="5"/>
  <c r="J648" i="5"/>
  <c r="I648" i="5"/>
  <c r="H648" i="5"/>
  <c r="G648" i="5"/>
  <c r="F648" i="5"/>
  <c r="E648" i="5"/>
  <c r="D648" i="5"/>
  <c r="O646" i="5"/>
  <c r="T646" i="5"/>
  <c r="M646" i="5"/>
  <c r="N646" i="5"/>
  <c r="R646" i="5"/>
  <c r="L645" i="5"/>
  <c r="K645" i="5"/>
  <c r="J645" i="5"/>
  <c r="I645" i="5"/>
  <c r="H645" i="5"/>
  <c r="G645" i="5"/>
  <c r="F645" i="5"/>
  <c r="E645" i="5"/>
  <c r="D645" i="5"/>
  <c r="O643" i="5"/>
  <c r="T643" i="5"/>
  <c r="M643" i="5"/>
  <c r="N643" i="5"/>
  <c r="R643" i="5"/>
  <c r="L642" i="5"/>
  <c r="K642" i="5"/>
  <c r="J642" i="5"/>
  <c r="I642" i="5"/>
  <c r="H642" i="5"/>
  <c r="G642" i="5"/>
  <c r="F642" i="5"/>
  <c r="E642" i="5"/>
  <c r="D642" i="5"/>
  <c r="O640" i="5"/>
  <c r="T640" i="5"/>
  <c r="M640" i="5"/>
  <c r="N640" i="5"/>
  <c r="R640" i="5"/>
  <c r="L639" i="5"/>
  <c r="K639" i="5"/>
  <c r="J639" i="5"/>
  <c r="I639" i="5"/>
  <c r="H639" i="5"/>
  <c r="G639" i="5"/>
  <c r="F639" i="5"/>
  <c r="E639" i="5"/>
  <c r="D639" i="5"/>
  <c r="O637" i="5"/>
  <c r="T637" i="5"/>
  <c r="M637" i="5"/>
  <c r="N637" i="5"/>
  <c r="R637" i="5"/>
  <c r="L636" i="5"/>
  <c r="K636" i="5"/>
  <c r="J636" i="5"/>
  <c r="I636" i="5"/>
  <c r="H636" i="5"/>
  <c r="G636" i="5"/>
  <c r="F636" i="5"/>
  <c r="E636" i="5"/>
  <c r="D636" i="5"/>
  <c r="O634" i="5"/>
  <c r="T634" i="5"/>
  <c r="M634" i="5"/>
  <c r="N634" i="5"/>
  <c r="R634" i="5"/>
  <c r="L633" i="5"/>
  <c r="K633" i="5"/>
  <c r="J633" i="5"/>
  <c r="I633" i="5"/>
  <c r="H633" i="5"/>
  <c r="G633" i="5"/>
  <c r="F633" i="5"/>
  <c r="E633" i="5"/>
  <c r="D633" i="5"/>
  <c r="O631" i="5"/>
  <c r="T631" i="5"/>
  <c r="M631" i="5"/>
  <c r="N631" i="5"/>
  <c r="R631" i="5"/>
  <c r="L630" i="5"/>
  <c r="K630" i="5"/>
  <c r="J630" i="5"/>
  <c r="I630" i="5"/>
  <c r="H630" i="5"/>
  <c r="G630" i="5"/>
  <c r="F630" i="5"/>
  <c r="E630" i="5"/>
  <c r="D630" i="5"/>
  <c r="O628" i="5"/>
  <c r="T628" i="5"/>
  <c r="M628" i="5"/>
  <c r="N628" i="5"/>
  <c r="R628" i="5"/>
  <c r="L627" i="5"/>
  <c r="K627" i="5"/>
  <c r="J627" i="5"/>
  <c r="I627" i="5"/>
  <c r="H627" i="5"/>
  <c r="G627" i="5"/>
  <c r="F627" i="5"/>
  <c r="E627" i="5"/>
  <c r="D627" i="5"/>
  <c r="O625" i="5"/>
  <c r="T625" i="5"/>
  <c r="M625" i="5"/>
  <c r="N625" i="5"/>
  <c r="R625" i="5"/>
  <c r="L624" i="5"/>
  <c r="K624" i="5"/>
  <c r="J624" i="5"/>
  <c r="I624" i="5"/>
  <c r="H624" i="5"/>
  <c r="G624" i="5"/>
  <c r="F624" i="5"/>
  <c r="E624" i="5"/>
  <c r="D624" i="5"/>
  <c r="O622" i="5"/>
  <c r="T622" i="5"/>
  <c r="M622" i="5"/>
  <c r="N622" i="5"/>
  <c r="R622" i="5"/>
  <c r="L621" i="5"/>
  <c r="K621" i="5"/>
  <c r="J621" i="5"/>
  <c r="I621" i="5"/>
  <c r="H621" i="5"/>
  <c r="G621" i="5"/>
  <c r="F621" i="5"/>
  <c r="E621" i="5"/>
  <c r="D621" i="5"/>
  <c r="O619" i="5"/>
  <c r="T619" i="5"/>
  <c r="M619" i="5"/>
  <c r="N619" i="5"/>
  <c r="R619" i="5"/>
  <c r="L618" i="5"/>
  <c r="K618" i="5"/>
  <c r="J618" i="5"/>
  <c r="I618" i="5"/>
  <c r="H618" i="5"/>
  <c r="G618" i="5"/>
  <c r="F618" i="5"/>
  <c r="E618" i="5"/>
  <c r="D618" i="5"/>
  <c r="O616" i="5"/>
  <c r="T616" i="5"/>
  <c r="M616" i="5"/>
  <c r="N616" i="5"/>
  <c r="R616" i="5"/>
  <c r="L615" i="5"/>
  <c r="K615" i="5"/>
  <c r="J615" i="5"/>
  <c r="I615" i="5"/>
  <c r="H615" i="5"/>
  <c r="G615" i="5"/>
  <c r="F615" i="5"/>
  <c r="E615" i="5"/>
  <c r="D615" i="5"/>
  <c r="O613" i="5"/>
  <c r="T613" i="5"/>
  <c r="M613" i="5"/>
  <c r="N613" i="5"/>
  <c r="R613" i="5"/>
  <c r="L612" i="5"/>
  <c r="K612" i="5"/>
  <c r="J612" i="5"/>
  <c r="I612" i="5"/>
  <c r="H612" i="5"/>
  <c r="G612" i="5"/>
  <c r="F612" i="5"/>
  <c r="E612" i="5"/>
  <c r="D612" i="5"/>
  <c r="O610" i="5"/>
  <c r="T610" i="5"/>
  <c r="M610" i="5"/>
  <c r="N610" i="5"/>
  <c r="R610" i="5"/>
  <c r="L609" i="5"/>
  <c r="K609" i="5"/>
  <c r="J609" i="5"/>
  <c r="I609" i="5"/>
  <c r="H609" i="5"/>
  <c r="G609" i="5"/>
  <c r="F609" i="5"/>
  <c r="E609" i="5"/>
  <c r="D609" i="5"/>
  <c r="O607" i="5"/>
  <c r="T607" i="5"/>
  <c r="M607" i="5"/>
  <c r="N607" i="5"/>
  <c r="R607" i="5"/>
  <c r="L606" i="5"/>
  <c r="K606" i="5"/>
  <c r="J606" i="5"/>
  <c r="I606" i="5"/>
  <c r="H606" i="5"/>
  <c r="G606" i="5"/>
  <c r="F606" i="5"/>
  <c r="E606" i="5"/>
  <c r="D606" i="5"/>
  <c r="O604" i="5"/>
  <c r="T604" i="5"/>
  <c r="M604" i="5"/>
  <c r="N604" i="5"/>
  <c r="R604" i="5"/>
  <c r="L603" i="5"/>
  <c r="K603" i="5"/>
  <c r="J603" i="5"/>
  <c r="I603" i="5"/>
  <c r="H603" i="5"/>
  <c r="G603" i="5"/>
  <c r="F603" i="5"/>
  <c r="E603" i="5"/>
  <c r="D603" i="5"/>
  <c r="O601" i="5"/>
  <c r="T601" i="5"/>
  <c r="M601" i="5"/>
  <c r="N601" i="5"/>
  <c r="R601" i="5"/>
  <c r="L600" i="5"/>
  <c r="K600" i="5"/>
  <c r="J600" i="5"/>
  <c r="I600" i="5"/>
  <c r="H600" i="5"/>
  <c r="G600" i="5"/>
  <c r="F600" i="5"/>
  <c r="E600" i="5"/>
  <c r="D600" i="5"/>
  <c r="O598" i="5"/>
  <c r="T598" i="5"/>
  <c r="M598" i="5"/>
  <c r="N598" i="5"/>
  <c r="R598" i="5"/>
  <c r="L597" i="5"/>
  <c r="K597" i="5"/>
  <c r="J597" i="5"/>
  <c r="I597" i="5"/>
  <c r="H597" i="5"/>
  <c r="G597" i="5"/>
  <c r="F597" i="5"/>
  <c r="E597" i="5"/>
  <c r="D597" i="5"/>
  <c r="O595" i="5"/>
  <c r="T595" i="5"/>
  <c r="M595" i="5"/>
  <c r="N595" i="5"/>
  <c r="R595" i="5"/>
  <c r="L594" i="5"/>
  <c r="K594" i="5"/>
  <c r="J594" i="5"/>
  <c r="I594" i="5"/>
  <c r="H594" i="5"/>
  <c r="G594" i="5"/>
  <c r="F594" i="5"/>
  <c r="E594" i="5"/>
  <c r="D594" i="5"/>
  <c r="O592" i="5"/>
  <c r="T592" i="5"/>
  <c r="M592" i="5"/>
  <c r="N592" i="5"/>
  <c r="R592" i="5"/>
  <c r="L591" i="5"/>
  <c r="K591" i="5"/>
  <c r="J591" i="5"/>
  <c r="I591" i="5"/>
  <c r="H591" i="5"/>
  <c r="G591" i="5"/>
  <c r="F591" i="5"/>
  <c r="E591" i="5"/>
  <c r="D591" i="5"/>
  <c r="O589" i="5"/>
  <c r="T589" i="5"/>
  <c r="M589" i="5"/>
  <c r="N589" i="5"/>
  <c r="R589" i="5"/>
  <c r="L588" i="5"/>
  <c r="K588" i="5"/>
  <c r="J588" i="5"/>
  <c r="I588" i="5"/>
  <c r="H588" i="5"/>
  <c r="G588" i="5"/>
  <c r="F588" i="5"/>
  <c r="E588" i="5"/>
  <c r="D588" i="5"/>
  <c r="O586" i="5"/>
  <c r="T586" i="5"/>
  <c r="M586" i="5"/>
  <c r="N586" i="5"/>
  <c r="R586" i="5"/>
  <c r="L585" i="5"/>
  <c r="K585" i="5"/>
  <c r="J585" i="5"/>
  <c r="I585" i="5"/>
  <c r="H585" i="5"/>
  <c r="G585" i="5"/>
  <c r="F585" i="5"/>
  <c r="E585" i="5"/>
  <c r="D585" i="5"/>
  <c r="V583" i="5"/>
  <c r="O583" i="5"/>
  <c r="T583" i="5"/>
  <c r="M583" i="5"/>
  <c r="N583" i="5"/>
  <c r="R583" i="5"/>
  <c r="L582" i="5"/>
  <c r="K582" i="5"/>
  <c r="J582" i="5"/>
  <c r="I582" i="5"/>
  <c r="H582" i="5"/>
  <c r="G582" i="5"/>
  <c r="F582" i="5"/>
  <c r="E582" i="5"/>
  <c r="D582" i="5"/>
  <c r="O580" i="5"/>
  <c r="T580" i="5"/>
  <c r="M580" i="5"/>
  <c r="N580" i="5"/>
  <c r="R580" i="5"/>
  <c r="L579" i="5"/>
  <c r="K579" i="5"/>
  <c r="J579" i="5"/>
  <c r="I579" i="5"/>
  <c r="H579" i="5"/>
  <c r="G579" i="5"/>
  <c r="F579" i="5"/>
  <c r="E579" i="5"/>
  <c r="D579" i="5"/>
  <c r="O577" i="5"/>
  <c r="T577" i="5"/>
  <c r="M577" i="5"/>
  <c r="N577" i="5"/>
  <c r="R577" i="5"/>
  <c r="L576" i="5"/>
  <c r="K576" i="5"/>
  <c r="J576" i="5"/>
  <c r="I576" i="5"/>
  <c r="H576" i="5"/>
  <c r="G576" i="5"/>
  <c r="F576" i="5"/>
  <c r="E576" i="5"/>
  <c r="D576" i="5"/>
  <c r="O574" i="5"/>
  <c r="T574" i="5"/>
  <c r="M574" i="5"/>
  <c r="N574" i="5"/>
  <c r="R574" i="5"/>
  <c r="L573" i="5"/>
  <c r="K573" i="5"/>
  <c r="J573" i="5"/>
  <c r="I573" i="5"/>
  <c r="H573" i="5"/>
  <c r="G573" i="5"/>
  <c r="F573" i="5"/>
  <c r="E573" i="5"/>
  <c r="D573" i="5"/>
  <c r="O571" i="5"/>
  <c r="T571" i="5"/>
  <c r="M571" i="5"/>
  <c r="N571" i="5"/>
  <c r="R571" i="5"/>
  <c r="L570" i="5"/>
  <c r="K570" i="5"/>
  <c r="J570" i="5"/>
  <c r="I570" i="5"/>
  <c r="H570" i="5"/>
  <c r="G570" i="5"/>
  <c r="F570" i="5"/>
  <c r="E570" i="5"/>
  <c r="D570" i="5"/>
  <c r="O568" i="5"/>
  <c r="T568" i="5"/>
  <c r="M568" i="5"/>
  <c r="N568" i="5"/>
  <c r="R568" i="5"/>
  <c r="L567" i="5"/>
  <c r="K567" i="5"/>
  <c r="J567" i="5"/>
  <c r="I567" i="5"/>
  <c r="H567" i="5"/>
  <c r="G567" i="5"/>
  <c r="F567" i="5"/>
  <c r="E567" i="5"/>
  <c r="D567" i="5"/>
  <c r="O565" i="5"/>
  <c r="T565" i="5"/>
  <c r="M565" i="5"/>
  <c r="N565" i="5"/>
  <c r="R565" i="5"/>
  <c r="L564" i="5"/>
  <c r="K564" i="5"/>
  <c r="J564" i="5"/>
  <c r="I564" i="5"/>
  <c r="H564" i="5"/>
  <c r="G564" i="5"/>
  <c r="F564" i="5"/>
  <c r="E564" i="5"/>
  <c r="D564" i="5"/>
  <c r="O562" i="5"/>
  <c r="T562" i="5"/>
  <c r="M562" i="5"/>
  <c r="N562" i="5"/>
  <c r="R562" i="5"/>
  <c r="L561" i="5"/>
  <c r="K561" i="5"/>
  <c r="J561" i="5"/>
  <c r="I561" i="5"/>
  <c r="H561" i="5"/>
  <c r="G561" i="5"/>
  <c r="F561" i="5"/>
  <c r="E561" i="5"/>
  <c r="D561" i="5"/>
  <c r="O559" i="5"/>
  <c r="T559" i="5"/>
  <c r="M559" i="5"/>
  <c r="N559" i="5"/>
  <c r="R559" i="5"/>
  <c r="L558" i="5"/>
  <c r="K558" i="5"/>
  <c r="J558" i="5"/>
  <c r="I558" i="5"/>
  <c r="H558" i="5"/>
  <c r="G558" i="5"/>
  <c r="F558" i="5"/>
  <c r="E558" i="5"/>
  <c r="D558" i="5"/>
  <c r="O556" i="5"/>
  <c r="T556" i="5"/>
  <c r="M556" i="5"/>
  <c r="N556" i="5"/>
  <c r="R556" i="5"/>
  <c r="L555" i="5"/>
  <c r="K555" i="5"/>
  <c r="J555" i="5"/>
  <c r="I555" i="5"/>
  <c r="H555" i="5"/>
  <c r="G555" i="5"/>
  <c r="F555" i="5"/>
  <c r="E555" i="5"/>
  <c r="D555" i="5"/>
  <c r="O553" i="5"/>
  <c r="T553" i="5"/>
  <c r="M553" i="5"/>
  <c r="N553" i="5"/>
  <c r="R553" i="5"/>
  <c r="L552" i="5"/>
  <c r="K552" i="5"/>
  <c r="J552" i="5"/>
  <c r="I552" i="5"/>
  <c r="H552" i="5"/>
  <c r="G552" i="5"/>
  <c r="F552" i="5"/>
  <c r="E552" i="5"/>
  <c r="D552" i="5"/>
  <c r="O550" i="5"/>
  <c r="T550" i="5"/>
  <c r="M550" i="5"/>
  <c r="N550" i="5"/>
  <c r="R550" i="5"/>
  <c r="L549" i="5"/>
  <c r="K549" i="5"/>
  <c r="J549" i="5"/>
  <c r="I549" i="5"/>
  <c r="H549" i="5"/>
  <c r="G549" i="5"/>
  <c r="F549" i="5"/>
  <c r="E549" i="5"/>
  <c r="D549" i="5"/>
  <c r="O547" i="5"/>
  <c r="T547" i="5"/>
  <c r="M547" i="5"/>
  <c r="N547" i="5"/>
  <c r="R547" i="5"/>
  <c r="L546" i="5"/>
  <c r="K546" i="5"/>
  <c r="J546" i="5"/>
  <c r="I546" i="5"/>
  <c r="H546" i="5"/>
  <c r="G546" i="5"/>
  <c r="F546" i="5"/>
  <c r="E546" i="5"/>
  <c r="D546" i="5"/>
  <c r="O544" i="5"/>
  <c r="T544" i="5"/>
  <c r="M544" i="5"/>
  <c r="N544" i="5"/>
  <c r="R544" i="5"/>
  <c r="L543" i="5"/>
  <c r="K543" i="5"/>
  <c r="J543" i="5"/>
  <c r="I543" i="5"/>
  <c r="H543" i="5"/>
  <c r="G543" i="5"/>
  <c r="F543" i="5"/>
  <c r="E543" i="5"/>
  <c r="D543" i="5"/>
  <c r="O541" i="5"/>
  <c r="T541" i="5"/>
  <c r="M541" i="5"/>
  <c r="N541" i="5"/>
  <c r="R541" i="5"/>
  <c r="L540" i="5"/>
  <c r="K540" i="5"/>
  <c r="J540" i="5"/>
  <c r="I540" i="5"/>
  <c r="H540" i="5"/>
  <c r="G540" i="5"/>
  <c r="F540" i="5"/>
  <c r="E540" i="5"/>
  <c r="D540" i="5"/>
  <c r="O538" i="5"/>
  <c r="T538" i="5"/>
  <c r="M538" i="5"/>
  <c r="N538" i="5"/>
  <c r="R538" i="5"/>
  <c r="L537" i="5"/>
  <c r="K537" i="5"/>
  <c r="J537" i="5"/>
  <c r="I537" i="5"/>
  <c r="H537" i="5"/>
  <c r="G537" i="5"/>
  <c r="F537" i="5"/>
  <c r="E537" i="5"/>
  <c r="D537" i="5"/>
  <c r="O535" i="5"/>
  <c r="T535" i="5"/>
  <c r="M535" i="5"/>
  <c r="N535" i="5"/>
  <c r="R535" i="5"/>
  <c r="L534" i="5"/>
  <c r="K534" i="5"/>
  <c r="J534" i="5"/>
  <c r="I534" i="5"/>
  <c r="H534" i="5"/>
  <c r="G534" i="5"/>
  <c r="F534" i="5"/>
  <c r="E534" i="5"/>
  <c r="D534" i="5"/>
  <c r="O532" i="5"/>
  <c r="T532" i="5"/>
  <c r="M532" i="5"/>
  <c r="N532" i="5"/>
  <c r="R532" i="5"/>
  <c r="L531" i="5"/>
  <c r="K531" i="5"/>
  <c r="J531" i="5"/>
  <c r="I531" i="5"/>
  <c r="H531" i="5"/>
  <c r="G531" i="5"/>
  <c r="F531" i="5"/>
  <c r="E531" i="5"/>
  <c r="D531" i="5"/>
  <c r="O529" i="5"/>
  <c r="T529" i="5"/>
  <c r="M529" i="5"/>
  <c r="N529" i="5"/>
  <c r="R529" i="5"/>
  <c r="L528" i="5"/>
  <c r="K528" i="5"/>
  <c r="J528" i="5"/>
  <c r="I528" i="5"/>
  <c r="H528" i="5"/>
  <c r="G528" i="5"/>
  <c r="F528" i="5"/>
  <c r="E528" i="5"/>
  <c r="D528" i="5"/>
  <c r="O526" i="5"/>
  <c r="T526" i="5"/>
  <c r="M526" i="5"/>
  <c r="N526" i="5"/>
  <c r="R526" i="5"/>
  <c r="L525" i="5"/>
  <c r="K525" i="5"/>
  <c r="J525" i="5"/>
  <c r="I525" i="5"/>
  <c r="H525" i="5"/>
  <c r="G525" i="5"/>
  <c r="F525" i="5"/>
  <c r="E525" i="5"/>
  <c r="D525" i="5"/>
  <c r="O523" i="5"/>
  <c r="T523" i="5"/>
  <c r="M523" i="5"/>
  <c r="N523" i="5"/>
  <c r="R523" i="5"/>
  <c r="L522" i="5"/>
  <c r="K522" i="5"/>
  <c r="J522" i="5"/>
  <c r="I522" i="5"/>
  <c r="H522" i="5"/>
  <c r="G522" i="5"/>
  <c r="F522" i="5"/>
  <c r="E522" i="5"/>
  <c r="D522" i="5"/>
  <c r="O520" i="5"/>
  <c r="T520" i="5"/>
  <c r="M520" i="5"/>
  <c r="N520" i="5"/>
  <c r="R520" i="5"/>
  <c r="L519" i="5"/>
  <c r="K519" i="5"/>
  <c r="J519" i="5"/>
  <c r="I519" i="5"/>
  <c r="H519" i="5"/>
  <c r="G519" i="5"/>
  <c r="F519" i="5"/>
  <c r="E519" i="5"/>
  <c r="D519" i="5"/>
  <c r="O517" i="5"/>
  <c r="T517" i="5"/>
  <c r="M517" i="5"/>
  <c r="N517" i="5"/>
  <c r="R517" i="5"/>
  <c r="L516" i="5"/>
  <c r="K516" i="5"/>
  <c r="J516" i="5"/>
  <c r="I516" i="5"/>
  <c r="H516" i="5"/>
  <c r="G516" i="5"/>
  <c r="F516" i="5"/>
  <c r="E516" i="5"/>
  <c r="D516" i="5"/>
  <c r="O514" i="5"/>
  <c r="T514" i="5"/>
  <c r="M514" i="5"/>
  <c r="N514" i="5"/>
  <c r="R514" i="5"/>
  <c r="L513" i="5"/>
  <c r="K513" i="5"/>
  <c r="J513" i="5"/>
  <c r="I513" i="5"/>
  <c r="H513" i="5"/>
  <c r="G513" i="5"/>
  <c r="F513" i="5"/>
  <c r="E513" i="5"/>
  <c r="D513" i="5"/>
  <c r="O511" i="5"/>
  <c r="T511" i="5"/>
  <c r="M511" i="5"/>
  <c r="N511" i="5"/>
  <c r="R511" i="5"/>
  <c r="L510" i="5"/>
  <c r="K510" i="5"/>
  <c r="J510" i="5"/>
  <c r="I510" i="5"/>
  <c r="H510" i="5"/>
  <c r="G510" i="5"/>
  <c r="F510" i="5"/>
  <c r="E510" i="5"/>
  <c r="D510" i="5"/>
  <c r="O508" i="5"/>
  <c r="T508" i="5"/>
  <c r="M508" i="5"/>
  <c r="N508" i="5"/>
  <c r="R508" i="5"/>
  <c r="L507" i="5"/>
  <c r="K507" i="5"/>
  <c r="J507" i="5"/>
  <c r="I507" i="5"/>
  <c r="H507" i="5"/>
  <c r="G507" i="5"/>
  <c r="F507" i="5"/>
  <c r="E507" i="5"/>
  <c r="D507" i="5"/>
  <c r="O505" i="5"/>
  <c r="T505" i="5"/>
  <c r="M505" i="5"/>
  <c r="N505" i="5"/>
  <c r="R505" i="5"/>
  <c r="L504" i="5"/>
  <c r="K504" i="5"/>
  <c r="J504" i="5"/>
  <c r="I504" i="5"/>
  <c r="H504" i="5"/>
  <c r="G504" i="5"/>
  <c r="F504" i="5"/>
  <c r="E504" i="5"/>
  <c r="D504" i="5"/>
  <c r="O502" i="5"/>
  <c r="T502" i="5"/>
  <c r="M502" i="5"/>
  <c r="N502" i="5"/>
  <c r="R502" i="5"/>
  <c r="L501" i="5"/>
  <c r="K501" i="5"/>
  <c r="J501" i="5"/>
  <c r="I501" i="5"/>
  <c r="H501" i="5"/>
  <c r="G501" i="5"/>
  <c r="F501" i="5"/>
  <c r="E501" i="5"/>
  <c r="D501" i="5"/>
  <c r="O499" i="5"/>
  <c r="T499" i="5"/>
  <c r="M499" i="5"/>
  <c r="N499" i="5"/>
  <c r="R499" i="5"/>
  <c r="L498" i="5"/>
  <c r="K498" i="5"/>
  <c r="J498" i="5"/>
  <c r="I498" i="5"/>
  <c r="H498" i="5"/>
  <c r="G498" i="5"/>
  <c r="F498" i="5"/>
  <c r="E498" i="5"/>
  <c r="D498" i="5"/>
  <c r="O496" i="5"/>
  <c r="T496" i="5"/>
  <c r="M496" i="5"/>
  <c r="N496" i="5"/>
  <c r="R496" i="5"/>
  <c r="L495" i="5"/>
  <c r="K495" i="5"/>
  <c r="J495" i="5"/>
  <c r="I495" i="5"/>
  <c r="H495" i="5"/>
  <c r="G495" i="5"/>
  <c r="F495" i="5"/>
  <c r="E495" i="5"/>
  <c r="D495" i="5"/>
  <c r="O493" i="5"/>
  <c r="T493" i="5"/>
  <c r="M493" i="5"/>
  <c r="N493" i="5"/>
  <c r="R493" i="5"/>
  <c r="L492" i="5"/>
  <c r="K492" i="5"/>
  <c r="J492" i="5"/>
  <c r="I492" i="5"/>
  <c r="H492" i="5"/>
  <c r="G492" i="5"/>
  <c r="F492" i="5"/>
  <c r="E492" i="5"/>
  <c r="D492" i="5"/>
  <c r="O490" i="5"/>
  <c r="T490" i="5"/>
  <c r="M490" i="5"/>
  <c r="N490" i="5"/>
  <c r="R490" i="5"/>
  <c r="L489" i="5"/>
  <c r="K489" i="5"/>
  <c r="J489" i="5"/>
  <c r="I489" i="5"/>
  <c r="H489" i="5"/>
  <c r="G489" i="5"/>
  <c r="F489" i="5"/>
  <c r="E489" i="5"/>
  <c r="D489" i="5"/>
  <c r="O487" i="5"/>
  <c r="T487" i="5"/>
  <c r="M487" i="5"/>
  <c r="N487" i="5"/>
  <c r="R487" i="5"/>
  <c r="K486" i="5"/>
  <c r="J486" i="5"/>
  <c r="I486" i="5"/>
  <c r="H486" i="5"/>
  <c r="G486" i="5"/>
  <c r="F486" i="5"/>
  <c r="E486" i="5"/>
  <c r="D486" i="5"/>
  <c r="O484" i="5"/>
  <c r="T484" i="5"/>
  <c r="M484" i="5"/>
  <c r="N484" i="5"/>
  <c r="R484" i="5"/>
  <c r="K483" i="5"/>
  <c r="J483" i="5"/>
  <c r="I483" i="5"/>
  <c r="H483" i="5"/>
  <c r="G483" i="5"/>
  <c r="F483" i="5"/>
  <c r="E483" i="5"/>
  <c r="D483" i="5"/>
  <c r="O481" i="5"/>
  <c r="T481" i="5"/>
  <c r="M481" i="5"/>
  <c r="N481" i="5"/>
  <c r="R481" i="5"/>
  <c r="K480" i="5"/>
  <c r="J480" i="5"/>
  <c r="I480" i="5"/>
  <c r="H480" i="5"/>
  <c r="G480" i="5"/>
  <c r="F480" i="5"/>
  <c r="E480" i="5"/>
  <c r="D480" i="5"/>
  <c r="O478" i="5"/>
  <c r="T478" i="5"/>
  <c r="M478" i="5"/>
  <c r="N478" i="5"/>
  <c r="R478" i="5"/>
  <c r="L477" i="5"/>
  <c r="K477" i="5"/>
  <c r="J477" i="5"/>
  <c r="I477" i="5"/>
  <c r="H477" i="5"/>
  <c r="G477" i="5"/>
  <c r="F477" i="5"/>
  <c r="E477" i="5"/>
  <c r="D477" i="5"/>
  <c r="O475" i="5"/>
  <c r="T475" i="5"/>
  <c r="M475" i="5"/>
  <c r="N475" i="5"/>
  <c r="R475" i="5"/>
  <c r="L474" i="5"/>
  <c r="K474" i="5"/>
  <c r="J474" i="5"/>
  <c r="I474" i="5"/>
  <c r="H474" i="5"/>
  <c r="G474" i="5"/>
  <c r="F474" i="5"/>
  <c r="E474" i="5"/>
  <c r="D474" i="5"/>
  <c r="O472" i="5"/>
  <c r="T472" i="5"/>
  <c r="M472" i="5"/>
  <c r="N472" i="5"/>
  <c r="R472" i="5"/>
  <c r="L471" i="5"/>
  <c r="K471" i="5"/>
  <c r="J471" i="5"/>
  <c r="I471" i="5"/>
  <c r="H471" i="5"/>
  <c r="G471" i="5"/>
  <c r="F471" i="5"/>
  <c r="E471" i="5"/>
  <c r="D471" i="5"/>
  <c r="O469" i="5"/>
  <c r="T469" i="5"/>
  <c r="M469" i="5"/>
  <c r="N469" i="5"/>
  <c r="R469" i="5"/>
  <c r="L468" i="5"/>
  <c r="K468" i="5"/>
  <c r="J468" i="5"/>
  <c r="I468" i="5"/>
  <c r="H468" i="5"/>
  <c r="G468" i="5"/>
  <c r="F468" i="5"/>
  <c r="E468" i="5"/>
  <c r="D468" i="5"/>
  <c r="O466" i="5"/>
  <c r="T466" i="5"/>
  <c r="M466" i="5"/>
  <c r="N466" i="5"/>
  <c r="R466" i="5"/>
  <c r="L465" i="5"/>
  <c r="K465" i="5"/>
  <c r="J465" i="5"/>
  <c r="I465" i="5"/>
  <c r="H465" i="5"/>
  <c r="G465" i="5"/>
  <c r="F465" i="5"/>
  <c r="E465" i="5"/>
  <c r="D465" i="5"/>
  <c r="O463" i="5"/>
  <c r="T463" i="5"/>
  <c r="M463" i="5"/>
  <c r="N463" i="5"/>
  <c r="R463" i="5"/>
  <c r="L462" i="5"/>
  <c r="K462" i="5"/>
  <c r="J462" i="5"/>
  <c r="I462" i="5"/>
  <c r="H462" i="5"/>
  <c r="G462" i="5"/>
  <c r="F462" i="5"/>
  <c r="E462" i="5"/>
  <c r="D462" i="5"/>
  <c r="O460" i="5"/>
  <c r="T460" i="5"/>
  <c r="M460" i="5"/>
  <c r="N460" i="5"/>
  <c r="R460" i="5"/>
  <c r="L459" i="5"/>
  <c r="K459" i="5"/>
  <c r="J459" i="5"/>
  <c r="I459" i="5"/>
  <c r="H459" i="5"/>
  <c r="G459" i="5"/>
  <c r="F459" i="5"/>
  <c r="E459" i="5"/>
  <c r="D459" i="5"/>
  <c r="O457" i="5"/>
  <c r="T457" i="5"/>
  <c r="M457" i="5"/>
  <c r="N457" i="5"/>
  <c r="R457" i="5"/>
  <c r="L456" i="5"/>
  <c r="K456" i="5"/>
  <c r="J456" i="5"/>
  <c r="I456" i="5"/>
  <c r="H456" i="5"/>
  <c r="G456" i="5"/>
  <c r="F456" i="5"/>
  <c r="E456" i="5"/>
  <c r="D456" i="5"/>
  <c r="O454" i="5"/>
  <c r="T454" i="5"/>
  <c r="M454" i="5"/>
  <c r="N454" i="5"/>
  <c r="R454" i="5"/>
  <c r="L453" i="5"/>
  <c r="K453" i="5"/>
  <c r="J453" i="5"/>
  <c r="I453" i="5"/>
  <c r="H453" i="5"/>
  <c r="G453" i="5"/>
  <c r="F453" i="5"/>
  <c r="E453" i="5"/>
  <c r="D453" i="5"/>
  <c r="O451" i="5"/>
  <c r="T451" i="5"/>
  <c r="M451" i="5"/>
  <c r="N451" i="5"/>
  <c r="R451" i="5"/>
  <c r="L450" i="5"/>
  <c r="K450" i="5"/>
  <c r="J450" i="5"/>
  <c r="I450" i="5"/>
  <c r="H450" i="5"/>
  <c r="G450" i="5"/>
  <c r="F450" i="5"/>
  <c r="E450" i="5"/>
  <c r="D450" i="5"/>
  <c r="O448" i="5"/>
  <c r="T448" i="5"/>
  <c r="M448" i="5"/>
  <c r="N448" i="5"/>
  <c r="R448" i="5"/>
  <c r="L447" i="5"/>
  <c r="K447" i="5"/>
  <c r="J447" i="5"/>
  <c r="I447" i="5"/>
  <c r="H447" i="5"/>
  <c r="G447" i="5"/>
  <c r="F447" i="5"/>
  <c r="E447" i="5"/>
  <c r="D447" i="5"/>
  <c r="O445" i="5"/>
  <c r="T445" i="5"/>
  <c r="M445" i="5"/>
  <c r="N445" i="5"/>
  <c r="R445" i="5"/>
  <c r="L444" i="5"/>
  <c r="K444" i="5"/>
  <c r="J444" i="5"/>
  <c r="I444" i="5"/>
  <c r="H444" i="5"/>
  <c r="G444" i="5"/>
  <c r="F444" i="5"/>
  <c r="E444" i="5"/>
  <c r="D444" i="5"/>
  <c r="O442" i="5"/>
  <c r="T442" i="5"/>
  <c r="M442" i="5"/>
  <c r="N442" i="5"/>
  <c r="R442" i="5"/>
  <c r="L441" i="5"/>
  <c r="K441" i="5"/>
  <c r="J441" i="5"/>
  <c r="I441" i="5"/>
  <c r="H441" i="5"/>
  <c r="G441" i="5"/>
  <c r="F441" i="5"/>
  <c r="E441" i="5"/>
  <c r="D441" i="5"/>
  <c r="O439" i="5"/>
  <c r="T439" i="5"/>
  <c r="M439" i="5"/>
  <c r="N439" i="5"/>
  <c r="R439" i="5"/>
  <c r="L438" i="5"/>
  <c r="K438" i="5"/>
  <c r="J438" i="5"/>
  <c r="I438" i="5"/>
  <c r="H438" i="5"/>
  <c r="G438" i="5"/>
  <c r="F438" i="5"/>
  <c r="E438" i="5"/>
  <c r="D438" i="5"/>
  <c r="O436" i="5"/>
  <c r="T436" i="5"/>
  <c r="M436" i="5"/>
  <c r="N436" i="5"/>
  <c r="R436" i="5"/>
  <c r="L435" i="5"/>
  <c r="K435" i="5"/>
  <c r="J435" i="5"/>
  <c r="I435" i="5"/>
  <c r="H435" i="5"/>
  <c r="G435" i="5"/>
  <c r="F435" i="5"/>
  <c r="E435" i="5"/>
  <c r="D435" i="5"/>
  <c r="O433" i="5"/>
  <c r="T433" i="5"/>
  <c r="M433" i="5"/>
  <c r="N433" i="5"/>
  <c r="R433" i="5"/>
  <c r="L432" i="5"/>
  <c r="K432" i="5"/>
  <c r="J432" i="5"/>
  <c r="I432" i="5"/>
  <c r="H432" i="5"/>
  <c r="G432" i="5"/>
  <c r="F432" i="5"/>
  <c r="E432" i="5"/>
  <c r="D432" i="5"/>
  <c r="O430" i="5"/>
  <c r="T430" i="5"/>
  <c r="M430" i="5"/>
  <c r="N430" i="5"/>
  <c r="R430" i="5"/>
  <c r="L429" i="5"/>
  <c r="K429" i="5"/>
  <c r="J429" i="5"/>
  <c r="I429" i="5"/>
  <c r="H429" i="5"/>
  <c r="G429" i="5"/>
  <c r="F429" i="5"/>
  <c r="E429" i="5"/>
  <c r="D429" i="5"/>
  <c r="O427" i="5"/>
  <c r="T427" i="5"/>
  <c r="M427" i="5"/>
  <c r="N427" i="5"/>
  <c r="R427" i="5"/>
  <c r="L426" i="5"/>
  <c r="K426" i="5"/>
  <c r="J426" i="5"/>
  <c r="I426" i="5"/>
  <c r="H426" i="5"/>
  <c r="G426" i="5"/>
  <c r="F426" i="5"/>
  <c r="E426" i="5"/>
  <c r="D426" i="5"/>
  <c r="O424" i="5"/>
  <c r="T424" i="5"/>
  <c r="M424" i="5"/>
  <c r="N424" i="5"/>
  <c r="R424" i="5"/>
  <c r="L423" i="5"/>
  <c r="K423" i="5"/>
  <c r="J423" i="5"/>
  <c r="I423" i="5"/>
  <c r="H423" i="5"/>
  <c r="G423" i="5"/>
  <c r="F423" i="5"/>
  <c r="E423" i="5"/>
  <c r="D423" i="5"/>
  <c r="O421" i="5"/>
  <c r="T421" i="5"/>
  <c r="M421" i="5"/>
  <c r="N421" i="5"/>
  <c r="R421" i="5"/>
  <c r="L420" i="5"/>
  <c r="K420" i="5"/>
  <c r="J420" i="5"/>
  <c r="I420" i="5"/>
  <c r="H420" i="5"/>
  <c r="G420" i="5"/>
  <c r="F420" i="5"/>
  <c r="E420" i="5"/>
  <c r="D420" i="5"/>
  <c r="O418" i="5"/>
  <c r="T418" i="5"/>
  <c r="M418" i="5"/>
  <c r="N418" i="5"/>
  <c r="R418" i="5"/>
  <c r="L417" i="5"/>
  <c r="K417" i="5"/>
  <c r="J417" i="5"/>
  <c r="I417" i="5"/>
  <c r="H417" i="5"/>
  <c r="G417" i="5"/>
  <c r="F417" i="5"/>
  <c r="E417" i="5"/>
  <c r="D417" i="5"/>
  <c r="O415" i="5"/>
  <c r="T415" i="5"/>
  <c r="M415" i="5"/>
  <c r="N415" i="5"/>
  <c r="R415" i="5"/>
  <c r="L414" i="5"/>
  <c r="K414" i="5"/>
  <c r="J414" i="5"/>
  <c r="I414" i="5"/>
  <c r="H414" i="5"/>
  <c r="G414" i="5"/>
  <c r="F414" i="5"/>
  <c r="E414" i="5"/>
  <c r="D414" i="5"/>
  <c r="O412" i="5"/>
  <c r="T412" i="5"/>
  <c r="M412" i="5"/>
  <c r="N412" i="5"/>
  <c r="R412" i="5"/>
  <c r="L411" i="5"/>
  <c r="K411" i="5"/>
  <c r="J411" i="5"/>
  <c r="I411" i="5"/>
  <c r="H411" i="5"/>
  <c r="G411" i="5"/>
  <c r="F411" i="5"/>
  <c r="E411" i="5"/>
  <c r="D411" i="5"/>
  <c r="O409" i="5"/>
  <c r="T409" i="5"/>
  <c r="M409" i="5"/>
  <c r="N409" i="5"/>
  <c r="R409" i="5"/>
  <c r="L408" i="5"/>
  <c r="K408" i="5"/>
  <c r="J408" i="5"/>
  <c r="I408" i="5"/>
  <c r="H408" i="5"/>
  <c r="G408" i="5"/>
  <c r="F408" i="5"/>
  <c r="E408" i="5"/>
  <c r="D408" i="5"/>
  <c r="O406" i="5"/>
  <c r="T406" i="5"/>
  <c r="M406" i="5"/>
  <c r="N406" i="5"/>
  <c r="R406" i="5"/>
  <c r="L405" i="5"/>
  <c r="K405" i="5"/>
  <c r="J405" i="5"/>
  <c r="I405" i="5"/>
  <c r="H405" i="5"/>
  <c r="G405" i="5"/>
  <c r="F405" i="5"/>
  <c r="E405" i="5"/>
  <c r="D405" i="5"/>
  <c r="O403" i="5"/>
  <c r="T403" i="5"/>
  <c r="M403" i="5"/>
  <c r="N403" i="5"/>
  <c r="R403" i="5"/>
  <c r="L402" i="5"/>
  <c r="K402" i="5"/>
  <c r="J402" i="5"/>
  <c r="I402" i="5"/>
  <c r="H402" i="5"/>
  <c r="G402" i="5"/>
  <c r="F402" i="5"/>
  <c r="E402" i="5"/>
  <c r="D402" i="5"/>
  <c r="O400" i="5"/>
  <c r="T400" i="5"/>
  <c r="M400" i="5"/>
  <c r="N400" i="5"/>
  <c r="R400" i="5"/>
  <c r="L399" i="5"/>
  <c r="K399" i="5"/>
  <c r="J399" i="5"/>
  <c r="I399" i="5"/>
  <c r="H399" i="5"/>
  <c r="G399" i="5"/>
  <c r="F399" i="5"/>
  <c r="E399" i="5"/>
  <c r="D399" i="5"/>
  <c r="O397" i="5"/>
  <c r="T397" i="5"/>
  <c r="M397" i="5"/>
  <c r="N397" i="5"/>
  <c r="R397" i="5"/>
  <c r="L396" i="5"/>
  <c r="K396" i="5"/>
  <c r="J396" i="5"/>
  <c r="I396" i="5"/>
  <c r="H396" i="5"/>
  <c r="G396" i="5"/>
  <c r="F396" i="5"/>
  <c r="E396" i="5"/>
  <c r="D396" i="5"/>
  <c r="O394" i="5"/>
  <c r="T394" i="5"/>
  <c r="M394" i="5"/>
  <c r="N394" i="5"/>
  <c r="R394" i="5"/>
  <c r="L393" i="5"/>
  <c r="K393" i="5"/>
  <c r="J393" i="5"/>
  <c r="I393" i="5"/>
  <c r="H393" i="5"/>
  <c r="G393" i="5"/>
  <c r="F393" i="5"/>
  <c r="E393" i="5"/>
  <c r="D393" i="5"/>
  <c r="O391" i="5"/>
  <c r="T391" i="5"/>
  <c r="M391" i="5"/>
  <c r="N391" i="5"/>
  <c r="R391" i="5"/>
  <c r="L390" i="5"/>
  <c r="K390" i="5"/>
  <c r="J390" i="5"/>
  <c r="I390" i="5"/>
  <c r="H390" i="5"/>
  <c r="G390" i="5"/>
  <c r="F390" i="5"/>
  <c r="E390" i="5"/>
  <c r="D390" i="5"/>
  <c r="O388" i="5"/>
  <c r="T388" i="5"/>
  <c r="M388" i="5"/>
  <c r="N388" i="5"/>
  <c r="R388" i="5"/>
  <c r="L387" i="5"/>
  <c r="K387" i="5"/>
  <c r="J387" i="5"/>
  <c r="I387" i="5"/>
  <c r="H387" i="5"/>
  <c r="G387" i="5"/>
  <c r="F387" i="5"/>
  <c r="E387" i="5"/>
  <c r="D387" i="5"/>
  <c r="O385" i="5"/>
  <c r="T385" i="5"/>
  <c r="M385" i="5"/>
  <c r="N385" i="5"/>
  <c r="R385" i="5"/>
  <c r="L384" i="5"/>
  <c r="K384" i="5"/>
  <c r="J384" i="5"/>
  <c r="I384" i="5"/>
  <c r="H384" i="5"/>
  <c r="G384" i="5"/>
  <c r="F384" i="5"/>
  <c r="E384" i="5"/>
  <c r="D384" i="5"/>
  <c r="O382" i="5"/>
  <c r="T382" i="5"/>
  <c r="M382" i="5"/>
  <c r="N382" i="5"/>
  <c r="R382" i="5"/>
  <c r="L381" i="5"/>
  <c r="K381" i="5"/>
  <c r="J381" i="5"/>
  <c r="I381" i="5"/>
  <c r="H381" i="5"/>
  <c r="G381" i="5"/>
  <c r="F381" i="5"/>
  <c r="E381" i="5"/>
  <c r="D381" i="5"/>
  <c r="O379" i="5"/>
  <c r="T379" i="5"/>
  <c r="M379" i="5"/>
  <c r="N379" i="5"/>
  <c r="R379" i="5"/>
  <c r="L378" i="5"/>
  <c r="K378" i="5"/>
  <c r="J378" i="5"/>
  <c r="I378" i="5"/>
  <c r="H378" i="5"/>
  <c r="G378" i="5"/>
  <c r="F378" i="5"/>
  <c r="E378" i="5"/>
  <c r="D378" i="5"/>
  <c r="O376" i="5"/>
  <c r="T376" i="5"/>
  <c r="M376" i="5"/>
  <c r="N376" i="5"/>
  <c r="R376" i="5"/>
  <c r="L375" i="5"/>
  <c r="K375" i="5"/>
  <c r="J375" i="5"/>
  <c r="I375" i="5"/>
  <c r="H375" i="5"/>
  <c r="G375" i="5"/>
  <c r="F375" i="5"/>
  <c r="E375" i="5"/>
  <c r="D375" i="5"/>
  <c r="O373" i="5"/>
  <c r="T373" i="5"/>
  <c r="M373" i="5"/>
  <c r="N373" i="5"/>
  <c r="R373" i="5"/>
  <c r="L372" i="5"/>
  <c r="K372" i="5"/>
  <c r="J372" i="5"/>
  <c r="I372" i="5"/>
  <c r="H372" i="5"/>
  <c r="G372" i="5"/>
  <c r="F372" i="5"/>
  <c r="E372" i="5"/>
  <c r="D372" i="5"/>
  <c r="O370" i="5"/>
  <c r="T370" i="5"/>
  <c r="M370" i="5"/>
  <c r="N370" i="5"/>
  <c r="R370" i="5"/>
  <c r="L369" i="5"/>
  <c r="K369" i="5"/>
  <c r="J369" i="5"/>
  <c r="I369" i="5"/>
  <c r="H369" i="5"/>
  <c r="G369" i="5"/>
  <c r="F369" i="5"/>
  <c r="E369" i="5"/>
  <c r="D369" i="5"/>
  <c r="O367" i="5"/>
  <c r="T367" i="5"/>
  <c r="M367" i="5"/>
  <c r="N367" i="5"/>
  <c r="R367" i="5"/>
  <c r="L366" i="5"/>
  <c r="K366" i="5"/>
  <c r="J366" i="5"/>
  <c r="I366" i="5"/>
  <c r="H366" i="5"/>
  <c r="G366" i="5"/>
  <c r="F366" i="5"/>
  <c r="E366" i="5"/>
  <c r="D366" i="5"/>
  <c r="O364" i="5"/>
  <c r="T364" i="5"/>
  <c r="M364" i="5"/>
  <c r="N364" i="5"/>
  <c r="R364" i="5"/>
  <c r="L363" i="5"/>
  <c r="K363" i="5"/>
  <c r="J363" i="5"/>
  <c r="I363" i="5"/>
  <c r="H363" i="5"/>
  <c r="G363" i="5"/>
  <c r="F363" i="5"/>
  <c r="E363" i="5"/>
  <c r="D363" i="5"/>
  <c r="O361" i="5"/>
  <c r="T361" i="5"/>
  <c r="M361" i="5"/>
  <c r="N361" i="5"/>
  <c r="R361" i="5"/>
  <c r="L360" i="5"/>
  <c r="K360" i="5"/>
  <c r="J360" i="5"/>
  <c r="I360" i="5"/>
  <c r="H360" i="5"/>
  <c r="G360" i="5"/>
  <c r="F360" i="5"/>
  <c r="E360" i="5"/>
  <c r="D360" i="5"/>
  <c r="O358" i="5"/>
  <c r="T358" i="5"/>
  <c r="M358" i="5"/>
  <c r="N358" i="5"/>
  <c r="R358" i="5"/>
  <c r="L357" i="5"/>
  <c r="K357" i="5"/>
  <c r="J357" i="5"/>
  <c r="I357" i="5"/>
  <c r="H357" i="5"/>
  <c r="G357" i="5"/>
  <c r="F357" i="5"/>
  <c r="E357" i="5"/>
  <c r="D357" i="5"/>
  <c r="O355" i="5"/>
  <c r="T355" i="5"/>
  <c r="M355" i="5"/>
  <c r="N355" i="5"/>
  <c r="R355" i="5"/>
  <c r="L354" i="5"/>
  <c r="K354" i="5"/>
  <c r="J354" i="5"/>
  <c r="I354" i="5"/>
  <c r="H354" i="5"/>
  <c r="G354" i="5"/>
  <c r="F354" i="5"/>
  <c r="E354" i="5"/>
  <c r="D354" i="5"/>
  <c r="O352" i="5"/>
  <c r="T352" i="5"/>
  <c r="M352" i="5"/>
  <c r="N352" i="5"/>
  <c r="R352" i="5"/>
  <c r="L351" i="5"/>
  <c r="K351" i="5"/>
  <c r="J351" i="5"/>
  <c r="I351" i="5"/>
  <c r="H351" i="5"/>
  <c r="G351" i="5"/>
  <c r="F351" i="5"/>
  <c r="E351" i="5"/>
  <c r="D351" i="5"/>
  <c r="O349" i="5"/>
  <c r="T349" i="5"/>
  <c r="M349" i="5"/>
  <c r="N349" i="5"/>
  <c r="R349" i="5"/>
  <c r="L348" i="5"/>
  <c r="K348" i="5"/>
  <c r="J348" i="5"/>
  <c r="I348" i="5"/>
  <c r="H348" i="5"/>
  <c r="G348" i="5"/>
  <c r="F348" i="5"/>
  <c r="E348" i="5"/>
  <c r="D348" i="5"/>
  <c r="O346" i="5"/>
  <c r="T346" i="5"/>
  <c r="M346" i="5"/>
  <c r="N346" i="5"/>
  <c r="R346" i="5"/>
  <c r="L345" i="5"/>
  <c r="K345" i="5"/>
  <c r="J345" i="5"/>
  <c r="I345" i="5"/>
  <c r="H345" i="5"/>
  <c r="G345" i="5"/>
  <c r="F345" i="5"/>
  <c r="E345" i="5"/>
  <c r="D345" i="5"/>
  <c r="O343" i="5"/>
  <c r="T343" i="5"/>
  <c r="M343" i="5"/>
  <c r="N343" i="5"/>
  <c r="R343" i="5"/>
  <c r="L342" i="5"/>
  <c r="K342" i="5"/>
  <c r="J342" i="5"/>
  <c r="I342" i="5"/>
  <c r="H342" i="5"/>
  <c r="G342" i="5"/>
  <c r="F342" i="5"/>
  <c r="E342" i="5"/>
  <c r="D342" i="5"/>
  <c r="O340" i="5"/>
  <c r="T340" i="5"/>
  <c r="M340" i="5"/>
  <c r="N340" i="5"/>
  <c r="R340" i="5"/>
  <c r="L339" i="5"/>
  <c r="K339" i="5"/>
  <c r="J339" i="5"/>
  <c r="I339" i="5"/>
  <c r="H339" i="5"/>
  <c r="G339" i="5"/>
  <c r="F339" i="5"/>
  <c r="E339" i="5"/>
  <c r="D339" i="5"/>
  <c r="O337" i="5"/>
  <c r="T337" i="5"/>
  <c r="M337" i="5"/>
  <c r="N337" i="5"/>
  <c r="R337" i="5"/>
  <c r="L336" i="5"/>
  <c r="K336" i="5"/>
  <c r="J336" i="5"/>
  <c r="I336" i="5"/>
  <c r="H336" i="5"/>
  <c r="G336" i="5"/>
  <c r="F336" i="5"/>
  <c r="E336" i="5"/>
  <c r="D336" i="5"/>
  <c r="O334" i="5"/>
  <c r="T334" i="5"/>
  <c r="M334" i="5"/>
  <c r="N334" i="5"/>
  <c r="R334" i="5"/>
  <c r="L333" i="5"/>
  <c r="K333" i="5"/>
  <c r="J333" i="5"/>
  <c r="I333" i="5"/>
  <c r="H333" i="5"/>
  <c r="G333" i="5"/>
  <c r="F333" i="5"/>
  <c r="E333" i="5"/>
  <c r="D333" i="5"/>
  <c r="O331" i="5"/>
  <c r="T331" i="5"/>
  <c r="M331" i="5"/>
  <c r="N331" i="5"/>
  <c r="R331" i="5"/>
  <c r="L330" i="5"/>
  <c r="K330" i="5"/>
  <c r="J330" i="5"/>
  <c r="I330" i="5"/>
  <c r="H330" i="5"/>
  <c r="G330" i="5"/>
  <c r="F330" i="5"/>
  <c r="E330" i="5"/>
  <c r="D330" i="5"/>
  <c r="O328" i="5"/>
  <c r="T328" i="5"/>
  <c r="M328" i="5"/>
  <c r="N328" i="5"/>
  <c r="R328" i="5"/>
  <c r="L327" i="5"/>
  <c r="K327" i="5"/>
  <c r="J327" i="5"/>
  <c r="I327" i="5"/>
  <c r="H327" i="5"/>
  <c r="G327" i="5"/>
  <c r="F327" i="5"/>
  <c r="E327" i="5"/>
  <c r="D327" i="5"/>
  <c r="O325" i="5"/>
  <c r="T325" i="5"/>
  <c r="M325" i="5"/>
  <c r="N325" i="5"/>
  <c r="R325" i="5"/>
  <c r="L324" i="5"/>
  <c r="K324" i="5"/>
  <c r="J324" i="5"/>
  <c r="I324" i="5"/>
  <c r="H324" i="5"/>
  <c r="G324" i="5"/>
  <c r="F324" i="5"/>
  <c r="E324" i="5"/>
  <c r="D324" i="5"/>
  <c r="O322" i="5"/>
  <c r="T322" i="5"/>
  <c r="M322" i="5"/>
  <c r="N322" i="5"/>
  <c r="R322" i="5"/>
  <c r="L321" i="5"/>
  <c r="K321" i="5"/>
  <c r="J321" i="5"/>
  <c r="I321" i="5"/>
  <c r="H321" i="5"/>
  <c r="G321" i="5"/>
  <c r="F321" i="5"/>
  <c r="E321" i="5"/>
  <c r="D321" i="5"/>
  <c r="O319" i="5"/>
  <c r="T319" i="5"/>
  <c r="M319" i="5"/>
  <c r="N319" i="5"/>
  <c r="R319" i="5"/>
  <c r="L318" i="5"/>
  <c r="K318" i="5"/>
  <c r="J318" i="5"/>
  <c r="I318" i="5"/>
  <c r="H318" i="5"/>
  <c r="G318" i="5"/>
  <c r="F318" i="5"/>
  <c r="E318" i="5"/>
  <c r="D318" i="5"/>
  <c r="O316" i="5"/>
  <c r="T316" i="5"/>
  <c r="M316" i="5"/>
  <c r="N316" i="5"/>
  <c r="R316" i="5"/>
  <c r="L315" i="5"/>
  <c r="K315" i="5"/>
  <c r="J315" i="5"/>
  <c r="I315" i="5"/>
  <c r="H315" i="5"/>
  <c r="G315" i="5"/>
  <c r="F315" i="5"/>
  <c r="E315" i="5"/>
  <c r="D315" i="5"/>
  <c r="O313" i="5"/>
  <c r="T313" i="5"/>
  <c r="M313" i="5"/>
  <c r="N313" i="5"/>
  <c r="R313" i="5"/>
  <c r="L312" i="5"/>
  <c r="K312" i="5"/>
  <c r="J312" i="5"/>
  <c r="I312" i="5"/>
  <c r="H312" i="5"/>
  <c r="G312" i="5"/>
  <c r="F312" i="5"/>
  <c r="E312" i="5"/>
  <c r="D312" i="5"/>
  <c r="O310" i="5"/>
  <c r="T310" i="5"/>
  <c r="M310" i="5"/>
  <c r="N310" i="5"/>
  <c r="R310" i="5"/>
  <c r="L309" i="5"/>
  <c r="K309" i="5"/>
  <c r="J309" i="5"/>
  <c r="I309" i="5"/>
  <c r="H309" i="5"/>
  <c r="G309" i="5"/>
  <c r="F309" i="5"/>
  <c r="E309" i="5"/>
  <c r="D309" i="5"/>
  <c r="O307" i="5"/>
  <c r="T307" i="5"/>
  <c r="M307" i="5"/>
  <c r="N307" i="5"/>
  <c r="R307" i="5"/>
  <c r="L306" i="5"/>
  <c r="K306" i="5"/>
  <c r="J306" i="5"/>
  <c r="I306" i="5"/>
  <c r="H306" i="5"/>
  <c r="G306" i="5"/>
  <c r="F306" i="5"/>
  <c r="E306" i="5"/>
  <c r="D306" i="5"/>
  <c r="O304" i="5"/>
  <c r="T304" i="5"/>
  <c r="M304" i="5"/>
  <c r="N304" i="5"/>
  <c r="R304" i="5"/>
  <c r="L303" i="5"/>
  <c r="K303" i="5"/>
  <c r="J303" i="5"/>
  <c r="I303" i="5"/>
  <c r="H303" i="5"/>
  <c r="G303" i="5"/>
  <c r="F303" i="5"/>
  <c r="E303" i="5"/>
  <c r="D303" i="5"/>
  <c r="O301" i="5"/>
  <c r="T301" i="5"/>
  <c r="M301" i="5"/>
  <c r="N301" i="5"/>
  <c r="R301" i="5"/>
  <c r="L300" i="5"/>
  <c r="K300" i="5"/>
  <c r="J300" i="5"/>
  <c r="I300" i="5"/>
  <c r="H300" i="5"/>
  <c r="G300" i="5"/>
  <c r="F300" i="5"/>
  <c r="E300" i="5"/>
  <c r="D300" i="5"/>
  <c r="O298" i="5"/>
  <c r="T298" i="5"/>
  <c r="M298" i="5"/>
  <c r="N298" i="5"/>
  <c r="R298" i="5"/>
  <c r="L297" i="5"/>
  <c r="K297" i="5"/>
  <c r="J297" i="5"/>
  <c r="I297" i="5"/>
  <c r="H297" i="5"/>
  <c r="G297" i="5"/>
  <c r="F297" i="5"/>
  <c r="E297" i="5"/>
  <c r="D297" i="5"/>
  <c r="O295" i="5"/>
  <c r="T295" i="5"/>
  <c r="M295" i="5"/>
  <c r="N295" i="5"/>
  <c r="R295" i="5"/>
  <c r="L294" i="5"/>
  <c r="K294" i="5"/>
  <c r="J294" i="5"/>
  <c r="I294" i="5"/>
  <c r="H294" i="5"/>
  <c r="G294" i="5"/>
  <c r="F294" i="5"/>
  <c r="E294" i="5"/>
  <c r="D294" i="5"/>
  <c r="O292" i="5"/>
  <c r="T292" i="5"/>
  <c r="M292" i="5"/>
  <c r="N292" i="5"/>
  <c r="R292" i="5"/>
  <c r="L291" i="5"/>
  <c r="K291" i="5"/>
  <c r="J291" i="5"/>
  <c r="I291" i="5"/>
  <c r="H291" i="5"/>
  <c r="G291" i="5"/>
  <c r="F291" i="5"/>
  <c r="E291" i="5"/>
  <c r="D291" i="5"/>
  <c r="O289" i="5"/>
  <c r="T289" i="5"/>
  <c r="M289" i="5"/>
  <c r="N289" i="5"/>
  <c r="R289" i="5"/>
  <c r="L288" i="5"/>
  <c r="K288" i="5"/>
  <c r="J288" i="5"/>
  <c r="I288" i="5"/>
  <c r="H288" i="5"/>
  <c r="G288" i="5"/>
  <c r="F288" i="5"/>
  <c r="E288" i="5"/>
  <c r="D288" i="5"/>
  <c r="O286" i="5"/>
  <c r="T286" i="5"/>
  <c r="M286" i="5"/>
  <c r="N286" i="5"/>
  <c r="R286" i="5"/>
  <c r="L285" i="5"/>
  <c r="K285" i="5"/>
  <c r="J285" i="5"/>
  <c r="I285" i="5"/>
  <c r="H285" i="5"/>
  <c r="G285" i="5"/>
  <c r="F285" i="5"/>
  <c r="E285" i="5"/>
  <c r="D285" i="5"/>
  <c r="O283" i="5"/>
  <c r="T283" i="5"/>
  <c r="M283" i="5"/>
  <c r="N283" i="5"/>
  <c r="R283" i="5"/>
  <c r="L282" i="5"/>
  <c r="K282" i="5"/>
  <c r="J282" i="5"/>
  <c r="I282" i="5"/>
  <c r="H282" i="5"/>
  <c r="G282" i="5"/>
  <c r="F282" i="5"/>
  <c r="E282" i="5"/>
  <c r="D282" i="5"/>
  <c r="O280" i="5"/>
  <c r="T280" i="5"/>
  <c r="M280" i="5"/>
  <c r="N280" i="5"/>
  <c r="R280" i="5"/>
  <c r="L279" i="5"/>
  <c r="K279" i="5"/>
  <c r="J279" i="5"/>
  <c r="I279" i="5"/>
  <c r="H279" i="5"/>
  <c r="G279" i="5"/>
  <c r="F279" i="5"/>
  <c r="E279" i="5"/>
  <c r="D279" i="5"/>
  <c r="O277" i="5"/>
  <c r="T277" i="5"/>
  <c r="M277" i="5"/>
  <c r="N277" i="5"/>
  <c r="R277" i="5"/>
  <c r="L276" i="5"/>
  <c r="K276" i="5"/>
  <c r="J276" i="5"/>
  <c r="I276" i="5"/>
  <c r="H276" i="5"/>
  <c r="G276" i="5"/>
  <c r="F276" i="5"/>
  <c r="E276" i="5"/>
  <c r="D276" i="5"/>
  <c r="O274" i="5"/>
  <c r="T274" i="5"/>
  <c r="M274" i="5"/>
  <c r="N274" i="5"/>
  <c r="R274" i="5"/>
  <c r="L273" i="5"/>
  <c r="K273" i="5"/>
  <c r="J273" i="5"/>
  <c r="I273" i="5"/>
  <c r="H273" i="5"/>
  <c r="G273" i="5"/>
  <c r="F273" i="5"/>
  <c r="E273" i="5"/>
  <c r="D273" i="5"/>
  <c r="O271" i="5"/>
  <c r="T271" i="5"/>
  <c r="M271" i="5"/>
  <c r="N271" i="5"/>
  <c r="R271" i="5"/>
  <c r="L270" i="5"/>
  <c r="K270" i="5"/>
  <c r="J270" i="5"/>
  <c r="I270" i="5"/>
  <c r="H270" i="5"/>
  <c r="G270" i="5"/>
  <c r="F270" i="5"/>
  <c r="E270" i="5"/>
  <c r="D270" i="5"/>
  <c r="O268" i="5"/>
  <c r="T268" i="5"/>
  <c r="M268" i="5"/>
  <c r="N268" i="5"/>
  <c r="R268" i="5"/>
  <c r="L267" i="5"/>
  <c r="K267" i="5"/>
  <c r="J267" i="5"/>
  <c r="I267" i="5"/>
  <c r="H267" i="5"/>
  <c r="G267" i="5"/>
  <c r="F267" i="5"/>
  <c r="E267" i="5"/>
  <c r="D267" i="5"/>
  <c r="O265" i="5"/>
  <c r="T265" i="5"/>
  <c r="M265" i="5"/>
  <c r="N265" i="5"/>
  <c r="R265" i="5"/>
  <c r="L264" i="5"/>
  <c r="K264" i="5"/>
  <c r="J264" i="5"/>
  <c r="I264" i="5"/>
  <c r="H264" i="5"/>
  <c r="G264" i="5"/>
  <c r="F264" i="5"/>
  <c r="E264" i="5"/>
  <c r="D264" i="5"/>
  <c r="O262" i="5"/>
  <c r="T262" i="5"/>
  <c r="M262" i="5"/>
  <c r="N262" i="5"/>
  <c r="R262" i="5"/>
  <c r="L261" i="5"/>
  <c r="K261" i="5"/>
  <c r="J261" i="5"/>
  <c r="I261" i="5"/>
  <c r="H261" i="5"/>
  <c r="G261" i="5"/>
  <c r="F261" i="5"/>
  <c r="E261" i="5"/>
  <c r="D261" i="5"/>
  <c r="O259" i="5"/>
  <c r="T259" i="5"/>
  <c r="M259" i="5"/>
  <c r="N259" i="5"/>
  <c r="R259" i="5"/>
  <c r="L258" i="5"/>
  <c r="K258" i="5"/>
  <c r="J258" i="5"/>
  <c r="I258" i="5"/>
  <c r="H258" i="5"/>
  <c r="G258" i="5"/>
  <c r="F258" i="5"/>
  <c r="E258" i="5"/>
  <c r="D258" i="5"/>
  <c r="O256" i="5"/>
  <c r="T256" i="5"/>
  <c r="M256" i="5"/>
  <c r="N256" i="5"/>
  <c r="R256" i="5"/>
  <c r="L255" i="5"/>
  <c r="K255" i="5"/>
  <c r="J255" i="5"/>
  <c r="I255" i="5"/>
  <c r="H255" i="5"/>
  <c r="G255" i="5"/>
  <c r="F255" i="5"/>
  <c r="E255" i="5"/>
  <c r="D255" i="5"/>
  <c r="O253" i="5"/>
  <c r="T253" i="5"/>
  <c r="M253" i="5"/>
  <c r="N253" i="5"/>
  <c r="R253" i="5"/>
  <c r="L252" i="5"/>
  <c r="K252" i="5"/>
  <c r="J252" i="5"/>
  <c r="I252" i="5"/>
  <c r="H252" i="5"/>
  <c r="G252" i="5"/>
  <c r="F252" i="5"/>
  <c r="E252" i="5"/>
  <c r="D252" i="5"/>
  <c r="O250" i="5"/>
  <c r="T250" i="5"/>
  <c r="M250" i="5"/>
  <c r="N250" i="5"/>
  <c r="R250" i="5"/>
  <c r="L249" i="5"/>
  <c r="K249" i="5"/>
  <c r="J249" i="5"/>
  <c r="I249" i="5"/>
  <c r="H249" i="5"/>
  <c r="G249" i="5"/>
  <c r="F249" i="5"/>
  <c r="E249" i="5"/>
  <c r="D249" i="5"/>
  <c r="O247" i="5"/>
  <c r="T247" i="5"/>
  <c r="M247" i="5"/>
  <c r="N247" i="5"/>
  <c r="R247" i="5"/>
  <c r="L246" i="5"/>
  <c r="K246" i="5"/>
  <c r="J246" i="5"/>
  <c r="I246" i="5"/>
  <c r="H246" i="5"/>
  <c r="G246" i="5"/>
  <c r="F246" i="5"/>
  <c r="E246" i="5"/>
  <c r="D246" i="5"/>
  <c r="O244" i="5"/>
  <c r="T244" i="5"/>
  <c r="M244" i="5"/>
  <c r="N244" i="5"/>
  <c r="R244" i="5"/>
  <c r="L243" i="5"/>
  <c r="K243" i="5"/>
  <c r="J243" i="5"/>
  <c r="I243" i="5"/>
  <c r="H243" i="5"/>
  <c r="G243" i="5"/>
  <c r="F243" i="5"/>
  <c r="E243" i="5"/>
  <c r="D243" i="5"/>
  <c r="O241" i="5"/>
  <c r="T241" i="5"/>
  <c r="M241" i="5"/>
  <c r="N241" i="5"/>
  <c r="R241" i="5"/>
  <c r="L240" i="5"/>
  <c r="K240" i="5"/>
  <c r="J240" i="5"/>
  <c r="I240" i="5"/>
  <c r="H240" i="5"/>
  <c r="G240" i="5"/>
  <c r="F240" i="5"/>
  <c r="E240" i="5"/>
  <c r="D240" i="5"/>
  <c r="O238" i="5"/>
  <c r="T238" i="5"/>
  <c r="M238" i="5"/>
  <c r="N238" i="5"/>
  <c r="R238" i="5"/>
  <c r="L237" i="5"/>
  <c r="K237" i="5"/>
  <c r="J237" i="5"/>
  <c r="I237" i="5"/>
  <c r="H237" i="5"/>
  <c r="G237" i="5"/>
  <c r="F237" i="5"/>
  <c r="E237" i="5"/>
  <c r="D237" i="5"/>
  <c r="O235" i="5"/>
  <c r="T235" i="5"/>
  <c r="M235" i="5"/>
  <c r="N235" i="5"/>
  <c r="R235" i="5"/>
  <c r="L234" i="5"/>
  <c r="K234" i="5"/>
  <c r="J234" i="5"/>
  <c r="I234" i="5"/>
  <c r="H234" i="5"/>
  <c r="G234" i="5"/>
  <c r="F234" i="5"/>
  <c r="E234" i="5"/>
  <c r="D234" i="5"/>
  <c r="O232" i="5"/>
  <c r="T232" i="5"/>
  <c r="M232" i="5"/>
  <c r="N232" i="5"/>
  <c r="R232" i="5"/>
  <c r="L231" i="5"/>
  <c r="K231" i="5"/>
  <c r="J231" i="5"/>
  <c r="I231" i="5"/>
  <c r="H231" i="5"/>
  <c r="G231" i="5"/>
  <c r="F231" i="5"/>
  <c r="E231" i="5"/>
  <c r="D231" i="5"/>
  <c r="O229" i="5"/>
  <c r="T229" i="5"/>
  <c r="M229" i="5"/>
  <c r="N229" i="5"/>
  <c r="R229" i="5"/>
  <c r="L228" i="5"/>
  <c r="K228" i="5"/>
  <c r="J228" i="5"/>
  <c r="I228" i="5"/>
  <c r="H228" i="5"/>
  <c r="G228" i="5"/>
  <c r="F228" i="5"/>
  <c r="E228" i="5"/>
  <c r="D228" i="5"/>
  <c r="O226" i="5"/>
  <c r="T226" i="5"/>
  <c r="M226" i="5"/>
  <c r="N226" i="5"/>
  <c r="R226" i="5"/>
  <c r="L225" i="5"/>
  <c r="K225" i="5"/>
  <c r="J225" i="5"/>
  <c r="I225" i="5"/>
  <c r="H225" i="5"/>
  <c r="G225" i="5"/>
  <c r="F225" i="5"/>
  <c r="E225" i="5"/>
  <c r="D225" i="5"/>
  <c r="O223" i="5"/>
  <c r="T223" i="5"/>
  <c r="M223" i="5"/>
  <c r="N223" i="5"/>
  <c r="R223" i="5"/>
  <c r="L222" i="5"/>
  <c r="K222" i="5"/>
  <c r="J222" i="5"/>
  <c r="I222" i="5"/>
  <c r="H222" i="5"/>
  <c r="G222" i="5"/>
  <c r="F222" i="5"/>
  <c r="E222" i="5"/>
  <c r="D222" i="5"/>
  <c r="O220" i="5"/>
  <c r="T220" i="5"/>
  <c r="M220" i="5"/>
  <c r="N220" i="5"/>
  <c r="R220" i="5"/>
  <c r="L219" i="5"/>
  <c r="K219" i="5"/>
  <c r="J219" i="5"/>
  <c r="I219" i="5"/>
  <c r="H219" i="5"/>
  <c r="G219" i="5"/>
  <c r="F219" i="5"/>
  <c r="E219" i="5"/>
  <c r="D219" i="5"/>
  <c r="O217" i="5"/>
  <c r="T217" i="5"/>
  <c r="M217" i="5"/>
  <c r="N217" i="5"/>
  <c r="R217" i="5"/>
  <c r="L216" i="5"/>
  <c r="K216" i="5"/>
  <c r="J216" i="5"/>
  <c r="I216" i="5"/>
  <c r="H216" i="5"/>
  <c r="G216" i="5"/>
  <c r="F216" i="5"/>
  <c r="E216" i="5"/>
  <c r="D216" i="5"/>
  <c r="O214" i="5"/>
  <c r="T214" i="5"/>
  <c r="M214" i="5"/>
  <c r="N214" i="5"/>
  <c r="R214" i="5"/>
  <c r="L213" i="5"/>
  <c r="K213" i="5"/>
  <c r="J213" i="5"/>
  <c r="I213" i="5"/>
  <c r="H213" i="5"/>
  <c r="G213" i="5"/>
  <c r="F213" i="5"/>
  <c r="E213" i="5"/>
  <c r="D213" i="5"/>
  <c r="O211" i="5"/>
  <c r="T211" i="5"/>
  <c r="M211" i="5"/>
  <c r="N211" i="5"/>
  <c r="R211" i="5"/>
  <c r="L210" i="5"/>
  <c r="K210" i="5"/>
  <c r="J210" i="5"/>
  <c r="I210" i="5"/>
  <c r="H210" i="5"/>
  <c r="G210" i="5"/>
  <c r="F210" i="5"/>
  <c r="E210" i="5"/>
  <c r="D210" i="5"/>
  <c r="O208" i="5"/>
  <c r="T208" i="5"/>
  <c r="M208" i="5"/>
  <c r="N208" i="5"/>
  <c r="R208" i="5"/>
  <c r="L207" i="5"/>
  <c r="K207" i="5"/>
  <c r="J207" i="5"/>
  <c r="I207" i="5"/>
  <c r="H207" i="5"/>
  <c r="G207" i="5"/>
  <c r="F207" i="5"/>
  <c r="E207" i="5"/>
  <c r="D207" i="5"/>
  <c r="O205" i="5"/>
  <c r="T205" i="5"/>
  <c r="M205" i="5"/>
  <c r="N205" i="5"/>
  <c r="R205" i="5"/>
  <c r="L204" i="5"/>
  <c r="K204" i="5"/>
  <c r="J204" i="5"/>
  <c r="I204" i="5"/>
  <c r="H204" i="5"/>
  <c r="G204" i="5"/>
  <c r="F204" i="5"/>
  <c r="E204" i="5"/>
  <c r="D204" i="5"/>
  <c r="O202" i="5"/>
  <c r="T202" i="5"/>
  <c r="M202" i="5"/>
  <c r="N202" i="5"/>
  <c r="R202" i="5"/>
  <c r="L201" i="5"/>
  <c r="K201" i="5"/>
  <c r="J201" i="5"/>
  <c r="I201" i="5"/>
  <c r="H201" i="5"/>
  <c r="G201" i="5"/>
  <c r="F201" i="5"/>
  <c r="E201" i="5"/>
  <c r="D201" i="5"/>
  <c r="O199" i="5"/>
  <c r="T199" i="5"/>
  <c r="M199" i="5"/>
  <c r="N199" i="5"/>
  <c r="R199" i="5"/>
  <c r="L198" i="5"/>
  <c r="K198" i="5"/>
  <c r="J198" i="5"/>
  <c r="I198" i="5"/>
  <c r="H198" i="5"/>
  <c r="G198" i="5"/>
  <c r="F198" i="5"/>
  <c r="E198" i="5"/>
  <c r="D198" i="5"/>
  <c r="O196" i="5"/>
  <c r="T196" i="5"/>
  <c r="M196" i="5"/>
  <c r="N196" i="5"/>
  <c r="R196" i="5"/>
  <c r="L195" i="5"/>
  <c r="K195" i="5"/>
  <c r="J195" i="5"/>
  <c r="I195" i="5"/>
  <c r="H195" i="5"/>
  <c r="G195" i="5"/>
  <c r="F195" i="5"/>
  <c r="E195" i="5"/>
  <c r="D195" i="5"/>
  <c r="O193" i="5"/>
  <c r="T193" i="5"/>
  <c r="M193" i="5"/>
  <c r="N193" i="5"/>
  <c r="R193" i="5"/>
  <c r="L192" i="5"/>
  <c r="K192" i="5"/>
  <c r="J192" i="5"/>
  <c r="I192" i="5"/>
  <c r="H192" i="5"/>
  <c r="G192" i="5"/>
  <c r="F192" i="5"/>
  <c r="E192" i="5"/>
  <c r="D192" i="5"/>
  <c r="O190" i="5"/>
  <c r="T190" i="5"/>
  <c r="M190" i="5"/>
  <c r="N190" i="5"/>
  <c r="R190" i="5"/>
  <c r="L189" i="5"/>
  <c r="K189" i="5"/>
  <c r="J189" i="5"/>
  <c r="I189" i="5"/>
  <c r="H189" i="5"/>
  <c r="G189" i="5"/>
  <c r="F189" i="5"/>
  <c r="E189" i="5"/>
  <c r="D189" i="5"/>
  <c r="O187" i="5"/>
  <c r="T187" i="5"/>
  <c r="M187" i="5"/>
  <c r="N187" i="5"/>
  <c r="R187" i="5"/>
  <c r="L186" i="5"/>
  <c r="K186" i="5"/>
  <c r="J186" i="5"/>
  <c r="I186" i="5"/>
  <c r="H186" i="5"/>
  <c r="G186" i="5"/>
  <c r="F186" i="5"/>
  <c r="E186" i="5"/>
  <c r="D186" i="5"/>
  <c r="O184" i="5"/>
  <c r="T184" i="5"/>
  <c r="M184" i="5"/>
  <c r="N184" i="5"/>
  <c r="R184" i="5"/>
  <c r="L183" i="5"/>
  <c r="K183" i="5"/>
  <c r="J183" i="5"/>
  <c r="I183" i="5"/>
  <c r="H183" i="5"/>
  <c r="G183" i="5"/>
  <c r="F183" i="5"/>
  <c r="E183" i="5"/>
  <c r="D183" i="5"/>
  <c r="O181" i="5"/>
  <c r="T181" i="5"/>
  <c r="M181" i="5"/>
  <c r="N181" i="5"/>
  <c r="R181" i="5"/>
  <c r="L180" i="5"/>
  <c r="K180" i="5"/>
  <c r="J180" i="5"/>
  <c r="I180" i="5"/>
  <c r="H180" i="5"/>
  <c r="G180" i="5"/>
  <c r="F180" i="5"/>
  <c r="E180" i="5"/>
  <c r="D180" i="5"/>
  <c r="O178" i="5"/>
  <c r="T178" i="5"/>
  <c r="M178" i="5"/>
  <c r="N178" i="5"/>
  <c r="R178" i="5"/>
  <c r="L177" i="5"/>
  <c r="K177" i="5"/>
  <c r="J177" i="5"/>
  <c r="I177" i="5"/>
  <c r="H177" i="5"/>
  <c r="G177" i="5"/>
  <c r="F177" i="5"/>
  <c r="E177" i="5"/>
  <c r="D177" i="5"/>
  <c r="O175" i="5"/>
  <c r="T175" i="5"/>
  <c r="M175" i="5"/>
  <c r="N175" i="5"/>
  <c r="R175" i="5"/>
  <c r="L174" i="5"/>
  <c r="K174" i="5"/>
  <c r="J174" i="5"/>
  <c r="I174" i="5"/>
  <c r="H174" i="5"/>
  <c r="G174" i="5"/>
  <c r="F174" i="5"/>
  <c r="E174" i="5"/>
  <c r="D174" i="5"/>
  <c r="O172" i="5"/>
  <c r="T172" i="5"/>
  <c r="M172" i="5"/>
  <c r="N172" i="5"/>
  <c r="R172" i="5"/>
  <c r="L171" i="5"/>
  <c r="K171" i="5"/>
  <c r="J171" i="5"/>
  <c r="I171" i="5"/>
  <c r="H171" i="5"/>
  <c r="G171" i="5"/>
  <c r="F171" i="5"/>
  <c r="E171" i="5"/>
  <c r="D171" i="5"/>
  <c r="O169" i="5"/>
  <c r="T169" i="5"/>
  <c r="M169" i="5"/>
  <c r="N169" i="5"/>
  <c r="R169" i="5"/>
  <c r="L168" i="5"/>
  <c r="K168" i="5"/>
  <c r="J168" i="5"/>
  <c r="I168" i="5"/>
  <c r="H168" i="5"/>
  <c r="G168" i="5"/>
  <c r="F168" i="5"/>
  <c r="E168" i="5"/>
  <c r="D168" i="5"/>
  <c r="O166" i="5"/>
  <c r="T166" i="5"/>
  <c r="M166" i="5"/>
  <c r="N166" i="5"/>
  <c r="R166" i="5"/>
  <c r="L165" i="5"/>
  <c r="K165" i="5"/>
  <c r="J165" i="5"/>
  <c r="I165" i="5"/>
  <c r="H165" i="5"/>
  <c r="G165" i="5"/>
  <c r="F165" i="5"/>
  <c r="E165" i="5"/>
  <c r="D165" i="5"/>
  <c r="O163" i="5"/>
  <c r="T163" i="5"/>
  <c r="M163" i="5"/>
  <c r="N163" i="5"/>
  <c r="R163" i="5"/>
  <c r="L162" i="5"/>
  <c r="K162" i="5"/>
  <c r="J162" i="5"/>
  <c r="I162" i="5"/>
  <c r="H162" i="5"/>
  <c r="G162" i="5"/>
  <c r="F162" i="5"/>
  <c r="E162" i="5"/>
  <c r="D162" i="5"/>
  <c r="O160" i="5"/>
  <c r="T160" i="5"/>
  <c r="M160" i="5"/>
  <c r="N160" i="5"/>
  <c r="R160" i="5"/>
  <c r="L159" i="5"/>
  <c r="K159" i="5"/>
  <c r="J159" i="5"/>
  <c r="I159" i="5"/>
  <c r="H159" i="5"/>
  <c r="G159" i="5"/>
  <c r="F159" i="5"/>
  <c r="E159" i="5"/>
  <c r="D159" i="5"/>
  <c r="O157" i="5"/>
  <c r="T157" i="5"/>
  <c r="M157" i="5"/>
  <c r="N157" i="5"/>
  <c r="R157" i="5"/>
  <c r="L156" i="5"/>
  <c r="K156" i="5"/>
  <c r="J156" i="5"/>
  <c r="I156" i="5"/>
  <c r="H156" i="5"/>
  <c r="G156" i="5"/>
  <c r="F156" i="5"/>
  <c r="E156" i="5"/>
  <c r="D156" i="5"/>
  <c r="O154" i="5"/>
  <c r="T154" i="5"/>
  <c r="M154" i="5"/>
  <c r="N154" i="5"/>
  <c r="R154" i="5"/>
  <c r="L153" i="5"/>
  <c r="K153" i="5"/>
  <c r="J153" i="5"/>
  <c r="I153" i="5"/>
  <c r="H153" i="5"/>
  <c r="G153" i="5"/>
  <c r="F153" i="5"/>
  <c r="E153" i="5"/>
  <c r="D153" i="5"/>
  <c r="O151" i="5"/>
  <c r="T151" i="5"/>
  <c r="M151" i="5"/>
  <c r="N151" i="5"/>
  <c r="R151" i="5"/>
  <c r="L150" i="5"/>
  <c r="K150" i="5"/>
  <c r="J150" i="5"/>
  <c r="I150" i="5"/>
  <c r="H150" i="5"/>
  <c r="G150" i="5"/>
  <c r="F150" i="5"/>
  <c r="E150" i="5"/>
  <c r="D150" i="5"/>
  <c r="O148" i="5"/>
  <c r="T148" i="5"/>
  <c r="M148" i="5"/>
  <c r="N148" i="5"/>
  <c r="R148" i="5"/>
  <c r="L147" i="5"/>
  <c r="K147" i="5"/>
  <c r="J147" i="5"/>
  <c r="I147" i="5"/>
  <c r="H147" i="5"/>
  <c r="G147" i="5"/>
  <c r="F147" i="5"/>
  <c r="E147" i="5"/>
  <c r="D147" i="5"/>
  <c r="O145" i="5"/>
  <c r="T145" i="5"/>
  <c r="M145" i="5"/>
  <c r="N145" i="5"/>
  <c r="R145" i="5"/>
  <c r="L144" i="5"/>
  <c r="K144" i="5"/>
  <c r="J144" i="5"/>
  <c r="I144" i="5"/>
  <c r="H144" i="5"/>
  <c r="G144" i="5"/>
  <c r="F144" i="5"/>
  <c r="E144" i="5"/>
  <c r="D144" i="5"/>
  <c r="O142" i="5"/>
  <c r="T142" i="5"/>
  <c r="M142" i="5"/>
  <c r="N142" i="5"/>
  <c r="R142" i="5"/>
  <c r="L141" i="5"/>
  <c r="K141" i="5"/>
  <c r="J141" i="5"/>
  <c r="I141" i="5"/>
  <c r="H141" i="5"/>
  <c r="G141" i="5"/>
  <c r="F141" i="5"/>
  <c r="E141" i="5"/>
  <c r="D141" i="5"/>
  <c r="O139" i="5"/>
  <c r="T139" i="5"/>
  <c r="M139" i="5"/>
  <c r="N139" i="5"/>
  <c r="R139" i="5"/>
  <c r="L138" i="5"/>
  <c r="K138" i="5"/>
  <c r="J138" i="5"/>
  <c r="I138" i="5"/>
  <c r="H138" i="5"/>
  <c r="G138" i="5"/>
  <c r="F138" i="5"/>
  <c r="E138" i="5"/>
  <c r="D138" i="5"/>
  <c r="O136" i="5"/>
  <c r="T136" i="5"/>
  <c r="M136" i="5"/>
  <c r="N136" i="5"/>
  <c r="R136" i="5"/>
  <c r="L135" i="5"/>
  <c r="K135" i="5"/>
  <c r="J135" i="5"/>
  <c r="I135" i="5"/>
  <c r="H135" i="5"/>
  <c r="G135" i="5"/>
  <c r="F135" i="5"/>
  <c r="E135" i="5"/>
  <c r="D135" i="5"/>
  <c r="O133" i="5"/>
  <c r="T133" i="5"/>
  <c r="M133" i="5"/>
  <c r="N133" i="5"/>
  <c r="R133" i="5"/>
  <c r="L132" i="5"/>
  <c r="K132" i="5"/>
  <c r="J132" i="5"/>
  <c r="I132" i="5"/>
  <c r="H132" i="5"/>
  <c r="G132" i="5"/>
  <c r="F132" i="5"/>
  <c r="E132" i="5"/>
  <c r="D132" i="5"/>
  <c r="O130" i="5"/>
  <c r="T130" i="5"/>
  <c r="M130" i="5"/>
  <c r="N130" i="5"/>
  <c r="R130" i="5"/>
  <c r="L129" i="5"/>
  <c r="K129" i="5"/>
  <c r="J129" i="5"/>
  <c r="I129" i="5"/>
  <c r="H129" i="5"/>
  <c r="G129" i="5"/>
  <c r="F129" i="5"/>
  <c r="E129" i="5"/>
  <c r="D129" i="5"/>
  <c r="O127" i="5"/>
  <c r="T127" i="5"/>
  <c r="M127" i="5"/>
  <c r="N127" i="5"/>
  <c r="R127" i="5"/>
  <c r="L126" i="5"/>
  <c r="K126" i="5"/>
  <c r="J126" i="5"/>
  <c r="I126" i="5"/>
  <c r="H126" i="5"/>
  <c r="G126" i="5"/>
  <c r="F126" i="5"/>
  <c r="E126" i="5"/>
  <c r="D126" i="5"/>
  <c r="O124" i="5"/>
  <c r="T124" i="5"/>
  <c r="M124" i="5"/>
  <c r="N124" i="5"/>
  <c r="R124" i="5"/>
  <c r="L123" i="5"/>
  <c r="K123" i="5"/>
  <c r="J123" i="5"/>
  <c r="I123" i="5"/>
  <c r="H123" i="5"/>
  <c r="G123" i="5"/>
  <c r="F123" i="5"/>
  <c r="E123" i="5"/>
  <c r="D123" i="5"/>
  <c r="O121" i="5"/>
  <c r="T121" i="5"/>
  <c r="M121" i="5"/>
  <c r="N121" i="5"/>
  <c r="R121" i="5"/>
  <c r="L120" i="5"/>
  <c r="K120" i="5"/>
  <c r="J120" i="5"/>
  <c r="I120" i="5"/>
  <c r="H120" i="5"/>
  <c r="G120" i="5"/>
  <c r="F120" i="5"/>
  <c r="E120" i="5"/>
  <c r="D120" i="5"/>
  <c r="O118" i="5"/>
  <c r="T118" i="5"/>
  <c r="M118" i="5"/>
  <c r="N118" i="5"/>
  <c r="R118" i="5"/>
  <c r="L117" i="5"/>
  <c r="K117" i="5"/>
  <c r="J117" i="5"/>
  <c r="I117" i="5"/>
  <c r="H117" i="5"/>
  <c r="G117" i="5"/>
  <c r="F117" i="5"/>
  <c r="E117" i="5"/>
  <c r="D117" i="5"/>
  <c r="O115" i="5"/>
  <c r="T115" i="5"/>
  <c r="M115" i="5"/>
  <c r="N115" i="5"/>
  <c r="R115" i="5"/>
  <c r="L114" i="5"/>
  <c r="K114" i="5"/>
  <c r="J114" i="5"/>
  <c r="I114" i="5"/>
  <c r="H114" i="5"/>
  <c r="G114" i="5"/>
  <c r="F114" i="5"/>
  <c r="E114" i="5"/>
  <c r="D114" i="5"/>
  <c r="O112" i="5"/>
  <c r="T112" i="5"/>
  <c r="M112" i="5"/>
  <c r="N112" i="5"/>
  <c r="R112" i="5"/>
  <c r="L111" i="5"/>
  <c r="K111" i="5"/>
  <c r="J111" i="5"/>
  <c r="I111" i="5"/>
  <c r="H111" i="5"/>
  <c r="G111" i="5"/>
  <c r="F111" i="5"/>
  <c r="E111" i="5"/>
  <c r="D111" i="5"/>
  <c r="O109" i="5"/>
  <c r="T109" i="5"/>
  <c r="M109" i="5"/>
  <c r="N109" i="5"/>
  <c r="R109" i="5"/>
  <c r="L108" i="5"/>
  <c r="K108" i="5"/>
  <c r="J108" i="5"/>
  <c r="I108" i="5"/>
  <c r="H108" i="5"/>
  <c r="G108" i="5"/>
  <c r="F108" i="5"/>
  <c r="E108" i="5"/>
  <c r="D108" i="5"/>
  <c r="O106" i="5"/>
  <c r="T106" i="5"/>
  <c r="M106" i="5"/>
  <c r="N106" i="5"/>
  <c r="R106" i="5"/>
  <c r="L105" i="5"/>
  <c r="K105" i="5"/>
  <c r="J105" i="5"/>
  <c r="I105" i="5"/>
  <c r="H105" i="5"/>
  <c r="G105" i="5"/>
  <c r="F105" i="5"/>
  <c r="E105" i="5"/>
  <c r="D105" i="5"/>
  <c r="O103" i="5"/>
  <c r="T103" i="5"/>
  <c r="M103" i="5"/>
  <c r="N103" i="5"/>
  <c r="R103" i="5"/>
  <c r="L102" i="5"/>
  <c r="K102" i="5"/>
  <c r="J102" i="5"/>
  <c r="I102" i="5"/>
  <c r="H102" i="5"/>
  <c r="G102" i="5"/>
  <c r="F102" i="5"/>
  <c r="E102" i="5"/>
  <c r="D102" i="5"/>
  <c r="O100" i="5"/>
  <c r="T100" i="5"/>
  <c r="M100" i="5"/>
  <c r="N100" i="5"/>
  <c r="R100" i="5"/>
  <c r="L99" i="5"/>
  <c r="K99" i="5"/>
  <c r="J99" i="5"/>
  <c r="I99" i="5"/>
  <c r="H99" i="5"/>
  <c r="G99" i="5"/>
  <c r="F99" i="5"/>
  <c r="E99" i="5"/>
  <c r="D99" i="5"/>
  <c r="O97" i="5"/>
  <c r="T97" i="5"/>
  <c r="M97" i="5"/>
  <c r="N97" i="5"/>
  <c r="R97" i="5"/>
  <c r="L96" i="5"/>
  <c r="K96" i="5"/>
  <c r="J96" i="5"/>
  <c r="I96" i="5"/>
  <c r="H96" i="5"/>
  <c r="G96" i="5"/>
  <c r="F96" i="5"/>
  <c r="E96" i="5"/>
  <c r="D96" i="5"/>
  <c r="O94" i="5"/>
  <c r="T94" i="5"/>
  <c r="M94" i="5"/>
  <c r="N94" i="5"/>
  <c r="R94" i="5"/>
  <c r="L93" i="5"/>
  <c r="K93" i="5"/>
  <c r="J93" i="5"/>
  <c r="I93" i="5"/>
  <c r="H93" i="5"/>
  <c r="G93" i="5"/>
  <c r="F93" i="5"/>
  <c r="E93" i="5"/>
  <c r="D93" i="5"/>
  <c r="O91" i="5"/>
  <c r="T91" i="5"/>
  <c r="M91" i="5"/>
  <c r="N91" i="5"/>
  <c r="R91" i="5"/>
  <c r="L90" i="5"/>
  <c r="K90" i="5"/>
  <c r="J90" i="5"/>
  <c r="I90" i="5"/>
  <c r="H90" i="5"/>
  <c r="G90" i="5"/>
  <c r="F90" i="5"/>
  <c r="E90" i="5"/>
  <c r="D90" i="5"/>
  <c r="O88" i="5"/>
  <c r="T88" i="5"/>
  <c r="M88" i="5"/>
  <c r="N88" i="5"/>
  <c r="R88" i="5"/>
  <c r="L87" i="5"/>
  <c r="K87" i="5"/>
  <c r="J87" i="5"/>
  <c r="I87" i="5"/>
  <c r="H87" i="5"/>
  <c r="G87" i="5"/>
  <c r="F87" i="5"/>
  <c r="E87" i="5"/>
  <c r="D87" i="5"/>
  <c r="O85" i="5"/>
  <c r="T85" i="5"/>
  <c r="M85" i="5"/>
  <c r="N85" i="5"/>
  <c r="R85" i="5"/>
  <c r="L84" i="5"/>
  <c r="K84" i="5"/>
  <c r="J84" i="5"/>
  <c r="I84" i="5"/>
  <c r="H84" i="5"/>
  <c r="G84" i="5"/>
  <c r="F84" i="5"/>
  <c r="E84" i="5"/>
  <c r="D84" i="5"/>
  <c r="O82" i="5"/>
  <c r="T82" i="5"/>
  <c r="M82" i="5"/>
  <c r="N82" i="5"/>
  <c r="R82" i="5"/>
  <c r="L81" i="5"/>
  <c r="K81" i="5"/>
  <c r="J81" i="5"/>
  <c r="I81" i="5"/>
  <c r="H81" i="5"/>
  <c r="G81" i="5"/>
  <c r="F81" i="5"/>
  <c r="E81" i="5"/>
  <c r="D81" i="5"/>
  <c r="O79" i="5"/>
  <c r="T79" i="5"/>
  <c r="M79" i="5"/>
  <c r="N79" i="5"/>
  <c r="R79" i="5"/>
  <c r="L78" i="5"/>
  <c r="K78" i="5"/>
  <c r="J78" i="5"/>
  <c r="I78" i="5"/>
  <c r="H78" i="5"/>
  <c r="G78" i="5"/>
  <c r="F78" i="5"/>
  <c r="E78" i="5"/>
  <c r="D78" i="5"/>
  <c r="O76" i="5"/>
  <c r="T76" i="5"/>
  <c r="M76" i="5"/>
  <c r="N76" i="5"/>
  <c r="R76" i="5"/>
  <c r="L75" i="5"/>
  <c r="K75" i="5"/>
  <c r="J75" i="5"/>
  <c r="I75" i="5"/>
  <c r="H75" i="5"/>
  <c r="G75" i="5"/>
  <c r="F75" i="5"/>
  <c r="E75" i="5"/>
  <c r="D75" i="5"/>
  <c r="O73" i="5"/>
  <c r="T73" i="5"/>
  <c r="M73" i="5"/>
  <c r="N73" i="5"/>
  <c r="R73" i="5"/>
  <c r="L72" i="5"/>
  <c r="K72" i="5"/>
  <c r="J72" i="5"/>
  <c r="I72" i="5"/>
  <c r="H72" i="5"/>
  <c r="G72" i="5"/>
  <c r="F72" i="5"/>
  <c r="E72" i="5"/>
  <c r="D72" i="5"/>
  <c r="O70" i="5"/>
  <c r="T70" i="5"/>
  <c r="M70" i="5"/>
  <c r="N70" i="5"/>
  <c r="R70" i="5"/>
  <c r="L69" i="5"/>
  <c r="K69" i="5"/>
  <c r="J69" i="5"/>
  <c r="I69" i="5"/>
  <c r="H69" i="5"/>
  <c r="G69" i="5"/>
  <c r="F69" i="5"/>
  <c r="E69" i="5"/>
  <c r="D69" i="5"/>
  <c r="O67" i="5"/>
  <c r="T67" i="5"/>
  <c r="M67" i="5"/>
  <c r="N67" i="5"/>
  <c r="R67" i="5"/>
  <c r="L66" i="5"/>
  <c r="K66" i="5"/>
  <c r="J66" i="5"/>
  <c r="I66" i="5"/>
  <c r="H66" i="5"/>
  <c r="G66" i="5"/>
  <c r="F66" i="5"/>
  <c r="E66" i="5"/>
  <c r="D66" i="5"/>
  <c r="O64" i="5"/>
  <c r="T64" i="5"/>
  <c r="M64" i="5"/>
  <c r="N64" i="5"/>
  <c r="R64" i="5"/>
  <c r="L63" i="5"/>
  <c r="K63" i="5"/>
  <c r="J63" i="5"/>
  <c r="I63" i="5"/>
  <c r="H63" i="5"/>
  <c r="G63" i="5"/>
  <c r="F63" i="5"/>
  <c r="E63" i="5"/>
  <c r="D63" i="5"/>
  <c r="O61" i="5"/>
  <c r="T61" i="5"/>
  <c r="M61" i="5"/>
  <c r="N61" i="5"/>
  <c r="R61" i="5"/>
  <c r="L60" i="5"/>
  <c r="K60" i="5"/>
  <c r="J60" i="5"/>
  <c r="I60" i="5"/>
  <c r="H60" i="5"/>
  <c r="G60" i="5"/>
  <c r="F60" i="5"/>
  <c r="E60" i="5"/>
  <c r="D60" i="5"/>
  <c r="O58" i="5"/>
  <c r="T58" i="5"/>
  <c r="M58" i="5"/>
  <c r="N58" i="5"/>
  <c r="R58" i="5"/>
  <c r="L57" i="5"/>
  <c r="K57" i="5"/>
  <c r="J57" i="5"/>
  <c r="I57" i="5"/>
  <c r="H57" i="5"/>
  <c r="G57" i="5"/>
  <c r="F57" i="5"/>
  <c r="E57" i="5"/>
  <c r="D57" i="5"/>
  <c r="O55" i="5"/>
  <c r="T55" i="5"/>
  <c r="M55" i="5"/>
  <c r="N55" i="5"/>
  <c r="R55" i="5"/>
  <c r="L54" i="5"/>
  <c r="K54" i="5"/>
  <c r="J54" i="5"/>
  <c r="I54" i="5"/>
  <c r="H54" i="5"/>
  <c r="G54" i="5"/>
  <c r="F54" i="5"/>
  <c r="E54" i="5"/>
  <c r="D54" i="5"/>
  <c r="O52" i="5"/>
  <c r="T52" i="5"/>
  <c r="M52" i="5"/>
  <c r="N52" i="5"/>
  <c r="R52" i="5"/>
  <c r="L51" i="5"/>
  <c r="K51" i="5"/>
  <c r="J51" i="5"/>
  <c r="I51" i="5"/>
  <c r="H51" i="5"/>
  <c r="G51" i="5"/>
  <c r="F51" i="5"/>
  <c r="E51" i="5"/>
  <c r="D51" i="5"/>
  <c r="O49" i="5"/>
  <c r="T49" i="5"/>
  <c r="M49" i="5"/>
  <c r="N49" i="5"/>
  <c r="R49" i="5"/>
  <c r="L48" i="5"/>
  <c r="K48" i="5"/>
  <c r="J48" i="5"/>
  <c r="I48" i="5"/>
  <c r="H48" i="5"/>
  <c r="G48" i="5"/>
  <c r="F48" i="5"/>
  <c r="E48" i="5"/>
  <c r="D48" i="5"/>
  <c r="O46" i="5"/>
  <c r="T46" i="5"/>
  <c r="M46" i="5"/>
  <c r="N46" i="5"/>
  <c r="R46" i="5"/>
  <c r="L45" i="5"/>
  <c r="K45" i="5"/>
  <c r="J45" i="5"/>
  <c r="I45" i="5"/>
  <c r="H45" i="5"/>
  <c r="G45" i="5"/>
  <c r="F45" i="5"/>
  <c r="E45" i="5"/>
  <c r="D45" i="5"/>
  <c r="O43" i="5"/>
  <c r="T43" i="5"/>
  <c r="M43" i="5"/>
  <c r="N43" i="5"/>
  <c r="R43" i="5"/>
  <c r="L42" i="5"/>
  <c r="K42" i="5"/>
  <c r="J42" i="5"/>
  <c r="I42" i="5"/>
  <c r="H42" i="5"/>
  <c r="G42" i="5"/>
  <c r="F42" i="5"/>
  <c r="E42" i="5"/>
  <c r="D42" i="5"/>
  <c r="O40" i="5"/>
  <c r="T40" i="5"/>
  <c r="M40" i="5"/>
  <c r="N40" i="5"/>
  <c r="R40" i="5"/>
  <c r="L39" i="5"/>
  <c r="K39" i="5"/>
  <c r="J39" i="5"/>
  <c r="I39" i="5"/>
  <c r="H39" i="5"/>
  <c r="G39" i="5"/>
  <c r="F39" i="5"/>
  <c r="E39" i="5"/>
  <c r="D39" i="5"/>
  <c r="O37" i="5"/>
  <c r="T37" i="5"/>
  <c r="M37" i="5"/>
  <c r="N37" i="5"/>
  <c r="R37" i="5"/>
  <c r="L36" i="5"/>
  <c r="K36" i="5"/>
  <c r="J36" i="5"/>
  <c r="I36" i="5"/>
  <c r="H36" i="5"/>
  <c r="G36" i="5"/>
  <c r="F36" i="5"/>
  <c r="E36" i="5"/>
  <c r="D36" i="5"/>
  <c r="O34" i="5"/>
  <c r="T34" i="5"/>
  <c r="M34" i="5"/>
  <c r="N34" i="5"/>
  <c r="R34" i="5"/>
  <c r="L33" i="5"/>
  <c r="K33" i="5"/>
  <c r="J33" i="5"/>
  <c r="I33" i="5"/>
  <c r="H33" i="5"/>
  <c r="G33" i="5"/>
  <c r="F33" i="5"/>
  <c r="E33" i="5"/>
  <c r="D33" i="5"/>
  <c r="O31" i="5"/>
  <c r="T31" i="5"/>
  <c r="M31" i="5"/>
  <c r="N31" i="5"/>
  <c r="R31" i="5"/>
  <c r="L30" i="5"/>
  <c r="K30" i="5"/>
  <c r="J30" i="5"/>
  <c r="I30" i="5"/>
  <c r="H30" i="5"/>
  <c r="G30" i="5"/>
  <c r="F30" i="5"/>
  <c r="E30" i="5"/>
  <c r="D30" i="5"/>
  <c r="O28" i="5"/>
  <c r="T28" i="5"/>
  <c r="M28" i="5"/>
  <c r="N28" i="5"/>
  <c r="R28" i="5"/>
  <c r="L27" i="5"/>
  <c r="K27" i="5"/>
  <c r="J27" i="5"/>
  <c r="I27" i="5"/>
  <c r="H27" i="5"/>
  <c r="G27" i="5"/>
  <c r="F27" i="5"/>
  <c r="E27" i="5"/>
  <c r="D27" i="5"/>
  <c r="O25" i="5"/>
  <c r="T25" i="5"/>
  <c r="M25" i="5"/>
  <c r="N25" i="5"/>
  <c r="R25" i="5"/>
  <c r="L24" i="5"/>
  <c r="K24" i="5"/>
  <c r="J24" i="5"/>
  <c r="I24" i="5"/>
  <c r="H24" i="5"/>
  <c r="G24" i="5"/>
  <c r="F24" i="5"/>
  <c r="E24" i="5"/>
  <c r="D24" i="5"/>
  <c r="O22" i="5"/>
  <c r="T22" i="5"/>
  <c r="M22" i="5"/>
  <c r="N22" i="5"/>
  <c r="R22" i="5"/>
  <c r="L21" i="5"/>
  <c r="K21" i="5"/>
  <c r="J21" i="5"/>
  <c r="I21" i="5"/>
  <c r="H21" i="5"/>
  <c r="G21" i="5"/>
  <c r="F21" i="5"/>
  <c r="E21" i="5"/>
  <c r="D21" i="5"/>
  <c r="O19" i="5"/>
  <c r="T19" i="5"/>
  <c r="M19" i="5"/>
  <c r="N19" i="5"/>
  <c r="R19" i="5"/>
  <c r="L18" i="5"/>
  <c r="K18" i="5"/>
  <c r="J18" i="5"/>
  <c r="I18" i="5"/>
  <c r="H18" i="5"/>
  <c r="G18" i="5"/>
  <c r="F18" i="5"/>
  <c r="E18" i="5"/>
  <c r="D18" i="5"/>
  <c r="O16" i="5"/>
  <c r="T16" i="5"/>
  <c r="M16" i="5"/>
  <c r="N16" i="5"/>
  <c r="R16" i="5"/>
  <c r="L15" i="5"/>
  <c r="K15" i="5"/>
  <c r="J15" i="5"/>
  <c r="I15" i="5"/>
  <c r="H15" i="5"/>
  <c r="G15" i="5"/>
  <c r="F15" i="5"/>
  <c r="E15" i="5"/>
  <c r="D15" i="5"/>
  <c r="O13" i="5"/>
  <c r="T13" i="5"/>
  <c r="M13" i="5"/>
  <c r="N13" i="5"/>
  <c r="R13" i="5"/>
  <c r="L12" i="5"/>
  <c r="K12" i="5"/>
  <c r="J12" i="5"/>
  <c r="I12" i="5"/>
  <c r="H12" i="5"/>
  <c r="G12" i="5"/>
  <c r="F12" i="5"/>
  <c r="E12" i="5"/>
  <c r="D12" i="5"/>
  <c r="O10" i="5"/>
  <c r="T10" i="5"/>
  <c r="M10" i="5"/>
  <c r="N10" i="5"/>
  <c r="R10" i="5"/>
  <c r="BC3" i="12"/>
  <c r="BC4" i="12"/>
  <c r="BC5" i="12"/>
  <c r="BC6" i="12"/>
  <c r="BC7" i="12"/>
  <c r="BC8" i="12"/>
  <c r="BC9" i="12"/>
  <c r="BC10" i="12"/>
  <c r="BC11" i="12"/>
  <c r="BC12" i="12"/>
  <c r="BC13" i="12"/>
  <c r="BC14" i="12"/>
  <c r="BC15" i="12"/>
  <c r="BC16" i="12"/>
  <c r="BC17" i="12"/>
  <c r="BC18" i="12"/>
  <c r="BC19" i="12"/>
  <c r="BC20" i="12"/>
  <c r="BC21" i="12"/>
  <c r="BC22" i="12"/>
  <c r="BC23" i="12"/>
  <c r="BC24" i="12"/>
  <c r="BC25" i="12"/>
  <c r="BC26" i="12"/>
  <c r="BC27" i="12"/>
  <c r="BC28" i="12"/>
  <c r="BC29" i="12"/>
  <c r="BC30" i="12"/>
  <c r="BC31" i="12"/>
  <c r="BC32" i="12"/>
  <c r="BC33" i="12"/>
  <c r="BC34" i="12"/>
  <c r="BC35" i="12"/>
  <c r="BC36" i="12"/>
  <c r="BC37" i="12"/>
  <c r="BC38" i="12"/>
  <c r="BC39" i="12"/>
  <c r="BC40" i="12"/>
  <c r="BC41" i="12"/>
  <c r="BC42" i="12"/>
  <c r="BC43" i="12"/>
  <c r="BC44" i="12"/>
  <c r="BC45" i="12"/>
  <c r="BC46" i="12"/>
  <c r="BC47" i="12"/>
  <c r="BC48" i="12"/>
  <c r="BC49" i="12"/>
  <c r="BC50" i="12"/>
  <c r="BC51" i="12"/>
  <c r="BC52" i="12"/>
  <c r="BC53" i="12"/>
  <c r="BC54" i="12"/>
  <c r="BC56" i="12"/>
  <c r="BC57" i="12"/>
  <c r="BC58" i="12"/>
  <c r="AV3" i="12"/>
  <c r="AV4" i="12"/>
  <c r="AV5" i="12"/>
  <c r="AV6" i="12"/>
  <c r="AV7" i="12"/>
  <c r="AV8" i="12"/>
  <c r="AV9" i="12"/>
  <c r="AV10" i="12"/>
  <c r="AV11" i="12"/>
  <c r="AV12" i="12"/>
  <c r="AV13" i="12"/>
  <c r="AV14" i="12"/>
  <c r="AV15" i="12"/>
  <c r="AV16" i="12"/>
  <c r="AV17" i="12"/>
  <c r="AV18" i="12"/>
  <c r="AV19" i="12"/>
  <c r="AV20" i="12"/>
  <c r="AV21" i="12"/>
  <c r="AV22" i="12"/>
  <c r="AV23" i="12"/>
  <c r="AV24" i="12"/>
  <c r="AV25" i="12"/>
  <c r="AV26" i="12"/>
  <c r="AV27" i="12"/>
  <c r="AV28" i="12"/>
  <c r="AV29" i="12"/>
  <c r="AV30" i="12"/>
  <c r="AV31" i="12"/>
  <c r="AV32" i="12"/>
  <c r="AV33" i="12"/>
  <c r="AV34" i="12"/>
  <c r="AV35" i="12"/>
  <c r="AV36" i="12"/>
  <c r="AV37" i="12"/>
  <c r="AV38" i="12"/>
  <c r="AV39" i="12"/>
  <c r="AV40" i="12"/>
  <c r="AV41" i="12"/>
  <c r="AV42" i="12"/>
  <c r="AV43" i="12"/>
  <c r="AV44" i="12"/>
  <c r="AV45" i="12"/>
  <c r="AV46" i="12"/>
  <c r="AV47" i="12"/>
  <c r="AV48" i="12"/>
  <c r="AV49" i="12"/>
  <c r="AV50" i="12"/>
  <c r="AV51" i="12"/>
  <c r="AV52" i="12"/>
  <c r="AV53" i="12"/>
  <c r="AV54" i="12"/>
  <c r="AV56" i="12"/>
  <c r="AV57" i="12"/>
  <c r="AV58" i="12"/>
  <c r="AN3" i="12"/>
  <c r="AN4" i="12"/>
  <c r="AN5" i="12"/>
  <c r="AN6" i="12"/>
  <c r="AN7" i="12"/>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6" i="12"/>
  <c r="AN57" i="12"/>
  <c r="AN58" i="12"/>
  <c r="AG2" i="12"/>
  <c r="AG3" i="12"/>
  <c r="AG4" i="12"/>
  <c r="AG5" i="12"/>
  <c r="AG6" i="12"/>
  <c r="AG7" i="12"/>
  <c r="AG8" i="12"/>
  <c r="AG9" i="12"/>
  <c r="AG10" i="12"/>
  <c r="AG11" i="12"/>
  <c r="AG12" i="12"/>
  <c r="AG13" i="12"/>
  <c r="AG14" i="12"/>
  <c r="AG15" i="12"/>
  <c r="AG16" i="12"/>
  <c r="AG17" i="12"/>
  <c r="AG18" i="12"/>
  <c r="AG19" i="12"/>
  <c r="AG20" i="12"/>
  <c r="AG21" i="12"/>
  <c r="AG22" i="12"/>
  <c r="AG23" i="12"/>
  <c r="AG24" i="12"/>
  <c r="AG25" i="12"/>
  <c r="AG26" i="12"/>
  <c r="AG27" i="12"/>
  <c r="AG28" i="12"/>
  <c r="AG29" i="12"/>
  <c r="AG30" i="12"/>
  <c r="AG31" i="12"/>
  <c r="AG32" i="12"/>
  <c r="AG33" i="12"/>
  <c r="AG34" i="12"/>
  <c r="AG35" i="12"/>
  <c r="AG36" i="12"/>
  <c r="AG37" i="12"/>
  <c r="AG38" i="12"/>
  <c r="AG39" i="12"/>
  <c r="AG40" i="12"/>
  <c r="AG41" i="12"/>
  <c r="AG42" i="12"/>
  <c r="AG43" i="12"/>
  <c r="AG44" i="12"/>
  <c r="AG45" i="12"/>
  <c r="AG46" i="12"/>
  <c r="AG47" i="12"/>
  <c r="AG48" i="12"/>
  <c r="AG49" i="12"/>
  <c r="AG50" i="12"/>
  <c r="AG51" i="12"/>
  <c r="AG52" i="12"/>
  <c r="AG53" i="12"/>
  <c r="AG55" i="12"/>
  <c r="AG56" i="12"/>
  <c r="AG57" i="12"/>
  <c r="Z2" i="12"/>
  <c r="Z3" i="12"/>
  <c r="Z4" i="12"/>
  <c r="Z5" i="12"/>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Y55" i="12"/>
  <c r="Y56" i="12"/>
  <c r="Y57" i="12"/>
  <c r="BB56" i="12"/>
  <c r="AU56" i="12"/>
  <c r="AM56" i="12"/>
  <c r="AF55" i="12"/>
  <c r="Z55" i="12"/>
  <c r="L6" i="12"/>
  <c r="K6" i="12"/>
  <c r="E430" i="4"/>
  <c r="F430" i="4"/>
  <c r="E429" i="4"/>
  <c r="F429" i="4"/>
  <c r="E428" i="4"/>
  <c r="F428" i="4"/>
  <c r="E427" i="4"/>
  <c r="F427" i="4"/>
  <c r="E426" i="4"/>
  <c r="F426" i="4"/>
  <c r="E425" i="4"/>
  <c r="F425" i="4"/>
  <c r="E424" i="4"/>
  <c r="F424" i="4"/>
  <c r="E423" i="4"/>
  <c r="F423" i="4"/>
  <c r="E422" i="4"/>
  <c r="F422" i="4"/>
  <c r="E421" i="4"/>
  <c r="F421" i="4"/>
  <c r="E420" i="4"/>
  <c r="F420" i="4"/>
  <c r="E419" i="4"/>
  <c r="F419" i="4"/>
  <c r="E418" i="4"/>
  <c r="F418" i="4"/>
  <c r="E417" i="4"/>
  <c r="F417" i="4"/>
  <c r="E416" i="4"/>
  <c r="F416" i="4"/>
  <c r="E415" i="4"/>
  <c r="F415" i="4"/>
  <c r="E414" i="4"/>
  <c r="F414" i="4"/>
  <c r="E413" i="4"/>
  <c r="F413" i="4"/>
  <c r="E412" i="4"/>
  <c r="F412" i="4"/>
  <c r="E411" i="4"/>
  <c r="F411" i="4"/>
  <c r="E410" i="4"/>
  <c r="F410" i="4"/>
  <c r="E409" i="4"/>
  <c r="F409" i="4"/>
  <c r="E408" i="4"/>
  <c r="F408" i="4"/>
  <c r="E407" i="4"/>
  <c r="F407" i="4"/>
  <c r="E406" i="4"/>
  <c r="F406" i="4"/>
  <c r="E405" i="4"/>
  <c r="F405" i="4"/>
  <c r="E404" i="4"/>
  <c r="F404" i="4"/>
  <c r="E403" i="4"/>
  <c r="F403" i="4"/>
  <c r="E402" i="4"/>
  <c r="F402" i="4"/>
  <c r="E401" i="4"/>
  <c r="F401" i="4"/>
  <c r="E400" i="4"/>
  <c r="F400" i="4"/>
  <c r="E399" i="4"/>
  <c r="F399" i="4"/>
  <c r="E398" i="4"/>
  <c r="F398" i="4"/>
  <c r="E397" i="4"/>
  <c r="F397" i="4"/>
  <c r="E396" i="4"/>
  <c r="F396" i="4"/>
  <c r="E395" i="4"/>
  <c r="F395" i="4"/>
  <c r="E394" i="4"/>
  <c r="F394" i="4"/>
  <c r="E393" i="4"/>
  <c r="F393" i="4"/>
  <c r="E392" i="4"/>
  <c r="F392" i="4"/>
  <c r="E391" i="4"/>
  <c r="F391" i="4"/>
  <c r="E390" i="4"/>
  <c r="F390" i="4"/>
  <c r="E389" i="4"/>
  <c r="F389" i="4"/>
  <c r="E388" i="4"/>
  <c r="F388" i="4"/>
  <c r="E387" i="4"/>
  <c r="F387" i="4"/>
  <c r="E386" i="4"/>
  <c r="F386" i="4"/>
  <c r="E385" i="4"/>
  <c r="F385" i="4"/>
  <c r="E384" i="4"/>
  <c r="F384" i="4"/>
  <c r="E383" i="4"/>
  <c r="F383" i="4"/>
  <c r="E382" i="4"/>
  <c r="F382" i="4"/>
  <c r="E381" i="4"/>
  <c r="F381" i="4"/>
  <c r="E380" i="4"/>
  <c r="F380" i="4"/>
  <c r="E379" i="4"/>
  <c r="F379" i="4"/>
  <c r="E378" i="4"/>
  <c r="F378" i="4"/>
  <c r="E377" i="4"/>
  <c r="F377" i="4"/>
  <c r="E376" i="4"/>
  <c r="F376" i="4"/>
  <c r="E375" i="4"/>
  <c r="F375" i="4"/>
  <c r="E374" i="4"/>
  <c r="F374" i="4"/>
  <c r="E373" i="4"/>
  <c r="F373" i="4"/>
  <c r="E372" i="4"/>
  <c r="F372" i="4"/>
  <c r="E371" i="4"/>
  <c r="F371" i="4"/>
  <c r="E370" i="4"/>
  <c r="F370" i="4"/>
  <c r="E369" i="4"/>
  <c r="F369" i="4"/>
  <c r="E368" i="4"/>
  <c r="F368" i="4"/>
  <c r="E367" i="4"/>
  <c r="F367" i="4"/>
  <c r="E366" i="4"/>
  <c r="F366" i="4"/>
  <c r="E365" i="4"/>
  <c r="F365" i="4"/>
  <c r="E364" i="4"/>
  <c r="F364" i="4"/>
  <c r="E363" i="4"/>
  <c r="F363" i="4"/>
  <c r="E362" i="4"/>
  <c r="F362" i="4"/>
  <c r="E361" i="4"/>
  <c r="F361" i="4"/>
  <c r="E360" i="4"/>
  <c r="F360" i="4"/>
  <c r="E359" i="4"/>
  <c r="F359" i="4"/>
  <c r="E358" i="4"/>
  <c r="F358" i="4"/>
  <c r="E357" i="4"/>
  <c r="F357" i="4"/>
  <c r="E356" i="4"/>
  <c r="F356" i="4"/>
  <c r="E355" i="4"/>
  <c r="F355" i="4"/>
  <c r="E354" i="4"/>
  <c r="F354" i="4"/>
  <c r="E353" i="4"/>
  <c r="F353" i="4"/>
  <c r="E352" i="4"/>
  <c r="F352" i="4"/>
  <c r="E351" i="4"/>
  <c r="F351" i="4"/>
  <c r="E350" i="4"/>
  <c r="F350" i="4"/>
  <c r="E349" i="4"/>
  <c r="F349" i="4"/>
  <c r="E348" i="4"/>
  <c r="F348" i="4"/>
  <c r="E347" i="4"/>
  <c r="F347" i="4"/>
  <c r="E346" i="4"/>
  <c r="F346" i="4"/>
  <c r="E345" i="4"/>
  <c r="F345" i="4"/>
  <c r="E344" i="4"/>
  <c r="F344" i="4"/>
  <c r="E343" i="4"/>
  <c r="F343" i="4"/>
  <c r="E342" i="4"/>
  <c r="F342" i="4"/>
  <c r="E341" i="4"/>
  <c r="F341" i="4"/>
  <c r="E340" i="4"/>
  <c r="F340" i="4"/>
  <c r="E339" i="4"/>
  <c r="F339" i="4"/>
  <c r="E338" i="4"/>
  <c r="F338" i="4"/>
  <c r="E337" i="4"/>
  <c r="F337" i="4"/>
  <c r="E336" i="4"/>
  <c r="F336" i="4"/>
  <c r="E335" i="4"/>
  <c r="F335" i="4"/>
  <c r="E334" i="4"/>
  <c r="F334" i="4"/>
  <c r="E333" i="4"/>
  <c r="F333" i="4"/>
  <c r="E332" i="4"/>
  <c r="F332" i="4"/>
  <c r="E331" i="4"/>
  <c r="F331" i="4"/>
  <c r="E330" i="4"/>
  <c r="F330" i="4"/>
  <c r="E329" i="4"/>
  <c r="F329" i="4"/>
  <c r="E328" i="4"/>
  <c r="F328" i="4"/>
  <c r="E327" i="4"/>
  <c r="F327" i="4"/>
  <c r="E326" i="4"/>
  <c r="F326" i="4"/>
  <c r="E325" i="4"/>
  <c r="F325" i="4"/>
  <c r="E324" i="4"/>
  <c r="F324" i="4"/>
  <c r="E323" i="4"/>
  <c r="F323" i="4"/>
  <c r="E322" i="4"/>
  <c r="F322" i="4"/>
  <c r="E321" i="4"/>
  <c r="F321" i="4"/>
  <c r="E320" i="4"/>
  <c r="F320" i="4"/>
  <c r="E319" i="4"/>
  <c r="F319" i="4"/>
  <c r="E318" i="4"/>
  <c r="F318" i="4"/>
  <c r="E317" i="4"/>
  <c r="F317" i="4"/>
  <c r="F316" i="4"/>
  <c r="E315" i="4"/>
  <c r="F315" i="4"/>
  <c r="E314" i="4"/>
  <c r="F314" i="4"/>
  <c r="E313" i="4"/>
  <c r="F313" i="4"/>
  <c r="E312" i="4"/>
  <c r="F312" i="4"/>
  <c r="E311" i="4"/>
  <c r="F311" i="4"/>
  <c r="E310" i="4"/>
  <c r="F310" i="4"/>
  <c r="E309" i="4"/>
  <c r="F309" i="4"/>
  <c r="E308" i="4"/>
  <c r="F308" i="4"/>
  <c r="E307" i="4"/>
  <c r="F307" i="4"/>
  <c r="E306" i="4"/>
  <c r="F306" i="4"/>
  <c r="E305" i="4"/>
  <c r="F305" i="4"/>
  <c r="E304" i="4"/>
  <c r="F304" i="4"/>
  <c r="E303" i="4"/>
  <c r="F303" i="4"/>
  <c r="E302" i="4"/>
  <c r="F302" i="4"/>
  <c r="E301" i="4"/>
  <c r="F301" i="4"/>
  <c r="E300" i="4"/>
  <c r="F300" i="4"/>
  <c r="E299" i="4"/>
  <c r="F299" i="4"/>
  <c r="E298" i="4"/>
  <c r="F298" i="4"/>
  <c r="E297" i="4"/>
  <c r="F297" i="4"/>
  <c r="E296" i="4"/>
  <c r="F296" i="4"/>
  <c r="E295" i="4"/>
  <c r="F295" i="4"/>
  <c r="E294" i="4"/>
  <c r="F294" i="4"/>
  <c r="E293" i="4"/>
  <c r="F293" i="4"/>
  <c r="E292" i="4"/>
  <c r="F292" i="4"/>
  <c r="E291" i="4"/>
  <c r="F291" i="4"/>
  <c r="E290" i="4"/>
  <c r="F290" i="4"/>
  <c r="E289" i="4"/>
  <c r="F289" i="4"/>
  <c r="E288" i="4"/>
  <c r="F288" i="4"/>
  <c r="E287" i="4"/>
  <c r="F287" i="4"/>
  <c r="E286" i="4"/>
  <c r="F286" i="4"/>
  <c r="E285" i="4"/>
  <c r="F285" i="4"/>
  <c r="E284" i="4"/>
  <c r="F284" i="4"/>
  <c r="E283" i="4"/>
  <c r="F283" i="4"/>
  <c r="E282" i="4"/>
  <c r="F282" i="4"/>
  <c r="E281" i="4"/>
  <c r="F281" i="4"/>
  <c r="E280" i="4"/>
  <c r="F280" i="4"/>
  <c r="E279" i="4"/>
  <c r="F279" i="4"/>
  <c r="E278" i="4"/>
  <c r="F278" i="4"/>
  <c r="E277" i="4"/>
  <c r="F277" i="4"/>
  <c r="E276" i="4"/>
  <c r="F276" i="4"/>
  <c r="E275" i="4"/>
  <c r="F275" i="4"/>
  <c r="E274" i="4"/>
  <c r="F274" i="4"/>
  <c r="E273" i="4"/>
  <c r="F273" i="4"/>
  <c r="E272" i="4"/>
  <c r="F272" i="4"/>
  <c r="E271" i="4"/>
  <c r="F271" i="4"/>
  <c r="E270" i="4"/>
  <c r="F270" i="4"/>
  <c r="E269" i="4"/>
  <c r="F269" i="4"/>
  <c r="E268" i="4"/>
  <c r="F268" i="4"/>
  <c r="E267" i="4"/>
  <c r="F267" i="4"/>
  <c r="E266" i="4"/>
  <c r="F266" i="4"/>
  <c r="E265" i="4"/>
  <c r="F265" i="4"/>
  <c r="E264" i="4"/>
  <c r="F264" i="4"/>
  <c r="E263" i="4"/>
  <c r="F263" i="4"/>
  <c r="E262" i="4"/>
  <c r="F262" i="4"/>
  <c r="E261" i="4"/>
  <c r="F261" i="4"/>
  <c r="E260" i="4"/>
  <c r="F260" i="4"/>
  <c r="E259" i="4"/>
  <c r="F259" i="4"/>
  <c r="E258" i="4"/>
  <c r="F258" i="4"/>
  <c r="E257" i="4"/>
  <c r="F257" i="4"/>
  <c r="E256" i="4"/>
  <c r="F256" i="4"/>
  <c r="E255" i="4"/>
  <c r="F255" i="4"/>
  <c r="E254" i="4"/>
  <c r="F254" i="4"/>
  <c r="E253" i="4"/>
  <c r="F253" i="4"/>
  <c r="E252" i="4"/>
  <c r="F252" i="4"/>
  <c r="E251" i="4"/>
  <c r="F251" i="4"/>
  <c r="E250" i="4"/>
  <c r="F250" i="4"/>
  <c r="E249" i="4"/>
  <c r="F249" i="4"/>
  <c r="E248" i="4"/>
  <c r="F248" i="4"/>
  <c r="E247" i="4"/>
  <c r="F247" i="4"/>
  <c r="E246" i="4"/>
  <c r="F246" i="4"/>
  <c r="E245" i="4"/>
  <c r="F245" i="4"/>
  <c r="E244" i="4"/>
  <c r="F244" i="4"/>
  <c r="E243" i="4"/>
  <c r="F243" i="4"/>
  <c r="E242" i="4"/>
  <c r="F242" i="4"/>
  <c r="E241" i="4"/>
  <c r="F241" i="4"/>
  <c r="E240" i="4"/>
  <c r="F240" i="4"/>
  <c r="E239" i="4"/>
  <c r="F239" i="4"/>
  <c r="E238" i="4"/>
  <c r="F238" i="4"/>
  <c r="E237" i="4"/>
  <c r="F237" i="4"/>
  <c r="E236" i="4"/>
  <c r="F236" i="4"/>
  <c r="E235" i="4"/>
  <c r="F235" i="4"/>
  <c r="E234" i="4"/>
  <c r="F234" i="4"/>
  <c r="E233" i="4"/>
  <c r="F233" i="4"/>
  <c r="E232" i="4"/>
  <c r="F232" i="4"/>
  <c r="E231" i="4"/>
  <c r="F231" i="4"/>
  <c r="E230" i="4"/>
  <c r="F230" i="4"/>
  <c r="E229" i="4"/>
  <c r="F229" i="4"/>
  <c r="E228" i="4"/>
  <c r="F228" i="4"/>
  <c r="E227" i="4"/>
  <c r="F227" i="4"/>
  <c r="E226" i="4"/>
  <c r="F226" i="4"/>
  <c r="E225" i="4"/>
  <c r="F225" i="4"/>
  <c r="E224" i="4"/>
  <c r="F224" i="4"/>
  <c r="E223" i="4"/>
  <c r="F223" i="4"/>
  <c r="E222" i="4"/>
  <c r="F222" i="4"/>
  <c r="E221" i="4"/>
  <c r="F221" i="4"/>
  <c r="E220" i="4"/>
  <c r="F220" i="4"/>
  <c r="E219" i="4"/>
  <c r="F219" i="4"/>
  <c r="E218" i="4"/>
  <c r="F218" i="4"/>
  <c r="E217" i="4"/>
  <c r="F217" i="4"/>
  <c r="E216" i="4"/>
  <c r="F216" i="4"/>
  <c r="E215" i="4"/>
  <c r="F215" i="4"/>
  <c r="E214" i="4"/>
  <c r="F214" i="4"/>
  <c r="E213" i="4"/>
  <c r="F213" i="4"/>
  <c r="E212" i="4"/>
  <c r="F212" i="4"/>
  <c r="E211" i="4"/>
  <c r="F211" i="4"/>
  <c r="E210" i="4"/>
  <c r="F210" i="4"/>
  <c r="E209" i="4"/>
  <c r="F209" i="4"/>
  <c r="E208" i="4"/>
  <c r="F208" i="4"/>
  <c r="E207" i="4"/>
  <c r="F207" i="4"/>
  <c r="E206" i="4"/>
  <c r="F206" i="4"/>
  <c r="E205" i="4"/>
  <c r="F205" i="4"/>
  <c r="E204" i="4"/>
  <c r="F204" i="4"/>
  <c r="E203" i="4"/>
  <c r="F203" i="4"/>
  <c r="E202" i="4"/>
  <c r="F202" i="4"/>
  <c r="E201" i="4"/>
  <c r="F201" i="4"/>
  <c r="E200" i="4"/>
  <c r="F200" i="4"/>
  <c r="E199" i="4"/>
  <c r="F199" i="4"/>
  <c r="E198" i="4"/>
  <c r="F198" i="4"/>
  <c r="E197" i="4"/>
  <c r="F197" i="4"/>
  <c r="E196" i="4"/>
  <c r="F196" i="4"/>
  <c r="E195" i="4"/>
  <c r="F195" i="4"/>
  <c r="E194" i="4"/>
  <c r="F194" i="4"/>
  <c r="E193" i="4"/>
  <c r="F193" i="4"/>
  <c r="E192" i="4"/>
  <c r="F192" i="4"/>
  <c r="E191" i="4"/>
  <c r="F191" i="4"/>
  <c r="E190" i="4"/>
  <c r="F190" i="4"/>
  <c r="E189" i="4"/>
  <c r="F189" i="4"/>
  <c r="E188" i="4"/>
  <c r="F188" i="4"/>
  <c r="E187" i="4"/>
  <c r="F187" i="4"/>
  <c r="E186" i="4"/>
  <c r="F186" i="4"/>
  <c r="E185" i="4"/>
  <c r="F185" i="4"/>
  <c r="E184" i="4"/>
  <c r="F184" i="4"/>
  <c r="E183" i="4"/>
  <c r="F183" i="4"/>
  <c r="E182" i="4"/>
  <c r="F182" i="4"/>
  <c r="E181" i="4"/>
  <c r="F181" i="4"/>
  <c r="E180" i="4"/>
  <c r="F180" i="4"/>
  <c r="E179" i="4"/>
  <c r="F179" i="4"/>
  <c r="E178" i="4"/>
  <c r="F178" i="4"/>
  <c r="E177" i="4"/>
  <c r="F177" i="4"/>
  <c r="E176" i="4"/>
  <c r="F176" i="4"/>
  <c r="E175" i="4"/>
  <c r="F175" i="4"/>
  <c r="E174" i="4"/>
  <c r="F174" i="4"/>
  <c r="E173" i="4"/>
  <c r="F173" i="4"/>
  <c r="E172" i="4"/>
  <c r="F172" i="4"/>
  <c r="E171" i="4"/>
  <c r="F171" i="4"/>
  <c r="E170" i="4"/>
  <c r="F170" i="4"/>
  <c r="E169" i="4"/>
  <c r="F169" i="4"/>
  <c r="E168" i="4"/>
  <c r="F168" i="4"/>
  <c r="E167" i="4"/>
  <c r="F167" i="4"/>
  <c r="E166" i="4"/>
  <c r="F166" i="4"/>
  <c r="E165" i="4"/>
  <c r="F165" i="4"/>
  <c r="E164" i="4"/>
  <c r="F164" i="4"/>
  <c r="E163" i="4"/>
  <c r="F163" i="4"/>
  <c r="E162" i="4"/>
  <c r="F162" i="4"/>
  <c r="E161" i="4"/>
  <c r="F161" i="4"/>
  <c r="E160" i="4"/>
  <c r="F160" i="4"/>
  <c r="E159" i="4"/>
  <c r="F159" i="4"/>
  <c r="E158" i="4"/>
  <c r="F158" i="4"/>
  <c r="E157" i="4"/>
  <c r="F157" i="4"/>
  <c r="E156" i="4"/>
  <c r="F156" i="4"/>
  <c r="E155" i="4"/>
  <c r="F155" i="4"/>
  <c r="E154" i="4"/>
  <c r="F154" i="4"/>
  <c r="E153" i="4"/>
  <c r="F153" i="4"/>
  <c r="E152" i="4"/>
  <c r="F152" i="4"/>
  <c r="E151" i="4"/>
  <c r="F151" i="4"/>
  <c r="E150" i="4"/>
  <c r="F150" i="4"/>
  <c r="E149" i="4"/>
  <c r="F149" i="4"/>
  <c r="E148" i="4"/>
  <c r="F148" i="4"/>
  <c r="E147" i="4"/>
  <c r="F147" i="4"/>
  <c r="E146" i="4"/>
  <c r="F146" i="4"/>
  <c r="E145" i="4"/>
  <c r="F145" i="4"/>
  <c r="E144" i="4"/>
  <c r="F144" i="4"/>
  <c r="E143" i="4"/>
  <c r="F143" i="4"/>
  <c r="E142" i="4"/>
  <c r="F142" i="4"/>
  <c r="E141" i="4"/>
  <c r="F141" i="4"/>
  <c r="E140" i="4"/>
  <c r="F140" i="4"/>
  <c r="E139" i="4"/>
  <c r="F139" i="4"/>
  <c r="E138" i="4"/>
  <c r="F138" i="4"/>
  <c r="E137" i="4"/>
  <c r="F137" i="4"/>
  <c r="E136" i="4"/>
  <c r="F136" i="4"/>
  <c r="E135" i="4"/>
  <c r="F135" i="4"/>
  <c r="E134" i="4"/>
  <c r="F134" i="4"/>
  <c r="E133" i="4"/>
  <c r="F133" i="4"/>
  <c r="E132" i="4"/>
  <c r="F132" i="4"/>
  <c r="E131" i="4"/>
  <c r="F131" i="4"/>
  <c r="E130" i="4"/>
  <c r="F130" i="4"/>
  <c r="E129" i="4"/>
  <c r="F129" i="4"/>
  <c r="E128" i="4"/>
  <c r="F128" i="4"/>
  <c r="E127" i="4"/>
  <c r="F127" i="4"/>
  <c r="E126" i="4"/>
  <c r="F126" i="4"/>
  <c r="E125" i="4"/>
  <c r="F125" i="4"/>
  <c r="E124" i="4"/>
  <c r="F124" i="4"/>
  <c r="E123" i="4"/>
  <c r="F123" i="4"/>
  <c r="E122" i="4"/>
  <c r="F122" i="4"/>
  <c r="E121" i="4"/>
  <c r="F121" i="4"/>
  <c r="E120" i="4"/>
  <c r="F120" i="4"/>
  <c r="E119" i="4"/>
  <c r="F119" i="4"/>
  <c r="E118" i="4"/>
  <c r="F118" i="4"/>
  <c r="E117" i="4"/>
  <c r="F117" i="4"/>
  <c r="E116" i="4"/>
  <c r="F116" i="4"/>
  <c r="E115" i="4"/>
  <c r="F115" i="4"/>
  <c r="E114" i="4"/>
  <c r="F114" i="4"/>
  <c r="E113" i="4"/>
  <c r="F113" i="4"/>
  <c r="E112" i="4"/>
  <c r="F112" i="4"/>
  <c r="E111" i="4"/>
  <c r="F111" i="4"/>
  <c r="E110" i="4"/>
  <c r="F110" i="4"/>
  <c r="E109" i="4"/>
  <c r="F109" i="4"/>
  <c r="E108" i="4"/>
  <c r="F108" i="4"/>
  <c r="E107" i="4"/>
  <c r="F107" i="4"/>
  <c r="E106" i="4"/>
  <c r="F106" i="4"/>
  <c r="E105" i="4"/>
  <c r="F105" i="4"/>
  <c r="E104" i="4"/>
  <c r="F104" i="4"/>
  <c r="E103" i="4"/>
  <c r="F103" i="4"/>
  <c r="E102" i="4"/>
  <c r="F102" i="4"/>
  <c r="E101" i="4"/>
  <c r="F101" i="4"/>
  <c r="E100" i="4"/>
  <c r="F100" i="4"/>
  <c r="E99" i="4"/>
  <c r="F99" i="4"/>
  <c r="E98" i="4"/>
  <c r="F98" i="4"/>
  <c r="E97" i="4"/>
  <c r="F97" i="4"/>
  <c r="E96" i="4"/>
  <c r="F96" i="4"/>
  <c r="E95" i="4"/>
  <c r="F95" i="4"/>
  <c r="E94" i="4"/>
  <c r="F94" i="4"/>
  <c r="E93" i="4"/>
  <c r="F93" i="4"/>
  <c r="E92" i="4"/>
  <c r="F92" i="4"/>
  <c r="E91" i="4"/>
  <c r="F91" i="4"/>
  <c r="E90" i="4"/>
  <c r="F90" i="4"/>
  <c r="E89" i="4"/>
  <c r="F89" i="4"/>
  <c r="E88" i="4"/>
  <c r="F88" i="4"/>
  <c r="E87" i="4"/>
  <c r="F87" i="4"/>
  <c r="E86" i="4"/>
  <c r="F86" i="4"/>
  <c r="E85" i="4"/>
  <c r="F85" i="4"/>
  <c r="E84" i="4"/>
  <c r="F84" i="4"/>
  <c r="E83" i="4"/>
  <c r="F83" i="4"/>
  <c r="E82" i="4"/>
  <c r="F82" i="4"/>
  <c r="E81" i="4"/>
  <c r="F81" i="4"/>
  <c r="E80" i="4"/>
  <c r="F80" i="4"/>
  <c r="E79" i="4"/>
  <c r="F79" i="4"/>
  <c r="E78" i="4"/>
  <c r="F78" i="4"/>
  <c r="E77" i="4"/>
  <c r="F77" i="4"/>
  <c r="E76" i="4"/>
  <c r="F76" i="4"/>
  <c r="E75" i="4"/>
  <c r="F75" i="4"/>
  <c r="E74" i="4"/>
  <c r="F74" i="4"/>
  <c r="E73" i="4"/>
  <c r="F73" i="4"/>
  <c r="E72" i="4"/>
  <c r="F72" i="4"/>
  <c r="E71" i="4"/>
  <c r="F71" i="4"/>
  <c r="E70" i="4"/>
  <c r="F70" i="4"/>
  <c r="E69" i="4"/>
  <c r="F69" i="4"/>
  <c r="E68" i="4"/>
  <c r="F68" i="4"/>
  <c r="E67" i="4"/>
  <c r="F67" i="4"/>
  <c r="E66" i="4"/>
  <c r="F66" i="4"/>
  <c r="E65" i="4"/>
  <c r="F65" i="4"/>
  <c r="E64" i="4"/>
  <c r="F64" i="4"/>
  <c r="E63" i="4"/>
  <c r="F63" i="4"/>
  <c r="E62" i="4"/>
  <c r="F62" i="4"/>
  <c r="E61" i="4"/>
  <c r="F61" i="4"/>
  <c r="E60" i="4"/>
  <c r="F60" i="4"/>
  <c r="E59" i="4"/>
  <c r="F59" i="4"/>
  <c r="E58" i="4"/>
  <c r="F58" i="4"/>
  <c r="E57" i="4"/>
  <c r="F57" i="4"/>
  <c r="E56" i="4"/>
  <c r="F56" i="4"/>
  <c r="E55" i="4"/>
  <c r="F55" i="4"/>
  <c r="E54" i="4"/>
  <c r="F54" i="4"/>
  <c r="E53" i="4"/>
  <c r="F53" i="4"/>
  <c r="E52" i="4"/>
  <c r="F52" i="4"/>
  <c r="E51" i="4"/>
  <c r="F51" i="4"/>
  <c r="E50" i="4"/>
  <c r="F50" i="4"/>
  <c r="E49" i="4"/>
  <c r="F49" i="4"/>
  <c r="E48" i="4"/>
  <c r="F48" i="4"/>
  <c r="E47" i="4"/>
  <c r="F47" i="4"/>
  <c r="E46" i="4"/>
  <c r="F46" i="4"/>
  <c r="E45" i="4"/>
  <c r="F45" i="4"/>
  <c r="E44" i="4"/>
  <c r="F44" i="4"/>
  <c r="E43" i="4"/>
  <c r="F43" i="4"/>
  <c r="E42" i="4"/>
  <c r="F42" i="4"/>
  <c r="E41" i="4"/>
  <c r="F41" i="4"/>
  <c r="E40" i="4"/>
  <c r="F40" i="4"/>
  <c r="E39" i="4"/>
  <c r="F39" i="4"/>
  <c r="E38" i="4"/>
  <c r="F38" i="4"/>
  <c r="F37" i="4"/>
  <c r="F36" i="4"/>
  <c r="E35" i="4"/>
  <c r="F35" i="4"/>
  <c r="E34" i="4"/>
  <c r="F34" i="4"/>
  <c r="E33" i="4"/>
  <c r="F33" i="4"/>
  <c r="E32" i="4"/>
  <c r="F32" i="4"/>
  <c r="E31" i="4"/>
  <c r="F31" i="4"/>
  <c r="E30" i="4"/>
  <c r="F30" i="4"/>
  <c r="E29" i="4"/>
  <c r="F29" i="4"/>
  <c r="E28" i="4"/>
  <c r="F28" i="4"/>
  <c r="E27" i="4"/>
  <c r="F27" i="4"/>
  <c r="E26" i="4"/>
  <c r="F26" i="4"/>
  <c r="E25" i="4"/>
  <c r="F25" i="4"/>
  <c r="E24" i="4"/>
  <c r="F24" i="4"/>
  <c r="E23" i="4"/>
  <c r="F23" i="4"/>
  <c r="E22" i="4"/>
  <c r="F22" i="4"/>
  <c r="E21" i="4"/>
  <c r="F21" i="4"/>
  <c r="E20" i="4"/>
  <c r="F20" i="4"/>
  <c r="E19" i="4"/>
  <c r="F19" i="4"/>
  <c r="E18" i="4"/>
  <c r="F18" i="4"/>
  <c r="E17" i="4"/>
  <c r="F17" i="4"/>
  <c r="E16" i="4"/>
  <c r="F16" i="4"/>
  <c r="E15" i="4"/>
  <c r="F15" i="4"/>
  <c r="E14" i="4"/>
  <c r="F14" i="4"/>
  <c r="E13" i="4"/>
  <c r="F13" i="4"/>
  <c r="E12" i="4"/>
  <c r="F12" i="4"/>
  <c r="E11" i="4"/>
  <c r="F11" i="4"/>
  <c r="E10" i="4"/>
  <c r="F10" i="4"/>
</calcChain>
</file>

<file path=xl/sharedStrings.xml><?xml version="1.0" encoding="utf-8"?>
<sst xmlns="http://schemas.openxmlformats.org/spreadsheetml/2006/main" count="3861" uniqueCount="214">
  <si>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</si>
  <si>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</si>
  <si>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</si>
  <si>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</si>
  <si>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</si>
  <si>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</si>
  <si>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</si>
  <si>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</si>
  <si>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</si>
  <si>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</si>
  <si>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</si>
  <si>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</si>
  <si>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</si>
  <si>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REML1</t>
    </r>
  </si>
  <si>
    <r>
      <t>QC Name</t>
    </r>
    <r>
      <rPr>
        <b/>
        <sz val="9"/>
        <rFont val="Arial"/>
        <family val="2"/>
      </rPr>
      <t>: WSA</t>
    </r>
  </si>
  <si>
    <r>
      <rPr>
        <b/>
        <sz val="10"/>
        <rFont val="Arial"/>
        <family val="2"/>
      </rPr>
      <t xml:space="preserve">Frequency: Monthly or per request </t>
    </r>
  </si>
  <si>
    <r>
      <t xml:space="preserve">Recipe: </t>
    </r>
    <r>
      <rPr>
        <b/>
        <sz val="9"/>
        <rFont val="Arial"/>
        <family val="2"/>
      </rPr>
      <t>AC/BD Metal Contam</t>
    </r>
  </si>
  <si>
    <t>Measurment Tool Recipe: {B2,MP2_8_50}</t>
  </si>
  <si>
    <r>
      <t>Wafer Type</t>
    </r>
    <r>
      <rPr>
        <b/>
        <sz val="9"/>
        <rFont val="Arial"/>
        <family val="2"/>
      </rPr>
      <t>: SiO2 1000</t>
    </r>
    <r>
      <rPr>
        <b/>
        <sz val="9"/>
        <rFont val="Calibri"/>
        <family val="2"/>
      </rPr>
      <t>Å</t>
    </r>
    <r>
      <rPr>
        <b/>
        <sz val="9"/>
        <rFont val="Arial"/>
        <family val="2"/>
      </rPr>
      <t xml:space="preserve"> </t>
    </r>
  </si>
  <si>
    <r>
      <t>Pass Criteria</t>
    </r>
    <r>
      <rPr>
        <b/>
        <sz val="9"/>
        <rFont val="Arial"/>
        <family val="2"/>
      </rPr>
      <t>: (Units: E12 atoms/cm2)</t>
    </r>
  </si>
  <si>
    <t xml:space="preserve">      WSA-Al: LCL = LSL = 0,  UCL = USL = 100</t>
  </si>
  <si>
    <t xml:space="preserve">      WSA-Cr: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</si>
  <si>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</si>
  <si>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</si>
  <si>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</si>
  <si>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</si>
  <si>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</si>
  <si>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</si>
  <si>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</si>
  <si>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</si>
  <si>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</si>
  <si>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</si>
  <si>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</si>
  <si>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</si>
  <si>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</si>
  <si>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</si>
  <si>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</si>
  <si>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</si>
  <si>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</si>
  <si>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YTS_BM_PreOX500,YTS_BM_PostOX500</t>
  </si>
  <si>
    <t>Chamber</t>
  </si>
  <si>
    <t>CP count</t>
  </si>
  <si>
    <t>Employee 
Code</t>
  </si>
  <si>
    <t>Tool</t>
  </si>
  <si>
    <t>USL</t>
  </si>
  <si>
    <t>Pre CP</t>
  </si>
  <si>
    <t>Post CP</t>
  </si>
  <si>
    <t>DPS</t>
  </si>
  <si>
    <t>YEDR1(CPX)</t>
  </si>
  <si>
    <t>ASP</t>
  </si>
  <si>
    <t>DIA (CPX down)</t>
  </si>
  <si>
    <t>YEDR1</t>
  </si>
  <si>
    <t>YEDI</t>
  </si>
  <si>
    <t>YEDI1</t>
  </si>
  <si>
    <t>DIA</t>
  </si>
  <si>
    <t>CPX</t>
  </si>
  <si>
    <t>CPX/DIA</t>
  </si>
  <si>
    <t xml:space="preserve"> after std. Seasoning</t>
  </si>
  <si>
    <t>without seasoning</t>
  </si>
  <si>
    <t>Fresh NOX 8300 wfs used</t>
  </si>
  <si>
    <t>Used wafer</t>
  </si>
  <si>
    <t>Fresh wafer</t>
  </si>
  <si>
    <t>Fresh wafer after 3 wfs sea</t>
  </si>
  <si>
    <t>121/1159</t>
  </si>
  <si>
    <t xml:space="preserve">Chamber RF PM </t>
  </si>
  <si>
    <t>Zahir</t>
  </si>
  <si>
    <t>1340/1159</t>
  </si>
  <si>
    <t>1159/64</t>
  </si>
  <si>
    <t>After the Cl2 and HBr cylinder change</t>
  </si>
  <si>
    <t>Q18470082.F1</t>
  </si>
  <si>
    <t>TRADE TEST</t>
  </si>
  <si>
    <t>YEDI1 TWO STREAK, CPX DOWN</t>
  </si>
  <si>
    <t>Date (MM/DD/YYYY)</t>
  </si>
  <si>
    <t>delta CP</t>
  </si>
  <si>
    <t xml:space="preserve">YEDR1(CPX) </t>
  </si>
  <si>
    <t>QC After Facility Shutdown</t>
  </si>
  <si>
    <r>
      <t>Area</t>
    </r>
    <r>
      <rPr>
        <b/>
        <sz val="10"/>
        <rFont val="Calibri"/>
        <family val="2"/>
        <scheme val="minor"/>
      </rPr>
      <t>: Dry Etch</t>
    </r>
  </si>
  <si>
    <r>
      <t>Tool</t>
    </r>
    <r>
      <rPr>
        <b/>
        <sz val="10"/>
        <rFont val="Calibri"/>
        <family val="2"/>
        <scheme val="minor"/>
      </rPr>
      <t>: REML1</t>
    </r>
  </si>
  <si>
    <r>
      <t>QC Name</t>
    </r>
    <r>
      <rPr>
        <b/>
        <sz val="10"/>
        <rFont val="Calibri"/>
        <family val="2"/>
        <scheme val="minor"/>
      </rPr>
      <t>: CP Test</t>
    </r>
  </si>
  <si>
    <r>
      <rPr>
        <b/>
        <u/>
        <sz val="10"/>
        <rFont val="Calibri"/>
        <family val="2"/>
        <scheme val="minor"/>
      </rPr>
      <t>Recipe</t>
    </r>
    <r>
      <rPr>
        <b/>
        <sz val="10"/>
        <rFont val="Calibri"/>
        <family val="2"/>
        <scheme val="minor"/>
      </rPr>
      <t>: DPS CP TEST, ASP CP TEST</t>
    </r>
  </si>
  <si>
    <r>
      <t>Wafer Type</t>
    </r>
    <r>
      <rPr>
        <b/>
        <sz val="10"/>
        <rFont val="Calibri"/>
        <family val="2"/>
        <scheme val="minor"/>
      </rPr>
      <t>: NOX 500 (&lt;50 Particle of size &gt;0.16 µ)</t>
    </r>
  </si>
  <si>
    <r>
      <t>Pass Criteria</t>
    </r>
    <r>
      <rPr>
        <b/>
        <sz val="10"/>
        <rFont val="Calibri"/>
        <family val="2"/>
        <scheme val="minor"/>
      </rPr>
      <t>:  LSL = 0, USL = 30</t>
    </r>
  </si>
  <si>
    <t>x</t>
  </si>
  <si>
    <t>y</t>
  </si>
  <si>
    <t>point</t>
  </si>
  <si>
    <t>pre</t>
  </si>
  <si>
    <t>post</t>
  </si>
  <si>
    <t>ER</t>
  </si>
  <si>
    <t>Pre</t>
  </si>
  <si>
    <t>Post</t>
  </si>
  <si>
    <t>J0736</t>
  </si>
  <si>
    <t>Left</t>
  </si>
  <si>
    <t>Center</t>
  </si>
  <si>
    <t>Top</t>
  </si>
  <si>
    <t>RPR</t>
  </si>
  <si>
    <t>PICK</t>
  </si>
  <si>
    <t>PR Budget</t>
  </si>
  <si>
    <t xml:space="preserve">M2 US release </t>
  </si>
  <si>
    <t>42 0C</t>
  </si>
  <si>
    <t>38 0C</t>
  </si>
  <si>
    <t>35 0C</t>
  </si>
  <si>
    <t>40 0C</t>
  </si>
  <si>
    <t>Cathode Temp</t>
  </si>
  <si>
    <t>Mean</t>
  </si>
  <si>
    <t>Min</t>
  </si>
  <si>
    <t>Max</t>
  </si>
  <si>
    <t>%Uni</t>
  </si>
  <si>
    <t>Measurment tool Recipe: ETCH\DPS\9PR</t>
  </si>
  <si>
    <t>Date
(MM/DD/YY)</t>
  </si>
  <si>
    <t>Measurement Tool  ID</t>
  </si>
  <si>
    <t>Pre Thickkness  Å</t>
  </si>
  <si>
    <t>Max Etch Rate</t>
  </si>
  <si>
    <t>Min Etch Rate</t>
  </si>
  <si>
    <t>Etch Rate Å/Min</t>
  </si>
  <si>
    <t>LSL</t>
  </si>
  <si>
    <t>%Uniformity</t>
  </si>
  <si>
    <t xml:space="preserve">Less than </t>
  </si>
  <si>
    <t>Tech EC</t>
  </si>
  <si>
    <t>LCL</t>
  </si>
  <si>
    <t>UCL</t>
  </si>
  <si>
    <t>% Uni UCL</t>
  </si>
  <si>
    <t>Site</t>
  </si>
  <si>
    <t>MTOP2</t>
  </si>
  <si>
    <t>∆ /Time=ERÅ/Min</t>
  </si>
  <si>
    <t>MTOP1</t>
  </si>
  <si>
    <t>1335/1428</t>
  </si>
  <si>
    <t>Q17440034.F1</t>
  </si>
  <si>
    <t>1335/121</t>
  </si>
  <si>
    <t>Q17480042.F1</t>
  </si>
  <si>
    <t>Q18150048.F1</t>
  </si>
  <si>
    <t>23/08/2018</t>
  </si>
  <si>
    <t>Q18400097.F1</t>
  </si>
  <si>
    <t>Q18410051.F1</t>
  </si>
  <si>
    <t>Q18410109.F1</t>
  </si>
  <si>
    <t xml:space="preserve">                                                                        </t>
  </si>
  <si>
    <t xml:space="preserve">Q18420082.F1 </t>
  </si>
  <si>
    <t>Q18430002.F1</t>
  </si>
  <si>
    <t>Q18430089.F1</t>
  </si>
  <si>
    <t>Q18440002.F1</t>
  </si>
  <si>
    <t>Q18440065.F1</t>
  </si>
  <si>
    <t>Q18440071.F1</t>
  </si>
  <si>
    <t>Q18450001.F1</t>
  </si>
  <si>
    <t>Q18450089.F1</t>
  </si>
  <si>
    <t>Q18470036.F1</t>
  </si>
  <si>
    <t>TRADE TEST/HARMESH</t>
  </si>
  <si>
    <t>Q18510035.F1</t>
  </si>
  <si>
    <t>Q18520030.F1</t>
  </si>
  <si>
    <t>Q18530001.F1</t>
  </si>
  <si>
    <t>Etch Rate (A/Min)</t>
  </si>
  <si>
    <r>
      <t>QC Name</t>
    </r>
    <r>
      <rPr>
        <b/>
        <sz val="10"/>
        <rFont val="Calibri"/>
        <family val="2"/>
        <scheme val="minor"/>
      </rPr>
      <t>: ER</t>
    </r>
  </si>
  <si>
    <t xml:space="preserve">Frequency: 72hrs or 250 production wfs   </t>
  </si>
  <si>
    <r>
      <t>Wafer Type</t>
    </r>
    <r>
      <rPr>
        <b/>
        <sz val="10"/>
        <rFont val="Calibri"/>
        <family val="2"/>
        <scheme val="minor"/>
      </rPr>
      <t>: Metal PR</t>
    </r>
  </si>
  <si>
    <r>
      <t>Recipe;</t>
    </r>
    <r>
      <rPr>
        <b/>
        <sz val="10"/>
        <rFont val="Calibri"/>
        <family val="2"/>
        <scheme val="minor"/>
      </rPr>
      <t xml:space="preserve"> DSP ETCH RATE</t>
    </r>
  </si>
  <si>
    <r>
      <t>Pass Criteria</t>
    </r>
    <r>
      <rPr>
        <b/>
        <sz val="10"/>
        <rFont val="Calibri"/>
        <family val="2"/>
        <scheme val="minor"/>
      </rPr>
      <t>:  LSL = 19000, USL =49000, Uniformity ≤20%</t>
    </r>
  </si>
  <si>
    <t>% Uniformity</t>
  </si>
  <si>
    <t>% Uni USL</t>
  </si>
  <si>
    <t>Date
(MM/DD/YYYY)</t>
  </si>
  <si>
    <t>Pre Thickness  (Å)</t>
  </si>
  <si>
    <t>DMIS Lot ID</t>
  </si>
  <si>
    <t>Q17340031.F1</t>
  </si>
  <si>
    <t>Q17360002.F1</t>
  </si>
  <si>
    <t>Q17370075.F1</t>
  </si>
  <si>
    <t>Q17380023.F1</t>
  </si>
  <si>
    <t>Q17380064.F1</t>
  </si>
  <si>
    <t>Q17390020.F1</t>
  </si>
  <si>
    <t>Q17390070.F1</t>
  </si>
  <si>
    <t>Q17400012.F1</t>
  </si>
  <si>
    <t>Q17410023.F1</t>
  </si>
  <si>
    <t>Q17410040.F1</t>
  </si>
  <si>
    <t>Q17420031.F1</t>
  </si>
  <si>
    <t>Q17430032.F1</t>
  </si>
  <si>
    <t>1159/102</t>
  </si>
  <si>
    <t>Q17430040.F1
After Ch A PM</t>
  </si>
  <si>
    <t>Q17440054.F1</t>
  </si>
  <si>
    <t>Q17450017.F1</t>
  </si>
  <si>
    <t>Q17450057.F1</t>
  </si>
  <si>
    <t>Q1745006.F1</t>
  </si>
  <si>
    <t>Q18060031.F1</t>
  </si>
  <si>
    <t>Q18020074.F1</t>
  </si>
  <si>
    <t>Q18070036.F1</t>
  </si>
  <si>
    <t>Q18090050.F1</t>
  </si>
  <si>
    <t>Q18110003.F1</t>
  </si>
  <si>
    <t>Q18180054.F1</t>
  </si>
  <si>
    <t>Q18190074.F1</t>
  </si>
  <si>
    <t>Q18210060.F1</t>
  </si>
  <si>
    <t>Q18200086.F1</t>
  </si>
  <si>
    <t>Q18210036.F1</t>
  </si>
  <si>
    <t>Q18220030.F1</t>
  </si>
  <si>
    <t>Q18250009.F1</t>
  </si>
  <si>
    <t>Q18250016.F1</t>
  </si>
  <si>
    <t>Q18270034.F1</t>
  </si>
  <si>
    <t>Q18260066.F1</t>
  </si>
  <si>
    <t>Q18270018.F1</t>
  </si>
  <si>
    <t>Q18270063.F1</t>
  </si>
  <si>
    <t>Q18280001.F1</t>
  </si>
  <si>
    <t>Q18290026.F1</t>
  </si>
  <si>
    <t>Q18290073.F1</t>
  </si>
  <si>
    <t>Q18320055.F1</t>
  </si>
  <si>
    <t>Q18330061.F1</t>
  </si>
  <si>
    <t>Q18350054.F1</t>
  </si>
  <si>
    <t>Q18350081.F1</t>
  </si>
  <si>
    <t>Q18350114.F1</t>
  </si>
  <si>
    <t>Q18370112.F1</t>
  </si>
  <si>
    <t>Q18380054.F1</t>
  </si>
  <si>
    <t>Q18400098.F1</t>
  </si>
  <si>
    <t>Q18420082.F1</t>
  </si>
  <si>
    <r>
      <t>Recipe;</t>
    </r>
    <r>
      <rPr>
        <b/>
        <sz val="10"/>
        <rFont val="Calibri"/>
        <family val="2"/>
        <scheme val="minor"/>
      </rPr>
      <t xml:space="preserve"> ASP ASH RATE</t>
    </r>
  </si>
  <si>
    <t>Pre Thickness (Å)</t>
  </si>
  <si>
    <t>Measurment tool Recipe: ETCH\SCL\OX_ON_SI</t>
  </si>
  <si>
    <t>Measurement Tool ID</t>
  </si>
  <si>
    <r>
      <t xml:space="preserve">Unif improvement TRIAL 1
</t>
    </r>
    <r>
      <rPr>
        <sz val="10"/>
        <rFont val="Calibri"/>
        <family val="2"/>
        <scheme val="minor"/>
      </rPr>
      <t>Etched @ 10mT
Std.- 7mT</t>
    </r>
    <r>
      <rPr>
        <b/>
        <sz val="10"/>
        <rFont val="Calibri"/>
        <family val="2"/>
        <scheme val="minor"/>
      </rPr>
      <t xml:space="preserve"> </t>
    </r>
  </si>
  <si>
    <r>
      <t xml:space="preserve">Unif improvement TRIAL 2
</t>
    </r>
    <r>
      <rPr>
        <sz val="10"/>
        <rFont val="Calibri"/>
        <family val="2"/>
        <scheme val="minor"/>
      </rPr>
      <t>Etched @ 4mT
Std.- 7mT</t>
    </r>
    <r>
      <rPr>
        <b/>
        <sz val="10"/>
        <rFont val="Calibri"/>
        <family val="2"/>
        <scheme val="minor"/>
      </rPr>
      <t xml:space="preserve"> </t>
    </r>
  </si>
  <si>
    <r>
      <t xml:space="preserve">Unif improvement TRIAL 3
</t>
    </r>
    <r>
      <rPr>
        <sz val="10"/>
        <rFont val="Calibri"/>
        <family val="2"/>
        <scheme val="minor"/>
      </rPr>
      <t>Etched @ 4mT
Std.- 7mT</t>
    </r>
    <r>
      <rPr>
        <b/>
        <sz val="10"/>
        <rFont val="Calibri"/>
        <family val="2"/>
        <scheme val="minor"/>
      </rPr>
      <t xml:space="preserve"> </t>
    </r>
  </si>
  <si>
    <t>Measurment tool Recipe: ETCH\QC\9PR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</si>
</sst>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m\/dd\/yyyy"/>
    <numFmt numFmtId="165" formatCode="mm/dd/yyyy;@"/>
  </numFmts>
  <fonts count="21" x14ac:knownFonts="1">
    <font>
      <sz val="12"/>
      <color theme="1"/>
      <name val="Calibri"/>
      <family val="2"/>
      <scheme val="minor"/>
    </font>
    <font>
      <sz val="11"/>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sz val="12"/>
      <name val="Times New Roman"/>
      <family val="1"/>
    </font>
    <font>
      <b/>
      <sz val="9"/>
      <name val="Calibri"/>
      <family val="2"/>
    </font>
    <font>
      <sz val="8"/>
      <name val="Arial"/>
      <family val="2"/>
    </font>
    <font>
      <sz val="10"/>
      <color indexed="23"/>
      <name val="Arial"/>
      <family val="2"/>
    </font>
    <font>
      <b/>
      <u/>
      <sz val="10"/>
      <name val="Calibri"/>
      <family val="2"/>
      <scheme val="minor"/>
    </font>
    <font>
      <b/>
      <sz val="10"/>
      <name val="Calibri"/>
      <family val="2"/>
      <scheme val="minor"/>
    </font>
    <font>
      <sz val="10"/>
      <name val="Calibri"/>
      <family val="2"/>
      <scheme val="minor"/>
    </font>
    <font>
      <sz val="10"/>
      <color indexed="23"/>
      <name val="Calibri"/>
      <family val="2"/>
      <scheme val="minor"/>
    </font>
    <font>
      <sz val="10"/>
      <color theme="1"/>
      <name val="Calibri"/>
      <family val="2"/>
      <scheme val="minor"/>
    </font>
    <font>
      <b/>
      <sz val="10"/>
      <color theme="1"/>
      <name val="Calibri"/>
      <family val="2"/>
      <scheme val="minor"/>
    </font>
    <font>
      <sz val="10"/>
      <color indexed="12"/>
      <name val="Calibri"/>
      <family val="2"/>
      <scheme val="minor"/>
    </font>
    <font>
      <sz val="36"/>
      <color rgb="FF000000"/>
      <name val="Calibri"/>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s>
  <borders count="30">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9">
    <xf numFmtId="0" fontId="0"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2">
    <xf numFmtId="0" fontId="0" fillId="0" borderId="0" xfId="0"/>
    <xf numFmtId="0" fontId="2" fillId="0" borderId="0" xfId="0" applyFont="1"/>
    <xf numFmtId="0" fontId="4" fillId="2" borderId="0" xfId="0" applyFont="1" applyFill="1" applyAlignment="1"/>
    <xf numFmtId="0" fontId="3" fillId="2" borderId="4" xfId="0" applyFont="1" applyFill="1" applyBorder="1" applyAlignment="1"/>
    <xf numFmtId="0" fontId="6" fillId="0" borderId="0" xfId="0" applyFont="1" applyBorder="1"/>
    <xf numFmtId="0" fontId="3" fillId="2" borderId="0" xfId="0" applyFont="1" applyFill="1" applyBorder="1" applyAlignment="1"/>
    <xf numFmtId="0" fontId="5" fillId="2" borderId="0" xfId="0" applyFont="1" applyFill="1" applyBorder="1" applyAlignment="1"/>
    <xf numFmtId="0" fontId="3" fillId="2" borderId="5" xfId="0" applyFont="1" applyFill="1" applyBorder="1" applyAlignment="1">
      <alignment horizontal="right"/>
    </xf>
    <xf numFmtId="0" fontId="7" fillId="2" borderId="0" xfId="0" applyFont="1" applyFill="1" applyAlignment="1"/>
    <xf numFmtId="0" fontId="8" fillId="2" borderId="0" xfId="0" applyFont="1" applyFill="1" applyAlignment="1"/>
    <xf numFmtId="0" fontId="3" fillId="2" borderId="4" xfId="0" applyFont="1" applyFill="1" applyBorder="1" applyAlignment="1">
      <alignment horizontal="left"/>
    </xf>
    <xf numFmtId="0" fontId="6" fillId="2" borderId="0" xfId="0" applyFont="1" applyFill="1" applyBorder="1"/>
    <xf numFmtId="0" fontId="8" fillId="0" borderId="0" xfId="0" applyFont="1" applyBorder="1" applyAlignment="1"/>
    <xf numFmtId="0" fontId="9" fillId="0" borderId="0" xfId="0" applyFont="1" applyBorder="1" applyAlignment="1">
      <alignment wrapText="1"/>
    </xf>
    <xf numFmtId="0" fontId="5" fillId="2" borderId="5" xfId="0" applyFont="1" applyFill="1" applyBorder="1" applyAlignment="1"/>
    <xf numFmtId="0" fontId="5" fillId="2" borderId="4" xfId="0" applyFont="1" applyFill="1" applyBorder="1" applyAlignment="1"/>
    <xf numFmtId="0" fontId="5" fillId="2" borderId="0" xfId="0" applyFont="1" applyFill="1" applyBorder="1" applyAlignment="1">
      <alignment horizontal="left"/>
    </xf>
    <xf numFmtId="0" fontId="5" fillId="2" borderId="6" xfId="0" applyFont="1" applyFill="1" applyBorder="1" applyAlignment="1"/>
    <xf numFmtId="0" fontId="5" fillId="2" borderId="7" xfId="0" applyFont="1" applyFill="1" applyBorder="1" applyAlignment="1">
      <alignment horizontal="left"/>
    </xf>
    <xf numFmtId="0" fontId="5" fillId="2" borderId="7" xfId="0" applyFont="1" applyFill="1" applyBorder="1" applyAlignment="1"/>
    <xf numFmtId="0" fontId="5" fillId="2" borderId="8" xfId="0" applyFont="1" applyFill="1" applyBorder="1" applyAlignment="1"/>
    <xf numFmtId="0" fontId="11" fillId="0" borderId="9" xfId="0" applyFont="1" applyBorder="1" applyAlignment="1">
      <alignment horizontal="center" vertical="center" wrapText="1"/>
    </xf>
    <xf numFmtId="0" fontId="6" fillId="0" borderId="9" xfId="0" applyFont="1" applyBorder="1" applyAlignment="1">
      <alignment horizontal="center" vertical="center" wrapText="1"/>
    </xf>
    <xf numFmtId="0" fontId="6" fillId="0" borderId="9" xfId="0" applyFont="1" applyBorder="1" applyAlignment="1">
      <alignment horizontal="center" vertical="center"/>
    </xf>
    <xf numFmtId="0" fontId="8" fillId="0" borderId="0" xfId="0" applyFont="1" applyBorder="1"/>
    <xf numFmtId="0" fontId="6" fillId="0" borderId="9" xfId="0" applyFont="1" applyBorder="1" applyAlignment="1">
      <alignment horizontal="center"/>
    </xf>
    <xf numFmtId="0" fontId="6" fillId="0" borderId="9" xfId="0" applyFont="1" applyBorder="1" applyAlignment="1">
      <alignment horizontal="center" wrapText="1"/>
    </xf>
    <xf numFmtId="0" fontId="12" fillId="0" borderId="9" xfId="0" applyFont="1" applyBorder="1" applyAlignment="1"/>
    <xf numFmtId="0" fontId="7" fillId="0" borderId="9" xfId="0" applyFont="1" applyBorder="1" applyAlignment="1"/>
    <xf numFmtId="0" fontId="7" fillId="0" borderId="0" xfId="0" applyFont="1" applyBorder="1" applyAlignment="1"/>
    <xf numFmtId="0" fontId="7" fillId="0" borderId="0" xfId="0" applyFont="1" applyBorder="1"/>
    <xf numFmtId="0" fontId="0" fillId="0" borderId="9" xfId="0" applyBorder="1" applyAlignment="1">
      <alignment horizontal="center"/>
    </xf>
    <xf numFmtId="0" fontId="13" fillId="2" borderId="0" xfId="0" applyFont="1" applyFill="1" applyAlignment="1">
      <alignment horizontal="center" vertical="center"/>
    </xf>
    <xf numFmtId="0" fontId="13" fillId="2" borderId="0" xfId="0" applyFont="1" applyFill="1" applyAlignment="1"/>
    <xf numFmtId="0" fontId="14" fillId="0" borderId="0" xfId="0" applyFont="1" applyAlignment="1"/>
    <xf numFmtId="0" fontId="14" fillId="0" borderId="0" xfId="0" applyFont="1" applyAlignment="1">
      <alignment horizontal="center"/>
    </xf>
    <xf numFmtId="0" fontId="14" fillId="0" borderId="5" xfId="0" applyFont="1" applyBorder="1" applyAlignment="1"/>
    <xf numFmtId="164" fontId="15" fillId="2" borderId="9" xfId="0" applyNumberFormat="1" applyFont="1" applyFill="1" applyBorder="1" applyAlignment="1">
      <alignment horizontal="center" vertical="top"/>
    </xf>
    <xf numFmtId="0" fontId="15" fillId="0" borderId="9" xfId="0" applyFont="1" applyBorder="1" applyAlignment="1">
      <alignment horizontal="center" wrapText="1"/>
    </xf>
    <xf numFmtId="0" fontId="16" fillId="0" borderId="9" xfId="0" applyFont="1" applyBorder="1" applyAlignment="1">
      <alignment wrapText="1"/>
    </xf>
    <xf numFmtId="0" fontId="15" fillId="0" borderId="9" xfId="0" applyFont="1" applyFill="1" applyBorder="1" applyAlignment="1">
      <alignment horizontal="center" wrapText="1"/>
    </xf>
    <xf numFmtId="0" fontId="16" fillId="0" borderId="9" xfId="0" applyFont="1" applyFill="1" applyBorder="1" applyAlignment="1">
      <alignment wrapText="1"/>
    </xf>
    <xf numFmtId="0" fontId="15" fillId="0" borderId="9" xfId="0" applyFont="1" applyBorder="1" applyAlignment="1">
      <alignment horizontal="center"/>
    </xf>
    <xf numFmtId="0" fontId="15" fillId="0" borderId="9" xfId="0" applyFont="1" applyFill="1" applyBorder="1" applyAlignment="1">
      <alignment horizontal="center"/>
    </xf>
    <xf numFmtId="0" fontId="15" fillId="0" borderId="9" xfId="0" applyFont="1" applyBorder="1"/>
    <xf numFmtId="0" fontId="13" fillId="2" borderId="1" xfId="0" applyFont="1" applyFill="1" applyBorder="1" applyAlignment="1"/>
    <xf numFmtId="0" fontId="13" fillId="2" borderId="2" xfId="0" applyFont="1" applyFill="1" applyBorder="1" applyAlignment="1"/>
    <xf numFmtId="0" fontId="13" fillId="2" borderId="2" xfId="0" applyFont="1" applyFill="1" applyBorder="1" applyAlignment="1">
      <alignment horizontal="center"/>
    </xf>
    <xf numFmtId="0" fontId="13" fillId="2" borderId="3" xfId="0" applyFont="1" applyFill="1" applyBorder="1" applyAlignment="1"/>
    <xf numFmtId="164" fontId="13" fillId="2" borderId="4" xfId="0" applyNumberFormat="1" applyFont="1" applyFill="1" applyBorder="1" applyAlignment="1"/>
    <xf numFmtId="0" fontId="15" fillId="0" borderId="0" xfId="0" applyFont="1" applyBorder="1"/>
    <xf numFmtId="0" fontId="13" fillId="2" borderId="0" xfId="0" applyFont="1" applyFill="1" applyBorder="1" applyAlignment="1">
      <alignment horizontal="center"/>
    </xf>
    <xf numFmtId="0" fontId="14" fillId="2" borderId="0" xfId="0" applyFont="1" applyFill="1" applyBorder="1" applyAlignment="1"/>
    <xf numFmtId="0" fontId="15" fillId="0" borderId="0" xfId="0" applyFont="1" applyBorder="1" applyAlignment="1">
      <alignment horizontal="center"/>
    </xf>
    <xf numFmtId="0" fontId="13" fillId="2" borderId="5" xfId="0" applyFont="1" applyFill="1" applyBorder="1" applyAlignment="1">
      <alignment horizontal="right"/>
    </xf>
    <xf numFmtId="0" fontId="17" fillId="0" borderId="0" xfId="0" applyFont="1" applyAlignment="1">
      <alignment horizontal="center" vertical="center"/>
    </xf>
    <xf numFmtId="0" fontId="17" fillId="0" borderId="0" xfId="0" applyFont="1"/>
    <xf numFmtId="164" fontId="13" fillId="2" borderId="4" xfId="0" applyNumberFormat="1" applyFont="1" applyFill="1" applyBorder="1" applyAlignment="1">
      <alignment horizontal="left"/>
    </xf>
    <xf numFmtId="0" fontId="14" fillId="2" borderId="0" xfId="0" applyFont="1" applyFill="1" applyBorder="1"/>
    <xf numFmtId="0" fontId="14" fillId="2" borderId="0" xfId="0" applyFont="1" applyFill="1" applyBorder="1" applyAlignment="1">
      <alignment horizontal="center"/>
    </xf>
    <xf numFmtId="0" fontId="14" fillId="2" borderId="5" xfId="0" applyFont="1" applyFill="1" applyBorder="1" applyAlignment="1"/>
    <xf numFmtId="164" fontId="14" fillId="2" borderId="4" xfId="0" applyNumberFormat="1" applyFont="1" applyFill="1" applyBorder="1" applyAlignment="1">
      <alignment horizontal="left"/>
    </xf>
    <xf numFmtId="0" fontId="17" fillId="0" borderId="0" xfId="0" applyFont="1" applyAlignment="1">
      <alignment horizontal="center"/>
    </xf>
    <xf numFmtId="0" fontId="17" fillId="2" borderId="0" xfId="0" applyFont="1" applyFill="1" applyAlignment="1">
      <alignment horizontal="center"/>
    </xf>
    <xf numFmtId="0" fontId="15" fillId="2" borderId="0" xfId="0" applyFont="1" applyFill="1" applyBorder="1"/>
    <xf numFmtId="164" fontId="17" fillId="0" borderId="0" xfId="0" applyNumberFormat="1" applyFont="1"/>
    <xf numFmtId="0" fontId="15" fillId="0" borderId="9" xfId="0" applyFont="1" applyBorder="1" applyAlignment="1">
      <alignment horizontal="center" vertical="top" wrapText="1"/>
    </xf>
    <xf numFmtId="0" fontId="17" fillId="0" borderId="9" xfId="0" applyFont="1" applyBorder="1"/>
    <xf numFmtId="164" fontId="15" fillId="0" borderId="10" xfId="0" applyNumberFormat="1" applyFont="1" applyBorder="1" applyAlignment="1">
      <alignment vertical="top" wrapText="1"/>
    </xf>
    <xf numFmtId="0" fontId="15" fillId="0" borderId="10" xfId="0" applyFont="1" applyBorder="1" applyAlignment="1">
      <alignment vertical="top" wrapText="1"/>
    </xf>
    <xf numFmtId="0" fontId="17" fillId="0" borderId="9" xfId="0" applyFont="1" applyBorder="1" applyAlignment="1">
      <alignment horizontal="center" vertical="center"/>
    </xf>
    <xf numFmtId="0" fontId="15" fillId="0" borderId="9" xfId="0" applyFont="1" applyBorder="1" applyAlignment="1">
      <alignment vertical="top" wrapText="1"/>
    </xf>
    <xf numFmtId="0" fontId="15" fillId="0" borderId="0" xfId="0" applyFont="1" applyBorder="1" applyAlignment="1">
      <alignment vertical="top" wrapText="1"/>
    </xf>
    <xf numFmtId="0" fontId="17" fillId="0" borderId="9" xfId="0" applyFont="1" applyBorder="1" applyAlignment="1">
      <alignment horizontal="center"/>
    </xf>
    <xf numFmtId="164" fontId="17" fillId="0" borderId="9" xfId="0" applyNumberFormat="1" applyFont="1" applyBorder="1"/>
    <xf numFmtId="164" fontId="14" fillId="2" borderId="4" xfId="0" applyNumberFormat="1" applyFont="1" applyFill="1" applyBorder="1" applyAlignment="1"/>
    <xf numFmtId="164" fontId="15" fillId="0" borderId="11" xfId="0" applyNumberFormat="1" applyFont="1" applyBorder="1" applyAlignment="1">
      <alignment vertical="top" wrapText="1"/>
    </xf>
    <xf numFmtId="0" fontId="15" fillId="0" borderId="11" xfId="0" applyFont="1" applyBorder="1" applyAlignment="1">
      <alignment vertical="top" wrapText="1"/>
    </xf>
    <xf numFmtId="0" fontId="15" fillId="0" borderId="12" xfId="0" applyFont="1" applyBorder="1" applyAlignment="1">
      <alignment horizontal="center" vertical="top" wrapText="1"/>
    </xf>
    <xf numFmtId="0" fontId="17" fillId="0" borderId="12" xfId="0" applyFont="1" applyBorder="1" applyAlignment="1">
      <alignment horizontal="center" vertical="center"/>
    </xf>
    <xf numFmtId="0" fontId="17" fillId="0" borderId="12" xfId="0" applyFont="1" applyBorder="1"/>
    <xf numFmtId="0" fontId="17" fillId="0" borderId="0" xfId="0" applyFont="1" applyBorder="1"/>
    <xf numFmtId="0" fontId="15" fillId="0" borderId="0" xfId="0" applyFont="1" applyBorder="1" applyAlignment="1">
      <alignment vertical="top"/>
    </xf>
    <xf numFmtId="164" fontId="17" fillId="0" borderId="2" xfId="0" applyNumberFormat="1" applyFont="1" applyBorder="1"/>
    <xf numFmtId="0" fontId="17" fillId="0" borderId="2" xfId="0" applyFont="1" applyBorder="1"/>
    <xf numFmtId="0" fontId="17" fillId="0" borderId="2" xfId="0" applyFont="1" applyBorder="1" applyAlignment="1">
      <alignment horizontal="center"/>
    </xf>
    <xf numFmtId="0" fontId="15" fillId="0" borderId="2" xfId="0" applyFont="1" applyBorder="1" applyAlignment="1">
      <alignment horizontal="center" vertical="top" wrapText="1"/>
    </xf>
    <xf numFmtId="0" fontId="15" fillId="0" borderId="2" xfId="0" applyFont="1" applyBorder="1" applyAlignment="1">
      <alignment horizontal="center" vertical="top"/>
    </xf>
    <xf numFmtId="0" fontId="15" fillId="0" borderId="2" xfId="0" applyFont="1" applyFill="1" applyBorder="1" applyAlignment="1">
      <alignment horizontal="center" vertical="center"/>
    </xf>
    <xf numFmtId="0" fontId="15" fillId="0" borderId="9" xfId="0" applyFont="1" applyBorder="1" applyAlignment="1">
      <alignment horizontal="left" vertical="top" wrapText="1"/>
    </xf>
    <xf numFmtId="0" fontId="13" fillId="2" borderId="0" xfId="0" applyFont="1" applyFill="1" applyAlignment="1">
      <alignment horizontal="left" vertical="top"/>
    </xf>
    <xf numFmtId="0" fontId="17" fillId="0" borderId="0" xfId="0" applyFont="1" applyAlignment="1">
      <alignment horizontal="left" vertical="top"/>
    </xf>
    <xf numFmtId="0" fontId="17" fillId="0" borderId="12" xfId="0" applyFont="1" applyBorder="1" applyAlignment="1">
      <alignment horizontal="left" vertical="top"/>
    </xf>
    <xf numFmtId="0" fontId="17" fillId="0" borderId="9" xfId="0" applyFont="1" applyBorder="1" applyAlignment="1">
      <alignment horizontal="left" vertical="top"/>
    </xf>
    <xf numFmtId="0" fontId="15" fillId="0" borderId="9" xfId="0" applyFont="1" applyBorder="1" applyAlignment="1">
      <alignment horizontal="left" vertical="top"/>
    </xf>
    <xf numFmtId="0" fontId="18" fillId="0" borderId="0" xfId="0" applyFont="1" applyAlignment="1">
      <alignment horizontal="center" vertical="top"/>
    </xf>
    <xf numFmtId="0" fontId="17" fillId="0" borderId="2" xfId="0" applyFont="1" applyBorder="1" applyAlignment="1">
      <alignment horizontal="left" vertical="top"/>
    </xf>
    <xf numFmtId="164" fontId="15" fillId="2" borderId="12" xfId="0" applyNumberFormat="1" applyFont="1" applyFill="1" applyBorder="1" applyAlignment="1">
      <alignment horizontal="center" vertical="top"/>
    </xf>
    <xf numFmtId="0" fontId="15" fillId="0" borderId="12" xfId="0" applyFont="1" applyBorder="1" applyAlignment="1">
      <alignment horizontal="center" wrapText="1"/>
    </xf>
    <xf numFmtId="0" fontId="16" fillId="0" borderId="12" xfId="0" applyFont="1" applyBorder="1" applyAlignment="1">
      <alignment wrapText="1"/>
    </xf>
    <xf numFmtId="164" fontId="14" fillId="0" borderId="13" xfId="0" applyNumberFormat="1" applyFont="1" applyBorder="1" applyAlignment="1">
      <alignment horizontal="center" vertical="top" wrapText="1"/>
    </xf>
    <xf numFmtId="0" fontId="14" fillId="0" borderId="14" xfId="0" applyFont="1" applyBorder="1" applyAlignment="1">
      <alignment horizontal="center" vertical="top" wrapText="1"/>
    </xf>
    <xf numFmtId="0" fontId="14" fillId="0" borderId="14" xfId="0" applyFont="1" applyBorder="1" applyAlignment="1">
      <alignment horizontal="center" vertical="top"/>
    </xf>
    <xf numFmtId="0" fontId="18" fillId="0" borderId="14" xfId="0" applyFont="1" applyBorder="1" applyAlignment="1">
      <alignment horizontal="center" vertical="top"/>
    </xf>
    <xf numFmtId="0" fontId="18" fillId="0" borderId="15" xfId="0" applyFont="1" applyBorder="1" applyAlignment="1">
      <alignment horizontal="center" vertical="top"/>
    </xf>
    <xf numFmtId="0" fontId="0" fillId="3" borderId="9" xfId="0" applyFill="1" applyBorder="1"/>
    <xf numFmtId="0" fontId="0" fillId="4" borderId="0" xfId="0" applyFill="1"/>
    <xf numFmtId="10" fontId="0" fillId="0" borderId="0" xfId="0" applyNumberFormat="1"/>
    <xf numFmtId="0" fontId="8" fillId="0" borderId="9" xfId="0" applyFont="1" applyBorder="1" applyAlignment="1">
      <alignment horizontal="center"/>
    </xf>
    <xf numFmtId="0" fontId="0" fillId="3" borderId="9" xfId="0" applyFill="1" applyBorder="1" applyAlignment="1">
      <alignment horizontal="center"/>
    </xf>
    <xf numFmtId="0" fontId="15" fillId="0" borderId="12" xfId="0" applyFont="1" applyBorder="1" applyAlignment="1">
      <alignment horizontal="center"/>
    </xf>
    <xf numFmtId="0" fontId="15" fillId="0" borderId="0" xfId="0" applyFont="1"/>
    <xf numFmtId="0" fontId="15" fillId="0" borderId="0" xfId="0" applyFont="1" applyAlignment="1">
      <alignment vertical="center"/>
    </xf>
    <xf numFmtId="164" fontId="13" fillId="2" borderId="0" xfId="0" applyNumberFormat="1" applyFont="1" applyFill="1" applyBorder="1" applyAlignment="1"/>
    <xf numFmtId="0" fontId="13" fillId="2" borderId="0" xfId="0" applyFont="1" applyFill="1" applyBorder="1" applyAlignment="1"/>
    <xf numFmtId="0" fontId="13" fillId="2" borderId="3" xfId="0" applyFont="1" applyFill="1" applyBorder="1" applyAlignment="1">
      <alignment vertical="center"/>
    </xf>
    <xf numFmtId="0" fontId="13" fillId="2" borderId="0" xfId="0" applyFont="1" applyFill="1" applyBorder="1" applyAlignment="1">
      <alignment horizontal="right"/>
    </xf>
    <xf numFmtId="0" fontId="15" fillId="2" borderId="5" xfId="0" applyFont="1" applyFill="1" applyBorder="1"/>
    <xf numFmtId="0" fontId="13" fillId="2" borderId="5" xfId="0" applyFont="1" applyFill="1" applyBorder="1" applyAlignment="1">
      <alignment horizontal="right" vertical="center"/>
    </xf>
    <xf numFmtId="164" fontId="13" fillId="2" borderId="0" xfId="0" applyNumberFormat="1" applyFont="1" applyFill="1" applyBorder="1" applyAlignment="1">
      <alignment horizontal="left"/>
    </xf>
    <xf numFmtId="0" fontId="14" fillId="2" borderId="5" xfId="0" applyFont="1" applyFill="1" applyBorder="1"/>
    <xf numFmtId="0" fontId="14" fillId="2" borderId="5" xfId="0" applyFont="1" applyFill="1" applyBorder="1" applyAlignment="1">
      <alignment vertical="center"/>
    </xf>
    <xf numFmtId="0" fontId="17" fillId="0" borderId="5" xfId="0" applyFont="1" applyBorder="1" applyAlignment="1"/>
    <xf numFmtId="0" fontId="17" fillId="2" borderId="0" xfId="0" applyFont="1" applyFill="1" applyBorder="1" applyAlignment="1"/>
    <xf numFmtId="0" fontId="19" fillId="2" borderId="0" xfId="0" applyFont="1" applyFill="1" applyBorder="1" applyAlignment="1">
      <alignment horizontal="left" vertical="center"/>
    </xf>
    <xf numFmtId="0" fontId="17" fillId="2" borderId="0" xfId="0" applyFont="1" applyFill="1" applyBorder="1" applyAlignment="1">
      <alignment horizontal="left" vertical="center"/>
    </xf>
    <xf numFmtId="0" fontId="17" fillId="0" borderId="5" xfId="0" applyFont="1" applyBorder="1" applyAlignment="1">
      <alignment horizontal="left" vertical="center"/>
    </xf>
    <xf numFmtId="164" fontId="14" fillId="2" borderId="0" xfId="0" applyNumberFormat="1" applyFont="1" applyFill="1" applyBorder="1" applyAlignment="1"/>
    <xf numFmtId="164" fontId="15" fillId="0" borderId="9"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0" fontId="15" fillId="0" borderId="10" xfId="0" applyFont="1" applyBorder="1" applyAlignment="1">
      <alignment vertical="top"/>
    </xf>
    <xf numFmtId="0" fontId="15" fillId="0" borderId="10" xfId="0" applyFont="1" applyBorder="1" applyAlignment="1">
      <alignment vertical="center"/>
    </xf>
    <xf numFmtId="0" fontId="15" fillId="0" borderId="11" xfId="0" applyFont="1" applyBorder="1" applyAlignment="1">
      <alignment vertical="top"/>
    </xf>
    <xf numFmtId="0" fontId="15" fillId="0" borderId="11" xfId="0" applyFont="1" applyBorder="1" applyAlignment="1">
      <alignment vertical="center"/>
    </xf>
    <xf numFmtId="164" fontId="15" fillId="0" borderId="12" xfId="0" applyNumberFormat="1" applyFont="1" applyBorder="1" applyAlignment="1">
      <alignment vertical="top" wrapText="1"/>
    </xf>
    <xf numFmtId="0" fontId="15" fillId="0" borderId="12" xfId="0" applyFont="1" applyBorder="1" applyAlignment="1">
      <alignment vertical="top" wrapText="1"/>
    </xf>
    <xf numFmtId="0" fontId="15" fillId="0" borderId="12" xfId="0" applyFont="1" applyBorder="1" applyAlignment="1">
      <alignment vertical="top"/>
    </xf>
    <xf numFmtId="0" fontId="15" fillId="0" borderId="12" xfId="0" applyFont="1" applyBorder="1" applyAlignment="1">
      <alignment vertical="center"/>
    </xf>
    <xf numFmtId="0" fontId="14" fillId="0" borderId="10" xfId="0" applyFont="1" applyBorder="1" applyAlignment="1">
      <alignment vertical="center"/>
    </xf>
    <xf numFmtId="0" fontId="14" fillId="0" borderId="11" xfId="0" applyFont="1" applyBorder="1" applyAlignment="1">
      <alignment vertical="center"/>
    </xf>
    <xf numFmtId="0" fontId="14" fillId="0" borderId="12" xfId="0" applyFont="1" applyBorder="1" applyAlignment="1">
      <alignment vertical="center"/>
    </xf>
    <xf numFmtId="0" fontId="14" fillId="0" borderId="10" xfId="0" applyFont="1" applyBorder="1" applyAlignment="1">
      <alignment vertical="center" wrapText="1"/>
    </xf>
    <xf numFmtId="0" fontId="14" fillId="0" borderId="11" xfId="0" applyFont="1" applyBorder="1" applyAlignment="1">
      <alignment vertical="center" wrapText="1"/>
    </xf>
    <xf numFmtId="0" fontId="14" fillId="0" borderId="12" xfId="0" applyFont="1" applyBorder="1" applyAlignment="1">
      <alignment vertical="center" wrapText="1"/>
    </xf>
    <xf numFmtId="0" fontId="17" fillId="0" borderId="0" xfId="0" applyFont="1" applyFill="1" applyBorder="1"/>
    <xf numFmtId="0" fontId="15" fillId="0" borderId="10" xfId="0" applyFont="1" applyBorder="1" applyAlignment="1">
      <alignment horizontal="center" vertical="top" wrapText="1"/>
    </xf>
    <xf numFmtId="0" fontId="14" fillId="0" borderId="9" xfId="0" applyFont="1" applyBorder="1" applyAlignment="1">
      <alignment horizontal="center" vertical="center"/>
    </xf>
    <xf numFmtId="164" fontId="15" fillId="0" borderId="11" xfId="0" applyNumberFormat="1" applyFont="1" applyBorder="1" applyAlignment="1">
      <alignment horizontal="center" vertical="top" wrapText="1"/>
    </xf>
    <xf numFmtId="0" fontId="15" fillId="0" borderId="11" xfId="0" applyFont="1" applyBorder="1" applyAlignment="1">
      <alignment horizontal="center" vertical="top" wrapText="1"/>
    </xf>
    <xf numFmtId="164" fontId="15" fillId="0" borderId="12" xfId="0" applyNumberFormat="1" applyFont="1" applyBorder="1" applyAlignment="1">
      <alignment horizontal="center" vertical="top" wrapText="1"/>
    </xf>
    <xf numFmtId="0" fontId="17" fillId="0" borderId="0" xfId="0" applyFont="1" applyAlignment="1">
      <alignment vertical="center"/>
    </xf>
    <xf numFmtId="0" fontId="17" fillId="0" borderId="0" xfId="1" applyFont="1"/>
    <xf numFmtId="0" fontId="17" fillId="0" borderId="0" xfId="2" applyFont="1"/>
    <xf numFmtId="0" fontId="15" fillId="0" borderId="10" xfId="0" applyFont="1" applyBorder="1" applyAlignment="1">
      <alignment horizontal="right" vertical="top" wrapText="1"/>
    </xf>
    <xf numFmtId="14" fontId="15" fillId="0" borderId="10" xfId="0" applyNumberFormat="1" applyFont="1" applyBorder="1" applyAlignment="1">
      <alignment horizontal="center" vertical="center" wrapText="1"/>
    </xf>
    <xf numFmtId="14" fontId="15" fillId="0" borderId="11" xfId="0" applyNumberFormat="1" applyFont="1" applyBorder="1" applyAlignment="1">
      <alignment horizontal="center" vertical="center" wrapText="1"/>
    </xf>
    <xf numFmtId="14" fontId="15" fillId="0" borderId="12" xfId="0" applyNumberFormat="1" applyFont="1" applyBorder="1" applyAlignment="1">
      <alignment horizontal="center" vertical="center" wrapText="1"/>
    </xf>
    <xf numFmtId="0" fontId="17" fillId="0" borderId="0" xfId="3" applyFont="1"/>
    <xf numFmtId="0" fontId="17" fillId="0" borderId="0" xfId="4" applyFont="1"/>
    <xf numFmtId="0" fontId="17" fillId="0" borderId="4" xfId="0" applyFont="1" applyBorder="1" applyAlignment="1">
      <alignment vertical="center"/>
    </xf>
    <xf numFmtId="0" fontId="17" fillId="0" borderId="0" xfId="5" applyFont="1"/>
    <xf numFmtId="0" fontId="17" fillId="0" borderId="0" xfId="6" applyFont="1"/>
    <xf numFmtId="164" fontId="15" fillId="0" borderId="2" xfId="0" applyNumberFormat="1" applyFont="1" applyBorder="1" applyAlignment="1">
      <alignment horizontal="center" vertical="top" wrapText="1"/>
    </xf>
    <xf numFmtId="0" fontId="15" fillId="0" borderId="2" xfId="0" applyFont="1" applyBorder="1" applyAlignment="1">
      <alignment vertical="top" wrapText="1"/>
    </xf>
    <xf numFmtId="0" fontId="15" fillId="0" borderId="2" xfId="0" applyFont="1" applyFill="1" applyBorder="1" applyAlignment="1">
      <alignment horizontal="center" vertical="top" wrapText="1"/>
    </xf>
    <xf numFmtId="164" fontId="14" fillId="0" borderId="14" xfId="0" applyNumberFormat="1" applyFont="1" applyBorder="1" applyAlignment="1">
      <alignment horizontal="center" vertical="top" wrapText="1"/>
    </xf>
    <xf numFmtId="0" fontId="14" fillId="0" borderId="14" xfId="0" applyFont="1" applyFill="1" applyBorder="1" applyAlignment="1">
      <alignment horizontal="center" vertical="top" wrapText="1"/>
    </xf>
    <xf numFmtId="0" fontId="14" fillId="0" borderId="14" xfId="0" applyFont="1" applyFill="1" applyBorder="1" applyAlignment="1">
      <alignment horizontal="center" vertical="top"/>
    </xf>
    <xf numFmtId="0" fontId="18" fillId="0" borderId="17" xfId="0" applyFont="1" applyBorder="1" applyAlignment="1">
      <alignment horizontal="center" vertical="top"/>
    </xf>
    <xf numFmtId="164" fontId="17" fillId="0" borderId="0" xfId="0" applyNumberFormat="1" applyFont="1" applyAlignment="1">
      <alignment horizontal="center"/>
    </xf>
    <xf numFmtId="164" fontId="17" fillId="0" borderId="9" xfId="0" applyNumberFormat="1" applyFont="1" applyBorder="1" applyAlignment="1">
      <alignment horizontal="center"/>
    </xf>
    <xf numFmtId="0" fontId="17" fillId="0" borderId="0" xfId="0" applyFont="1" applyBorder="1" applyAlignment="1">
      <alignment horizontal="left" vertical="center"/>
    </xf>
    <xf numFmtId="0" fontId="17" fillId="0" borderId="0" xfId="7" applyFont="1"/>
    <xf numFmtId="0" fontId="17" fillId="0" borderId="0" xfId="8" applyFont="1"/>
    <xf numFmtId="165" fontId="15" fillId="0" borderId="10" xfId="0" applyNumberFormat="1" applyFont="1" applyBorder="1" applyAlignment="1">
      <alignment vertical="center" wrapText="1"/>
    </xf>
    <xf numFmtId="165" fontId="15" fillId="0" borderId="11" xfId="0" applyNumberFormat="1" applyFont="1" applyBorder="1" applyAlignment="1">
      <alignment vertical="center" wrapText="1"/>
    </xf>
    <xf numFmtId="165" fontId="15" fillId="0" borderId="12" xfId="0" applyNumberFormat="1" applyFont="1" applyBorder="1" applyAlignment="1">
      <alignment vertical="center" wrapText="1"/>
    </xf>
    <xf numFmtId="165" fontId="17" fillId="0" borderId="3" xfId="0" applyNumberFormat="1" applyFont="1" applyBorder="1" applyAlignment="1">
      <alignment vertical="center"/>
    </xf>
    <xf numFmtId="165" fontId="17" fillId="0" borderId="5" xfId="0" applyNumberFormat="1" applyFont="1" applyBorder="1" applyAlignment="1">
      <alignment vertical="center"/>
    </xf>
    <xf numFmtId="0" fontId="15" fillId="0" borderId="10" xfId="0" applyFont="1" applyBorder="1" applyAlignment="1">
      <alignment vertical="center" wrapText="1"/>
    </xf>
    <xf numFmtId="0" fontId="15" fillId="0" borderId="11" xfId="0" applyFont="1" applyBorder="1" applyAlignment="1">
      <alignment vertical="center" wrapText="1"/>
    </xf>
    <xf numFmtId="0" fontId="15" fillId="0" borderId="12" xfId="0" applyFont="1" applyBorder="1" applyAlignment="1">
      <alignment vertical="center" wrapText="1"/>
    </xf>
    <xf numFmtId="0" fontId="17" fillId="0" borderId="10" xfId="0" applyFont="1" applyBorder="1" applyAlignment="1"/>
    <xf numFmtId="0" fontId="17" fillId="0" borderId="11" xfId="0" applyFont="1" applyBorder="1" applyAlignment="1"/>
    <xf numFmtId="0" fontId="17" fillId="0" borderId="12" xfId="0" applyFont="1" applyBorder="1" applyAlignment="1"/>
    <xf numFmtId="0" fontId="15" fillId="0" borderId="1" xfId="0" applyFont="1" applyBorder="1" applyAlignment="1">
      <alignment vertical="center" wrapText="1"/>
    </xf>
    <xf numFmtId="0" fontId="15" fillId="0" borderId="4" xfId="0" applyFont="1" applyBorder="1" applyAlignment="1">
      <alignment vertical="center" wrapText="1"/>
    </xf>
    <xf numFmtId="0" fontId="15" fillId="0" borderId="6" xfId="0" applyFont="1" applyBorder="1" applyAlignment="1">
      <alignment vertical="center" wrapText="1"/>
    </xf>
    <xf numFmtId="0" fontId="14" fillId="0" borderId="15" xfId="0" applyFont="1" applyFill="1" applyBorder="1" applyAlignment="1">
      <alignment horizontal="center" vertical="top" wrapText="1"/>
    </xf>
    <xf numFmtId="164" fontId="14" fillId="2" borderId="18" xfId="0" applyNumberFormat="1" applyFont="1" applyFill="1" applyBorder="1" applyAlignment="1"/>
    <xf numFmtId="0" fontId="15" fillId="2" borderId="18" xfId="0" applyFont="1" applyFill="1" applyBorder="1"/>
    <xf numFmtId="0" fontId="15" fillId="0" borderId="19" xfId="0" applyFont="1" applyBorder="1" applyAlignment="1">
      <alignment vertical="top" wrapText="1"/>
    </xf>
    <xf numFmtId="0" fontId="14" fillId="2" borderId="18" xfId="0" applyFont="1" applyFill="1" applyBorder="1" applyAlignment="1"/>
    <xf numFmtId="0" fontId="15" fillId="2" borderId="20" xfId="0" applyFont="1" applyFill="1" applyBorder="1"/>
    <xf numFmtId="0" fontId="13" fillId="2" borderId="18" xfId="0" applyFont="1" applyFill="1" applyBorder="1" applyAlignment="1"/>
    <xf numFmtId="0" fontId="17" fillId="0" borderId="18" xfId="0" applyFont="1" applyBorder="1"/>
    <xf numFmtId="0" fontId="15" fillId="0" borderId="28" xfId="0" applyFont="1" applyBorder="1" applyAlignment="1">
      <alignment horizontal="center" vertical="center" wrapText="1"/>
    </xf>
    <xf numFmtId="164" fontId="15" fillId="0" borderId="21" xfId="0" applyNumberFormat="1" applyFont="1" applyBorder="1" applyAlignment="1">
      <alignment horizontal="center" vertical="top" wrapText="1"/>
    </xf>
    <xf numFmtId="164" fontId="15" fillId="0" borderId="22" xfId="0" applyNumberFormat="1" applyFont="1" applyBorder="1" applyAlignment="1">
      <alignment horizontal="center" vertical="top" wrapText="1"/>
    </xf>
    <xf numFmtId="0" fontId="15" fillId="0" borderId="23" xfId="0" applyFont="1" applyBorder="1" applyAlignment="1">
      <alignment horizontal="center" vertical="top" wrapText="1"/>
    </xf>
    <xf numFmtId="0" fontId="15" fillId="0" borderId="22" xfId="0" applyFont="1" applyBorder="1" applyAlignment="1">
      <alignment horizontal="center" vertical="top" wrapText="1"/>
    </xf>
    <xf numFmtId="0" fontId="15" fillId="0" borderId="25" xfId="0" applyFont="1" applyBorder="1" applyAlignment="1">
      <alignment horizontal="center" vertical="top" wrapText="1"/>
    </xf>
    <xf numFmtId="0" fontId="15" fillId="0" borderId="25" xfId="0" applyFont="1" applyBorder="1" applyAlignment="1">
      <alignment horizontal="center" vertical="top"/>
    </xf>
    <xf numFmtId="0" fontId="15" fillId="0" borderId="26" xfId="0" applyFont="1" applyBorder="1" applyAlignment="1">
      <alignment horizontal="center" vertical="top"/>
    </xf>
    <xf numFmtId="164" fontId="15" fillId="0" borderId="27" xfId="0" applyNumberFormat="1" applyFont="1" applyBorder="1" applyAlignment="1">
      <alignment horizontal="center" vertical="top" wrapText="1"/>
    </xf>
    <xf numFmtId="164" fontId="15" fillId="0" borderId="20" xfId="0" applyNumberFormat="1" applyFont="1" applyBorder="1" applyAlignment="1">
      <alignment horizontal="center" vertical="top" wrapText="1"/>
    </xf>
    <xf numFmtId="0" fontId="15" fillId="0" borderId="28" xfId="0" applyFont="1" applyBorder="1" applyAlignment="1">
      <alignment vertical="top" wrapText="1"/>
    </xf>
    <xf numFmtId="0" fontId="15" fillId="0" borderId="28" xfId="0" applyFont="1" applyBorder="1" applyAlignment="1">
      <alignment horizontal="center" vertical="top" wrapText="1"/>
    </xf>
    <xf numFmtId="0" fontId="15" fillId="0" borderId="28" xfId="0" applyFont="1" applyBorder="1" applyAlignment="1">
      <alignment horizontal="center" vertical="top"/>
    </xf>
    <xf numFmtId="0" fontId="15" fillId="0" borderId="29" xfId="0" applyFont="1" applyBorder="1" applyAlignment="1">
      <alignment horizontal="center" vertical="top"/>
    </xf>
    <xf numFmtId="0" fontId="12" fillId="2" borderId="10" xfId="0" applyFont="1" applyFill="1" applyBorder="1" applyAlignment="1">
      <alignment horizontal="center" vertical="top"/>
    </xf>
    <xf numFmtId="0" fontId="12" fillId="2" borderId="11" xfId="0" applyFont="1" applyFill="1" applyBorder="1" applyAlignment="1">
      <alignment horizontal="center" vertical="top"/>
    </xf>
    <xf numFmtId="0" fontId="12" fillId="2" borderId="12" xfId="0" applyFont="1" applyFill="1" applyBorder="1" applyAlignment="1">
      <alignment horizontal="center" vertical="top"/>
    </xf>
    <xf numFmtId="0" fontId="7" fillId="0" borderId="9" xfId="0" applyFont="1" applyBorder="1" applyAlignment="1">
      <alignment horizontal="center"/>
    </xf>
    <xf numFmtId="0" fontId="3" fillId="2" borderId="1" xfId="0" applyFont="1" applyFill="1" applyBorder="1" applyAlignment="1">
      <alignment horizontal="center"/>
    </xf>
    <xf numFmtId="0" fontId="3" fillId="2" borderId="2" xfId="0" applyFont="1" applyFill="1" applyBorder="1" applyAlignment="1">
      <alignment horizontal="center"/>
    </xf>
    <xf numFmtId="0" fontId="3" fillId="2" borderId="3" xfId="0" applyFont="1" applyFill="1" applyBorder="1" applyAlignment="1">
      <alignment horizontal="center"/>
    </xf>
    <xf numFmtId="0" fontId="5" fillId="2" borderId="0" xfId="0" applyFont="1" applyFill="1" applyBorder="1" applyAlignment="1">
      <alignment horizontal="right"/>
    </xf>
    <xf numFmtId="0" fontId="5" fillId="2" borderId="5" xfId="0" applyFont="1" applyFill="1" applyBorder="1" applyAlignment="1">
      <alignment horizontal="right"/>
    </xf>
    <xf numFmtId="0" fontId="5" fillId="2" borderId="0" xfId="0" applyFont="1" applyFill="1" applyBorder="1" applyAlignment="1">
      <alignment horizontal="center"/>
    </xf>
    <xf numFmtId="0" fontId="5" fillId="2" borderId="5" xfId="0" applyFont="1" applyFill="1" applyBorder="1" applyAlignment="1">
      <alignment horizontal="center"/>
    </xf>
    <xf numFmtId="0" fontId="17" fillId="0" borderId="9" xfId="0" applyFont="1" applyBorder="1" applyAlignment="1">
      <alignment horizontal="left" vertical="top"/>
    </xf>
    <xf numFmtId="0" fontId="15" fillId="0" borderId="10" xfId="0" applyFont="1" applyBorder="1" applyAlignment="1">
      <alignment horizontal="center" vertical="top"/>
    </xf>
    <xf numFmtId="0" fontId="17" fillId="0" borderId="4" xfId="0" applyFont="1" applyBorder="1" applyAlignment="1">
      <alignment horizontal="center" vertical="center"/>
    </xf>
    <xf numFmtId="0" fontId="15" fillId="0" borderId="10"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12" xfId="0" applyFont="1" applyBorder="1" applyAlignment="1">
      <alignment horizontal="center" vertical="center" wrapText="1"/>
    </xf>
    <xf numFmtId="0" fontId="15" fillId="0" borderId="10" xfId="0" applyFont="1" applyBorder="1" applyAlignment="1">
      <alignment horizontal="center" vertical="center"/>
    </xf>
    <xf numFmtId="0" fontId="15" fillId="0" borderId="11" xfId="0" applyFont="1" applyBorder="1" applyAlignment="1">
      <alignment horizontal="center" vertical="center"/>
    </xf>
    <xf numFmtId="0" fontId="15" fillId="0" borderId="12" xfId="0" applyFont="1" applyBorder="1" applyAlignment="1">
      <alignment horizontal="center" vertical="center"/>
    </xf>
    <xf numFmtId="0" fontId="15" fillId="0" borderId="5" xfId="0" applyFont="1" applyBorder="1" applyAlignment="1">
      <alignment horizontal="center" vertical="center" wrapText="1"/>
    </xf>
    <xf numFmtId="0" fontId="15" fillId="0" borderId="8" xfId="0" applyFont="1" applyBorder="1" applyAlignment="1">
      <alignment horizontal="center" vertical="center" wrapText="1"/>
    </xf>
    <xf numFmtId="0" fontId="15" fillId="0" borderId="9" xfId="0" applyFont="1" applyBorder="1" applyAlignment="1">
      <alignment horizontal="center" vertical="top" wrapText="1"/>
    </xf>
    <xf numFmtId="0" fontId="15" fillId="0" borderId="10" xfId="0" applyFont="1" applyBorder="1" applyAlignment="1">
      <alignment horizontal="center" vertical="top" wrapText="1"/>
    </xf>
    <xf numFmtId="0" fontId="15" fillId="0" borderId="11" xfId="0" applyFont="1" applyBorder="1" applyAlignment="1">
      <alignment horizontal="center" vertical="top" wrapText="1"/>
    </xf>
    <xf numFmtId="0" fontId="15" fillId="0" borderId="12" xfId="0" applyFont="1" applyBorder="1" applyAlignment="1">
      <alignment horizontal="center" vertical="top" wrapText="1"/>
    </xf>
    <xf numFmtId="0" fontId="15" fillId="0" borderId="9" xfId="0" applyFont="1" applyBorder="1" applyAlignment="1">
      <alignment horizontal="center" vertical="top"/>
    </xf>
    <xf numFmtId="0" fontId="14" fillId="0" borderId="9" xfId="0" applyFont="1" applyBorder="1" applyAlignment="1">
      <alignment horizontal="center" vertical="center"/>
    </xf>
    <xf numFmtId="164" fontId="15" fillId="0" borderId="9" xfId="0" applyNumberFormat="1" applyFont="1" applyBorder="1" applyAlignment="1">
      <alignment horizontal="center" vertical="top" wrapText="1"/>
    </xf>
    <xf numFmtId="164" fontId="15" fillId="0" borderId="10" xfId="0" applyNumberFormat="1" applyFont="1" applyBorder="1" applyAlignment="1">
      <alignment horizontal="center" vertical="top" wrapText="1"/>
    </xf>
    <xf numFmtId="164" fontId="15" fillId="0" borderId="11" xfId="0" applyNumberFormat="1" applyFont="1" applyBorder="1" applyAlignment="1">
      <alignment horizontal="center" vertical="top" wrapText="1"/>
    </xf>
    <xf numFmtId="164" fontId="15" fillId="0" borderId="12" xfId="0" applyNumberFormat="1" applyFont="1" applyBorder="1" applyAlignment="1">
      <alignment horizontal="center" vertical="top" wrapText="1"/>
    </xf>
    <xf numFmtId="0" fontId="15" fillId="0" borderId="11" xfId="0" applyFont="1" applyBorder="1" applyAlignment="1">
      <alignment horizontal="center" vertical="top"/>
    </xf>
    <xf numFmtId="0" fontId="15" fillId="0" borderId="12" xfId="0" applyFont="1" applyBorder="1" applyAlignment="1">
      <alignment horizontal="center" vertical="top"/>
    </xf>
    <xf numFmtId="0" fontId="14" fillId="0" borderId="10" xfId="0" applyFont="1" applyBorder="1" applyAlignment="1">
      <alignment horizontal="center" vertical="center" wrapText="1"/>
    </xf>
    <xf numFmtId="0" fontId="14" fillId="0" borderId="11"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9" xfId="0" applyFont="1" applyBorder="1" applyAlignment="1">
      <alignment horizontal="center" vertical="center" wrapText="1"/>
    </xf>
    <xf numFmtId="164" fontId="15" fillId="0" borderId="16" xfId="0" applyNumberFormat="1" applyFont="1" applyBorder="1" applyAlignment="1">
      <alignment horizontal="center" vertical="top" wrapText="1"/>
    </xf>
    <xf numFmtId="0" fontId="15" fillId="0" borderId="23" xfId="0" applyFont="1" applyBorder="1" applyAlignment="1">
      <alignment horizontal="center" vertical="top" wrapText="1"/>
    </xf>
    <xf numFmtId="0" fontId="15" fillId="0" borderId="22" xfId="0" applyFont="1" applyBorder="1" applyAlignment="1">
      <alignment horizontal="center" vertical="top" wrapText="1"/>
    </xf>
    <xf numFmtId="0" fontId="15" fillId="0" borderId="24" xfId="0" applyFont="1" applyBorder="1" applyAlignment="1">
      <alignment horizontal="center" vertical="top" wrapText="1"/>
    </xf>
  </cellXfs>
  <cellStyles count="9">
    <cellStyle name="Normal" xfId="0" builtinId="0"/>
    <cellStyle name="Normal 10" xfId="6" xr:uid="{0BA3D988-B44D-41BF-934A-0B613FA76CC4}"/>
    <cellStyle name="Normal 2" xfId="1" xr:uid="{1BD8E40A-9A94-44C8-AAE2-F42DD37927F4}"/>
    <cellStyle name="Normal 3" xfId="7" xr:uid="{491CA64B-7F67-4343-94A0-8BE7B3AFBA30}"/>
    <cellStyle name="Normal 4" xfId="2" xr:uid="{42CDBAA6-2FBC-4141-8A02-94351CD37287}"/>
    <cellStyle name="Normal 6" xfId="8" xr:uid="{0AE9BFF0-AE4C-484C-A95F-557E2D3EAE42}"/>
    <cellStyle name="Normal 7" xfId="3" xr:uid="{105F84BA-5A6F-4D1E-AD37-4D92FE956E9C}"/>
    <cellStyle name="Normal 8" xfId="4" xr:uid="{A7F8E5F5-1897-4A1F-8F5A-B76BA43869E1}"/>
    <cellStyle name="Normal 9" xfId="5" xr:uid="{E1A66942-AC9D-4109-9A09-E1F9A16DA616}"/>
  </cellStyles>
  <dxfs count="289">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ill>
        <patternFill>
          <bgColor indexed="57"/>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57"/>
      </font>
      <fill>
        <patternFill>
          <bgColor indexed="42"/>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8966354491848769E-2"/>
          <c:y val="0.19444444444444445"/>
          <c:w val="0.83142559833506768"/>
          <c:h val="0.54513888888888884"/>
        </c:manualLayout>
      </c:layout>
      <c:lineChart>
        <c:grouping val="standard"/>
        <c:varyColors val="0"/>
        <c:ser>
          <c:idx val="0"/>
          <c:order val="0"/>
          <c:tx>
            <c:v>TEOS ER</c:v>
          </c:tx>
          <c:spPr>
            <a:ln w="25400">
              <a:solidFill>
                <a:schemeClr val="accent6">
                  <a:lumMod val="60000"/>
                  <a:lumOff val="40000"/>
                </a:schemeClr>
              </a:solidFill>
            </a:ln>
          </c:spPr>
          <c:marker>
            <c:symbol val="circle"/>
            <c:size val="5"/>
            <c:spPr>
              <a:solidFill>
                <a:srgbClr val="00B050"/>
              </a:solidFill>
            </c:spPr>
          </c:marker>
          <c:cat>
            <c:numRef>
              <c:f>'[1]TEOS Ch A ER'!$A$10:$A$129</c:f>
              <c:numCache>
                <c:formatCode>General</c:formatCode>
                <c:ptCount val="120"/>
                <c:pt idx="0">
                  <c:v>42572</c:v>
                </c:pt>
                <c:pt idx="3">
                  <c:v>42577</c:v>
                </c:pt>
                <c:pt idx="6">
                  <c:v>42584</c:v>
                </c:pt>
                <c:pt idx="9">
                  <c:v>42586</c:v>
                </c:pt>
                <c:pt idx="12">
                  <c:v>42586</c:v>
                </c:pt>
                <c:pt idx="18">
                  <c:v>42587</c:v>
                </c:pt>
                <c:pt idx="21">
                  <c:v>42590</c:v>
                </c:pt>
                <c:pt idx="24">
                  <c:v>42594</c:v>
                </c:pt>
                <c:pt idx="27">
                  <c:v>42615</c:v>
                </c:pt>
                <c:pt idx="30">
                  <c:v>42618</c:v>
                </c:pt>
                <c:pt idx="33">
                  <c:v>42621</c:v>
                </c:pt>
                <c:pt idx="36">
                  <c:v>42625</c:v>
                </c:pt>
                <c:pt idx="39">
                  <c:v>42628</c:v>
                </c:pt>
                <c:pt idx="42">
                  <c:v>42631</c:v>
                </c:pt>
                <c:pt idx="45">
                  <c:v>42634</c:v>
                </c:pt>
                <c:pt idx="48">
                  <c:v>42657</c:v>
                </c:pt>
                <c:pt idx="51">
                  <c:v>42660</c:v>
                </c:pt>
                <c:pt idx="54">
                  <c:v>43265</c:v>
                </c:pt>
              </c:numCache>
            </c:numRef>
          </c:cat>
          <c:val>
            <c:numRef>
              <c:f>'[1]TEOS Ch A ER'!$O$10:$O$108</c:f>
              <c:numCache>
                <c:formatCode>General</c:formatCode>
                <c:ptCount val="99"/>
                <c:pt idx="0">
                  <c:v>864.99142857142874</c:v>
                </c:pt>
                <c:pt idx="3">
                  <c:v>944.5638095238096</c:v>
                </c:pt>
                <c:pt idx="6">
                  <c:v>955.9000000000002</c:v>
                </c:pt>
                <c:pt idx="9">
                  <c:v>883.50285714285701</c:v>
                </c:pt>
                <c:pt idx="12">
                  <c:v>964.62571428571437</c:v>
                </c:pt>
                <c:pt idx="15">
                  <c:v>966.84190476190508</c:v>
                </c:pt>
                <c:pt idx="18">
                  <c:v>992.95047619047625</c:v>
                </c:pt>
                <c:pt idx="21">
                  <c:v>974.86857142857161</c:v>
                </c:pt>
                <c:pt idx="24">
                  <c:v>989.80095238095237</c:v>
                </c:pt>
                <c:pt idx="27">
                  <c:v>962.97904761904772</c:v>
                </c:pt>
                <c:pt idx="30">
                  <c:v>977.15809523809526</c:v>
                </c:pt>
                <c:pt idx="33">
                  <c:v>991.9914285714284</c:v>
                </c:pt>
                <c:pt idx="36">
                  <c:v>987.64190476190458</c:v>
                </c:pt>
                <c:pt idx="39">
                  <c:v>974.61619047619047</c:v>
                </c:pt>
                <c:pt idx="42">
                  <c:v>971.8228571428574</c:v>
                </c:pt>
                <c:pt idx="45">
                  <c:v>970.12190476190494</c:v>
                </c:pt>
                <c:pt idx="48">
                  <c:v>962.03809523809525</c:v>
                </c:pt>
                <c:pt idx="51">
                  <c:v>951.49904761904793</c:v>
                </c:pt>
                <c:pt idx="54">
                  <c:v>967.5971428571429</c:v>
                </c:pt>
                <c:pt idx="57">
                  <c:v>0</c:v>
                </c:pt>
                <c:pt idx="60">
                  <c:v>0</c:v>
                </c:pt>
                <c:pt idx="63">
                  <c:v>0</c:v>
                </c:pt>
                <c:pt idx="66">
                  <c:v>0</c:v>
                </c:pt>
                <c:pt idx="69">
                  <c:v>0</c:v>
                </c:pt>
                <c:pt idx="72">
                  <c:v>0</c:v>
                </c:pt>
                <c:pt idx="75">
                  <c:v>0</c:v>
                </c:pt>
                <c:pt idx="78">
                  <c:v>0</c:v>
                </c:pt>
                <c:pt idx="81">
                  <c:v>0</c:v>
                </c:pt>
                <c:pt idx="84">
                  <c:v>0</c:v>
                </c:pt>
                <c:pt idx="87">
                  <c:v>0</c:v>
                </c:pt>
                <c:pt idx="90">
                  <c:v>0</c:v>
                </c:pt>
                <c:pt idx="93">
                  <c:v>0</c:v>
                </c:pt>
                <c:pt idx="96">
                  <c:v>0</c:v>
                </c:pt>
              </c:numCache>
            </c:numRef>
          </c:val>
          <c:smooth val="0"/>
          <c:extLst>
            <c:ext xmlns:c16="http://schemas.microsoft.com/office/drawing/2014/chart" uri="{C3380CC4-5D6E-409C-BE32-E72D297353CC}">
              <c16:uniqueId val="{00000000-7431-4ECE-829E-159E3471D305}"/>
            </c:ext>
          </c:extLst>
        </c:ser>
        <c:ser>
          <c:idx val="1"/>
          <c:order val="1"/>
          <c:tx>
            <c:v>USL</c:v>
          </c:tx>
          <c:val>
            <c:numRef>
              <c:f>'[1]TEOS Ch A ER'!$Q$10:$Q$108</c:f>
              <c:numCache>
                <c:formatCode>General</c:formatCode>
                <c:ptCount val="99"/>
                <c:pt idx="0">
                  <c:v>1000</c:v>
                </c:pt>
                <c:pt idx="3">
                  <c:v>1000</c:v>
                </c:pt>
                <c:pt idx="6">
                  <c:v>1000</c:v>
                </c:pt>
                <c:pt idx="9">
                  <c:v>1000</c:v>
                </c:pt>
                <c:pt idx="12">
                  <c:v>1000</c:v>
                </c:pt>
                <c:pt idx="15">
                  <c:v>1000</c:v>
                </c:pt>
                <c:pt idx="18">
                  <c:v>1000</c:v>
                </c:pt>
                <c:pt idx="21">
                  <c:v>1000</c:v>
                </c:pt>
                <c:pt idx="24">
                  <c:v>1000</c:v>
                </c:pt>
                <c:pt idx="27">
                  <c:v>1000</c:v>
                </c:pt>
                <c:pt idx="30">
                  <c:v>1000</c:v>
                </c:pt>
                <c:pt idx="33">
                  <c:v>1000</c:v>
                </c:pt>
                <c:pt idx="36">
                  <c:v>1000</c:v>
                </c:pt>
                <c:pt idx="39">
                  <c:v>1000</c:v>
                </c:pt>
                <c:pt idx="42">
                  <c:v>1000</c:v>
                </c:pt>
                <c:pt idx="45">
                  <c:v>1000</c:v>
                </c:pt>
                <c:pt idx="48">
                  <c:v>1000</c:v>
                </c:pt>
                <c:pt idx="51">
                  <c:v>1000</c:v>
                </c:pt>
                <c:pt idx="54">
                  <c:v>1000</c:v>
                </c:pt>
                <c:pt idx="57">
                  <c:v>1000</c:v>
                </c:pt>
                <c:pt idx="60">
                  <c:v>1000</c:v>
                </c:pt>
                <c:pt idx="63">
                  <c:v>1000</c:v>
                </c:pt>
                <c:pt idx="66">
                  <c:v>1000</c:v>
                </c:pt>
                <c:pt idx="69">
                  <c:v>1000</c:v>
                </c:pt>
                <c:pt idx="72">
                  <c:v>1000</c:v>
                </c:pt>
                <c:pt idx="75">
                  <c:v>1000</c:v>
                </c:pt>
                <c:pt idx="78">
                  <c:v>1000</c:v>
                </c:pt>
                <c:pt idx="81">
                  <c:v>1000</c:v>
                </c:pt>
                <c:pt idx="84">
                  <c:v>1000</c:v>
                </c:pt>
                <c:pt idx="87">
                  <c:v>1000</c:v>
                </c:pt>
                <c:pt idx="90">
                  <c:v>1000</c:v>
                </c:pt>
                <c:pt idx="93">
                  <c:v>1000</c:v>
                </c:pt>
                <c:pt idx="96">
                  <c:v>1000</c:v>
                </c:pt>
              </c:numCache>
            </c:numRef>
          </c:val>
          <c:smooth val="0"/>
          <c:extLst>
            <c:ext xmlns:c16="http://schemas.microsoft.com/office/drawing/2014/chart" uri="{C3380CC4-5D6E-409C-BE32-E72D297353CC}">
              <c16:uniqueId val="{00000001-7431-4ECE-829E-159E3471D305}"/>
            </c:ext>
          </c:extLst>
        </c:ser>
        <c:ser>
          <c:idx val="2"/>
          <c:order val="2"/>
          <c:tx>
            <c:v>LSL</c:v>
          </c:tx>
          <c:val>
            <c:numRef>
              <c:f>'[1]TEOS Ch A ER'!$P$10:$P$108</c:f>
              <c:numCache>
                <c:formatCode>General</c:formatCode>
                <c:ptCount val="99"/>
                <c:pt idx="0">
                  <c:v>800</c:v>
                </c:pt>
                <c:pt idx="3">
                  <c:v>800</c:v>
                </c:pt>
                <c:pt idx="6">
                  <c:v>800</c:v>
                </c:pt>
                <c:pt idx="9">
                  <c:v>800</c:v>
                </c:pt>
                <c:pt idx="12">
                  <c:v>800</c:v>
                </c:pt>
                <c:pt idx="15">
                  <c:v>800</c:v>
                </c:pt>
                <c:pt idx="18">
                  <c:v>800</c:v>
                </c:pt>
                <c:pt idx="21">
                  <c:v>800</c:v>
                </c:pt>
                <c:pt idx="24">
                  <c:v>800</c:v>
                </c:pt>
                <c:pt idx="27">
                  <c:v>800</c:v>
                </c:pt>
                <c:pt idx="30">
                  <c:v>800</c:v>
                </c:pt>
                <c:pt idx="33">
                  <c:v>800</c:v>
                </c:pt>
                <c:pt idx="36">
                  <c:v>800</c:v>
                </c:pt>
                <c:pt idx="39">
                  <c:v>800</c:v>
                </c:pt>
                <c:pt idx="42">
                  <c:v>800</c:v>
                </c:pt>
                <c:pt idx="45">
                  <c:v>800</c:v>
                </c:pt>
                <c:pt idx="48">
                  <c:v>800</c:v>
                </c:pt>
                <c:pt idx="51">
                  <c:v>800</c:v>
                </c:pt>
                <c:pt idx="54">
                  <c:v>800</c:v>
                </c:pt>
                <c:pt idx="57">
                  <c:v>800</c:v>
                </c:pt>
                <c:pt idx="60">
                  <c:v>800</c:v>
                </c:pt>
                <c:pt idx="63">
                  <c:v>800</c:v>
                </c:pt>
                <c:pt idx="66">
                  <c:v>800</c:v>
                </c:pt>
                <c:pt idx="69">
                  <c:v>800</c:v>
                </c:pt>
                <c:pt idx="72">
                  <c:v>800</c:v>
                </c:pt>
                <c:pt idx="75">
                  <c:v>800</c:v>
                </c:pt>
                <c:pt idx="78">
                  <c:v>800</c:v>
                </c:pt>
                <c:pt idx="81">
                  <c:v>800</c:v>
                </c:pt>
                <c:pt idx="84">
                  <c:v>800</c:v>
                </c:pt>
                <c:pt idx="87">
                  <c:v>800</c:v>
                </c:pt>
                <c:pt idx="90">
                  <c:v>800</c:v>
                </c:pt>
                <c:pt idx="93">
                  <c:v>800</c:v>
                </c:pt>
                <c:pt idx="96">
                  <c:v>800</c:v>
                </c:pt>
              </c:numCache>
            </c:numRef>
          </c:val>
          <c:smooth val="0"/>
          <c:extLst>
            <c:ext xmlns:c16="http://schemas.microsoft.com/office/drawing/2014/chart" uri="{C3380CC4-5D6E-409C-BE32-E72D297353CC}">
              <c16:uniqueId val="{00000002-7431-4ECE-829E-159E3471D305}"/>
            </c:ext>
          </c:extLst>
        </c:ser>
        <c:dLbls>
          <c:showLegendKey val="0"/>
          <c:showVal val="0"/>
          <c:showCatName val="0"/>
          <c:showSerName val="0"/>
          <c:showPercent val="0"/>
          <c:showBubbleSize val="0"/>
        </c:dLbls>
        <c:marker val="1"/>
        <c:smooth val="0"/>
        <c:axId val="1838465760"/>
        <c:axId val="1"/>
      </c:lineChart>
      <c:catAx>
        <c:axId val="1838465760"/>
        <c:scaling>
          <c:orientation val="minMax"/>
        </c:scaling>
        <c:delete val="0"/>
        <c:axPos val="b"/>
        <c:numFmt formatCode="mm\/dd\/yyyy"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noMultiLvlLbl val="0"/>
      </c:catAx>
      <c:valAx>
        <c:axId val="1"/>
        <c:scaling>
          <c:orientation val="minMax"/>
          <c:min val="700"/>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838465760"/>
        <c:crosses val="autoZero"/>
        <c:crossBetween val="between"/>
      </c:valAx>
    </c:plotArea>
    <c:legend>
      <c:legendPos val="r"/>
      <c:layout>
        <c:manualLayout>
          <c:xMode val="edge"/>
          <c:yMode val="edge"/>
          <c:x val="0.92562377108956939"/>
          <c:y val="0.41609018393213854"/>
          <c:w val="6.4734138331826799E-2"/>
          <c:h val="0.16076211651923533"/>
        </c:manualLayout>
      </c:layout>
      <c:overlay val="0"/>
      <c:txPr>
        <a:bodyPr/>
        <a:lstStyle/>
        <a:p>
          <a:pPr>
            <a:defRPr sz="50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5.6468172484599587E-2"/>
          <c:y val="0.2413793103448276"/>
          <c:w val="0.82751540041067762"/>
          <c:h val="0.43534482758620691"/>
        </c:manualLayout>
      </c:layout>
      <c:lineChart>
        <c:grouping val="standard"/>
        <c:varyColors val="0"/>
        <c:ser>
          <c:idx val="0"/>
          <c:order val="0"/>
          <c:tx>
            <c:v>TEOS UNI</c:v>
          </c:tx>
          <c:spPr>
            <a:ln w="25400">
              <a:solidFill>
                <a:srgbClr val="F79646">
                  <a:lumMod val="60000"/>
                  <a:lumOff val="40000"/>
                </a:srgbClr>
              </a:solidFill>
            </a:ln>
          </c:spPr>
          <c:marker>
            <c:symbol val="circle"/>
            <c:size val="5"/>
            <c:spPr>
              <a:solidFill>
                <a:srgbClr val="00B050"/>
              </a:solidFill>
            </c:spPr>
          </c:marker>
          <c:cat>
            <c:numRef>
              <c:f>'[1]TEOS Ch A ER'!$A$10:$A$96</c:f>
              <c:numCache>
                <c:formatCode>General</c:formatCode>
                <c:ptCount val="87"/>
                <c:pt idx="0">
                  <c:v>42572</c:v>
                </c:pt>
                <c:pt idx="3">
                  <c:v>42577</c:v>
                </c:pt>
                <c:pt idx="6">
                  <c:v>42584</c:v>
                </c:pt>
                <c:pt idx="9">
                  <c:v>42586</c:v>
                </c:pt>
                <c:pt idx="12">
                  <c:v>42586</c:v>
                </c:pt>
                <c:pt idx="18">
                  <c:v>42587</c:v>
                </c:pt>
                <c:pt idx="21">
                  <c:v>42590</c:v>
                </c:pt>
                <c:pt idx="24">
                  <c:v>42594</c:v>
                </c:pt>
                <c:pt idx="27">
                  <c:v>42615</c:v>
                </c:pt>
                <c:pt idx="30">
                  <c:v>42618</c:v>
                </c:pt>
                <c:pt idx="33">
                  <c:v>42621</c:v>
                </c:pt>
                <c:pt idx="36">
                  <c:v>42625</c:v>
                </c:pt>
                <c:pt idx="39">
                  <c:v>42628</c:v>
                </c:pt>
                <c:pt idx="42">
                  <c:v>42631</c:v>
                </c:pt>
                <c:pt idx="45">
                  <c:v>42634</c:v>
                </c:pt>
                <c:pt idx="48">
                  <c:v>42657</c:v>
                </c:pt>
                <c:pt idx="51">
                  <c:v>42660</c:v>
                </c:pt>
                <c:pt idx="54">
                  <c:v>43265</c:v>
                </c:pt>
              </c:numCache>
            </c:numRef>
          </c:cat>
          <c:val>
            <c:numRef>
              <c:f>'[1]TEOS Ch A ER'!$R$10:$R$120</c:f>
              <c:numCache>
                <c:formatCode>General</c:formatCode>
                <c:ptCount val="111"/>
                <c:pt idx="0">
                  <c:v>14.45706974933125</c:v>
                </c:pt>
                <c:pt idx="3">
                  <c:v>13.568333441585564</c:v>
                </c:pt>
                <c:pt idx="6">
                  <c:v>12.397488907509958</c:v>
                </c:pt>
                <c:pt idx="9">
                  <c:v>14.685819717947615</c:v>
                </c:pt>
                <c:pt idx="12">
                  <c:v>10.659007643945907</c:v>
                </c:pt>
                <c:pt idx="15">
                  <c:v>11.297945375851928</c:v>
                </c:pt>
                <c:pt idx="18">
                  <c:v>9.809380464760201</c:v>
                </c:pt>
                <c:pt idx="21">
                  <c:v>8.7259864717511437</c:v>
                </c:pt>
                <c:pt idx="24">
                  <c:v>9.5887309224706652</c:v>
                </c:pt>
                <c:pt idx="27">
                  <c:v>10.066154924766774</c:v>
                </c:pt>
                <c:pt idx="30">
                  <c:v>8.9123686987544506</c:v>
                </c:pt>
                <c:pt idx="33">
                  <c:v>9.6746010597635088</c:v>
                </c:pt>
                <c:pt idx="36">
                  <c:v>8.9372603709905363</c:v>
                </c:pt>
                <c:pt idx="39">
                  <c:v>10.142471878215833</c:v>
                </c:pt>
                <c:pt idx="42">
                  <c:v>8.8877850610702627</c:v>
                </c:pt>
                <c:pt idx="45">
                  <c:v>9.6057360424153853</c:v>
                </c:pt>
                <c:pt idx="48">
                  <c:v>10.276285944905201</c:v>
                </c:pt>
                <c:pt idx="51">
                  <c:v>9.170250556742678</c:v>
                </c:pt>
                <c:pt idx="54">
                  <c:v>9.8647263225701476</c:v>
                </c:pt>
                <c:pt idx="57">
                  <c:v>0</c:v>
                </c:pt>
                <c:pt idx="60">
                  <c:v>0</c:v>
                </c:pt>
                <c:pt idx="63">
                  <c:v>0</c:v>
                </c:pt>
                <c:pt idx="66">
                  <c:v>0</c:v>
                </c:pt>
                <c:pt idx="69">
                  <c:v>0</c:v>
                </c:pt>
                <c:pt idx="72">
                  <c:v>0</c:v>
                </c:pt>
                <c:pt idx="75">
                  <c:v>0</c:v>
                </c:pt>
                <c:pt idx="78">
                  <c:v>0</c:v>
                </c:pt>
                <c:pt idx="81">
                  <c:v>0</c:v>
                </c:pt>
                <c:pt idx="84">
                  <c:v>0</c:v>
                </c:pt>
                <c:pt idx="87">
                  <c:v>0</c:v>
                </c:pt>
                <c:pt idx="90">
                  <c:v>0</c:v>
                </c:pt>
                <c:pt idx="93">
                  <c:v>0</c:v>
                </c:pt>
                <c:pt idx="96">
                  <c:v>0</c:v>
                </c:pt>
                <c:pt idx="99">
                  <c:v>0</c:v>
                </c:pt>
                <c:pt idx="102">
                  <c:v>0</c:v>
                </c:pt>
                <c:pt idx="105">
                  <c:v>0</c:v>
                </c:pt>
                <c:pt idx="108">
                  <c:v>0</c:v>
                </c:pt>
              </c:numCache>
            </c:numRef>
          </c:val>
          <c:smooth val="0"/>
          <c:extLst>
            <c:ext xmlns:c16="http://schemas.microsoft.com/office/drawing/2014/chart" uri="{C3380CC4-5D6E-409C-BE32-E72D297353CC}">
              <c16:uniqueId val="{00000000-3BA4-46B5-AE70-7DC2681B92F4}"/>
            </c:ext>
          </c:extLst>
        </c:ser>
        <c:dLbls>
          <c:showLegendKey val="0"/>
          <c:showVal val="0"/>
          <c:showCatName val="0"/>
          <c:showSerName val="0"/>
          <c:showPercent val="0"/>
          <c:showBubbleSize val="0"/>
        </c:dLbls>
        <c:marker val="1"/>
        <c:smooth val="0"/>
        <c:axId val="1838464160"/>
        <c:axId val="1"/>
      </c:lineChart>
      <c:catAx>
        <c:axId val="1838464160"/>
        <c:scaling>
          <c:orientation val="minMax"/>
        </c:scaling>
        <c:delete val="0"/>
        <c:axPos val="b"/>
        <c:numFmt formatCode="mm\/dd\/yyyy" sourceLinked="0"/>
        <c:majorTickMark val="out"/>
        <c:minorTickMark val="none"/>
        <c:tickLblPos val="nextTo"/>
        <c:txPr>
          <a:bodyPr rot="-2700000" vert="horz"/>
          <a:lstStyle/>
          <a:p>
            <a:pPr>
              <a:defRPr sz="1000" b="0" i="0" u="none" strike="noStrike" baseline="0">
                <a:solidFill>
                  <a:srgbClr val="000000"/>
                </a:solidFill>
                <a:latin typeface="Calibri"/>
                <a:ea typeface="Calibri"/>
                <a:cs typeface="Calibri"/>
              </a:defRPr>
            </a:pPr>
            <a:endParaRPr lang="en-US"/>
          </a:p>
        </c:txPr>
        <c:crossAx val="1"/>
        <c:crosses val="autoZero"/>
        <c:auto val="1"/>
        <c:lblAlgn val="ctr"/>
        <c:lblOffset val="100"/>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838464160"/>
        <c:crosses val="autoZero"/>
        <c:crossBetween val="between"/>
      </c:valAx>
    </c:plotArea>
    <c:legend>
      <c:legendPos val="r"/>
      <c:layout>
        <c:manualLayout>
          <c:xMode val="edge"/>
          <c:yMode val="edge"/>
          <c:x val="0.94476460797958306"/>
          <c:y val="0.57190333394844428"/>
          <c:w val="4.5557819040912703E-2"/>
          <c:h val="3.8339888309392917E-2"/>
        </c:manualLayout>
      </c:layout>
      <c:overlay val="0"/>
      <c:txPr>
        <a:bodyPr/>
        <a:lstStyle/>
        <a:p>
          <a:pPr>
            <a:defRPr sz="1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6511627906982E-2"/>
          <c:y val="7.8212290502793297E-2"/>
          <c:w val="0.5720930232558139"/>
          <c:h val="0.72625698324022347"/>
        </c:manualLayout>
      </c:layout>
      <c:scatterChart>
        <c:scatterStyle val="lineMarker"/>
        <c:varyColors val="0"/>
        <c:ser>
          <c:idx val="0"/>
          <c:order val="0"/>
          <c:trendline>
            <c:trendlineType val="linear"/>
            <c:dispRSqr val="0"/>
            <c:dispEq val="0"/>
          </c:trendline>
          <c:xVal>
            <c:strRef>
              <c:f>'REML1-CP'!$C$2:$W$2</c:f>
              <c:strCache>
                <c:ptCount val="6"/>
                <c:pt idx="5">
                  <c:v>Tool: REML1</c:v>
                </c:pt>
              </c:strCache>
            </c:strRef>
          </c:xVal>
          <c:yVal>
            <c:numRef>
              <c:f>'REML1-CP'!$C$5:$W$5</c:f>
              <c:numCache>
                <c:formatCode>General</c:formatCode>
                <c:ptCount val="21"/>
              </c:numCache>
            </c:numRef>
          </c:yVal>
          <c:smooth val="0"/>
          <c:extLst>
            <c:ext xmlns:c16="http://schemas.microsoft.com/office/drawing/2014/chart" uri="{C3380CC4-5D6E-409C-BE32-E72D297353CC}">
              <c16:uniqueId val="{00000001-8187-4CB7-A045-7DFF87897C3F}"/>
            </c:ext>
          </c:extLst>
        </c:ser>
        <c:dLbls>
          <c:showLegendKey val="0"/>
          <c:showVal val="0"/>
          <c:showCatName val="0"/>
          <c:showSerName val="0"/>
          <c:showPercent val="0"/>
          <c:showBubbleSize val="0"/>
        </c:dLbls>
        <c:axId val="1994713392"/>
        <c:axId val="1"/>
      </c:scatterChart>
      <c:valAx>
        <c:axId val="199471339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994713392"/>
        <c:crosses val="autoZero"/>
        <c:crossBetween val="midCat"/>
      </c:valAx>
    </c:plotArea>
    <c:legend>
      <c:legendPos val="r"/>
      <c:layout>
        <c:manualLayout>
          <c:xMode val="edge"/>
          <c:yMode val="edge"/>
          <c:x val="0.86489255288035094"/>
          <c:y val="0.43803011059134517"/>
          <c:w val="0.11317929891207715"/>
          <c:h val="0.10744134788089599"/>
        </c:manualLayout>
      </c:layout>
      <c:overlay val="0"/>
      <c:txPr>
        <a:bodyPr/>
        <a:lstStyle/>
        <a:p>
          <a:pPr>
            <a:defRPr sz="1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2.emf"/><Relationship Id="rId7" Type="http://schemas.openxmlformats.org/officeDocument/2006/relationships/image" Target="../media/image6.emf"/><Relationship Id="rId2" Type="http://schemas.openxmlformats.org/officeDocument/2006/relationships/image" Target="../media/image1.png"/><Relationship Id="rId1" Type="http://schemas.openxmlformats.org/officeDocument/2006/relationships/chart" Target="../charts/chart3.xml"/><Relationship Id="rId6" Type="http://schemas.openxmlformats.org/officeDocument/2006/relationships/image" Target="../media/image5.emf"/><Relationship Id="rId5" Type="http://schemas.openxmlformats.org/officeDocument/2006/relationships/image" Target="../media/image4.emf"/><Relationship Id="rId4"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668215</xdr:colOff>
          <xdr:row>3</xdr:row>
          <xdr:rowOff>42203</xdr:rowOff>
        </xdr:from>
        <xdr:to>
          <xdr:col>5</xdr:col>
          <xdr:colOff>745588</xdr:colOff>
          <xdr:row>6</xdr:row>
          <xdr:rowOff>189914</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700-000001040000}"/>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14</xdr:col>
      <xdr:colOff>0</xdr:colOff>
      <xdr:row>14</xdr:row>
      <xdr:rowOff>119576</xdr:rowOff>
    </xdr:to>
    <xdr:graphicFrame macro="">
      <xdr:nvGraphicFramePr>
        <xdr:cNvPr id="2" name="Chart 3">
          <a:extLst>
            <a:ext uri="{FF2B5EF4-FFF2-40B4-BE49-F238E27FC236}">
              <a16:creationId xmlns:a16="http://schemas.microsoft.com/office/drawing/2014/main" id="{03E14A7A-E2AA-43A2-898A-185A947C65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14068</xdr:colOff>
      <xdr:row>15</xdr:row>
      <xdr:rowOff>140677</xdr:rowOff>
    </xdr:from>
    <xdr:to>
      <xdr:col>13</xdr:col>
      <xdr:colOff>654148</xdr:colOff>
      <xdr:row>26</xdr:row>
      <xdr:rowOff>98475</xdr:rowOff>
    </xdr:to>
    <xdr:graphicFrame macro="">
      <xdr:nvGraphicFramePr>
        <xdr:cNvPr id="3" name="Chart 4">
          <a:extLst>
            <a:ext uri="{FF2B5EF4-FFF2-40B4-BE49-F238E27FC236}">
              <a16:creationId xmlns:a16="http://schemas.microsoft.com/office/drawing/2014/main" id="{B177C8C5-C417-4570-8819-BA156EB028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56271</xdr:colOff>
      <xdr:row>0</xdr:row>
      <xdr:rowOff>84406</xdr:rowOff>
    </xdr:from>
    <xdr:to>
      <xdr:col>7</xdr:col>
      <xdr:colOff>506437</xdr:colOff>
      <xdr:row>11</xdr:row>
      <xdr:rowOff>7034</xdr:rowOff>
    </xdr:to>
    <xdr:graphicFrame macro="">
      <xdr:nvGraphicFramePr>
        <xdr:cNvPr id="2" name="Chart 2">
          <a:extLst>
            <a:ext uri="{FF2B5EF4-FFF2-40B4-BE49-F238E27FC236}">
              <a16:creationId xmlns:a16="http://schemas.microsoft.com/office/drawing/2014/main" id="{BE0ECD3E-F276-4E9B-9273-BE6ADDA5B6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597877</xdr:colOff>
      <xdr:row>9</xdr:row>
      <xdr:rowOff>105508</xdr:rowOff>
    </xdr:from>
    <xdr:to>
      <xdr:col>15</xdr:col>
      <xdr:colOff>393896</xdr:colOff>
      <xdr:row>24</xdr:row>
      <xdr:rowOff>175846</xdr:rowOff>
    </xdr:to>
    <xdr:pic>
      <xdr:nvPicPr>
        <xdr:cNvPr id="3" name="Picture 3">
          <a:extLst>
            <a:ext uri="{FF2B5EF4-FFF2-40B4-BE49-F238E27FC236}">
              <a16:creationId xmlns:a16="http://schemas.microsoft.com/office/drawing/2014/main" id="{29B7C38E-96CB-4FE1-A288-BDE9B9258CC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930726" y="1561514"/>
          <a:ext cx="5198012" cy="313006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105508</xdr:colOff>
      <xdr:row>13</xdr:row>
      <xdr:rowOff>105508</xdr:rowOff>
    </xdr:from>
    <xdr:to>
      <xdr:col>6</xdr:col>
      <xdr:colOff>267287</xdr:colOff>
      <xdr:row>27</xdr:row>
      <xdr:rowOff>91439</xdr:rowOff>
    </xdr:to>
    <xdr:pic>
      <xdr:nvPicPr>
        <xdr:cNvPr id="4" name="Picture 29">
          <a:extLst>
            <a:ext uri="{FF2B5EF4-FFF2-40B4-BE49-F238E27FC236}">
              <a16:creationId xmlns:a16="http://schemas.microsoft.com/office/drawing/2014/main" id="{ED7247A9-C1BB-44FC-9755-984054B98799}"/>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4486" y="2208628"/>
          <a:ext cx="3538025" cy="28416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274320</xdr:colOff>
      <xdr:row>29</xdr:row>
      <xdr:rowOff>98474</xdr:rowOff>
    </xdr:from>
    <xdr:to>
      <xdr:col>16</xdr:col>
      <xdr:colOff>506437</xdr:colOff>
      <xdr:row>46</xdr:row>
      <xdr:rowOff>126610</xdr:rowOff>
    </xdr:to>
    <xdr:pic>
      <xdr:nvPicPr>
        <xdr:cNvPr id="5" name="Picture 95">
          <a:extLst>
            <a:ext uri="{FF2B5EF4-FFF2-40B4-BE49-F238E27FC236}">
              <a16:creationId xmlns:a16="http://schemas.microsoft.com/office/drawing/2014/main" id="{05CA3852-4C6B-403E-BE32-EAE31B5BAE8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rot="5400000">
          <a:off x="7723163" y="5071403"/>
          <a:ext cx="3495822" cy="293311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302455</xdr:colOff>
      <xdr:row>59</xdr:row>
      <xdr:rowOff>154745</xdr:rowOff>
    </xdr:from>
    <xdr:to>
      <xdr:col>32</xdr:col>
      <xdr:colOff>478302</xdr:colOff>
      <xdr:row>73</xdr:row>
      <xdr:rowOff>161780</xdr:rowOff>
    </xdr:to>
    <xdr:pic>
      <xdr:nvPicPr>
        <xdr:cNvPr id="6" name="Picture 95">
          <a:extLst>
            <a:ext uri="{FF2B5EF4-FFF2-40B4-BE49-F238E27FC236}">
              <a16:creationId xmlns:a16="http://schemas.microsoft.com/office/drawing/2014/main" id="{26C627F3-1C00-4533-A7BB-248B9B4F37FD}"/>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683089" y="9699674"/>
          <a:ext cx="3552093" cy="28627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35</xdr:col>
      <xdr:colOff>429065</xdr:colOff>
      <xdr:row>57</xdr:row>
      <xdr:rowOff>56271</xdr:rowOff>
    </xdr:from>
    <xdr:to>
      <xdr:col>39</xdr:col>
      <xdr:colOff>618978</xdr:colOff>
      <xdr:row>75</xdr:row>
      <xdr:rowOff>77373</xdr:rowOff>
    </xdr:to>
    <xdr:pic>
      <xdr:nvPicPr>
        <xdr:cNvPr id="7" name="Picture 131">
          <a:extLst>
            <a:ext uri="{FF2B5EF4-FFF2-40B4-BE49-F238E27FC236}">
              <a16:creationId xmlns:a16="http://schemas.microsoft.com/office/drawing/2014/main" id="{6BDECB83-E94C-4C0D-897D-2ECEFDFC5D14}"/>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rot="5400000">
          <a:off x="22381698" y="9678573"/>
          <a:ext cx="3692769" cy="28909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43</xdr:col>
      <xdr:colOff>429065</xdr:colOff>
      <xdr:row>57</xdr:row>
      <xdr:rowOff>56271</xdr:rowOff>
    </xdr:from>
    <xdr:to>
      <xdr:col>47</xdr:col>
      <xdr:colOff>618978</xdr:colOff>
      <xdr:row>75</xdr:row>
      <xdr:rowOff>77373</xdr:rowOff>
    </xdr:to>
    <xdr:pic>
      <xdr:nvPicPr>
        <xdr:cNvPr id="8" name="Picture 172">
          <a:extLst>
            <a:ext uri="{FF2B5EF4-FFF2-40B4-BE49-F238E27FC236}">
              <a16:creationId xmlns:a16="http://schemas.microsoft.com/office/drawing/2014/main" id="{F5428D20-AA54-422B-89C0-ECB004FEA83F}"/>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rot="5400000">
          <a:off x="27333526" y="9678573"/>
          <a:ext cx="3692769" cy="28909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20</xdr:col>
      <xdr:colOff>126609</xdr:colOff>
      <xdr:row>61</xdr:row>
      <xdr:rowOff>28135</xdr:rowOff>
    </xdr:from>
    <xdr:to>
      <xdr:col>26</xdr:col>
      <xdr:colOff>281354</xdr:colOff>
      <xdr:row>76</xdr:row>
      <xdr:rowOff>147711</xdr:rowOff>
    </xdr:to>
    <xdr:pic>
      <xdr:nvPicPr>
        <xdr:cNvPr id="9" name="Picture 38">
          <a:extLst>
            <a:ext uri="{FF2B5EF4-FFF2-40B4-BE49-F238E27FC236}">
              <a16:creationId xmlns:a16="http://schemas.microsoft.com/office/drawing/2014/main" id="{B23427C1-7EC7-4C57-9255-A1C47F91330D}"/>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174394" y="9896621"/>
          <a:ext cx="4206240" cy="317929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xcel/dryetch/originals/CNT02_QC_LOG_BOOK_orig.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ML1-WSA"/>
      <sheetName val="REML1-CP"/>
      <sheetName val="PR Ch A ER"/>
      <sheetName val="PR Ch C ER"/>
      <sheetName val="CP Graph"/>
      <sheetName val="PR Ch C graph"/>
      <sheetName val="PR Ch A graph"/>
      <sheetName val="TEOS Ch A ER"/>
      <sheetName val="TEOS Ch A graph"/>
      <sheetName val="Sheet3"/>
      <sheetName val="Sheet1"/>
    </sheetNames>
    <sheetDataSet>
      <sheetData sheetId="0"/>
      <sheetData sheetId="1"/>
      <sheetData sheetId="2"/>
      <sheetData sheetId="3"/>
      <sheetData sheetId="4"/>
      <sheetData sheetId="5"/>
      <sheetData sheetId="6"/>
      <sheetData sheetId="7">
        <row r="10">
          <cell r="A10">
            <v>42572</v>
          </cell>
          <cell r="O10">
            <v>864.99142857142874</v>
          </cell>
          <cell r="P10">
            <v>800</v>
          </cell>
          <cell r="Q10">
            <v>1000</v>
          </cell>
          <cell r="R10">
            <v>14.45706974933125</v>
          </cell>
        </row>
        <row r="13">
          <cell r="A13">
            <v>42577</v>
          </cell>
          <cell r="O13">
            <v>944.5638095238096</v>
          </cell>
          <cell r="P13">
            <v>800</v>
          </cell>
          <cell r="Q13">
            <v>1000</v>
          </cell>
          <cell r="R13">
            <v>13.568333441585564</v>
          </cell>
        </row>
        <row r="16">
          <cell r="A16">
            <v>42584</v>
          </cell>
          <cell r="O16">
            <v>955.9000000000002</v>
          </cell>
          <cell r="P16">
            <v>800</v>
          </cell>
          <cell r="Q16">
            <v>1000</v>
          </cell>
          <cell r="R16">
            <v>12.397488907509958</v>
          </cell>
        </row>
        <row r="19">
          <cell r="A19">
            <v>42586</v>
          </cell>
          <cell r="O19">
            <v>883.50285714285701</v>
          </cell>
          <cell r="P19">
            <v>800</v>
          </cell>
          <cell r="Q19">
            <v>1000</v>
          </cell>
          <cell r="R19">
            <v>14.685819717947615</v>
          </cell>
        </row>
        <row r="22">
          <cell r="A22">
            <v>42586</v>
          </cell>
          <cell r="O22">
            <v>964.62571428571437</v>
          </cell>
          <cell r="P22">
            <v>800</v>
          </cell>
          <cell r="Q22">
            <v>1000</v>
          </cell>
          <cell r="R22">
            <v>10.659007643945907</v>
          </cell>
        </row>
        <row r="25">
          <cell r="O25">
            <v>966.84190476190508</v>
          </cell>
          <cell r="P25">
            <v>800</v>
          </cell>
          <cell r="Q25">
            <v>1000</v>
          </cell>
          <cell r="R25">
            <v>11.297945375851928</v>
          </cell>
        </row>
        <row r="28">
          <cell r="A28">
            <v>42587</v>
          </cell>
          <cell r="O28">
            <v>992.95047619047625</v>
          </cell>
          <cell r="P28">
            <v>800</v>
          </cell>
          <cell r="Q28">
            <v>1000</v>
          </cell>
          <cell r="R28">
            <v>9.809380464760201</v>
          </cell>
        </row>
        <row r="31">
          <cell r="A31">
            <v>42590</v>
          </cell>
          <cell r="O31">
            <v>974.86857142857161</v>
          </cell>
          <cell r="P31">
            <v>800</v>
          </cell>
          <cell r="Q31">
            <v>1000</v>
          </cell>
          <cell r="R31">
            <v>8.7259864717511437</v>
          </cell>
        </row>
        <row r="34">
          <cell r="A34">
            <v>42594</v>
          </cell>
          <cell r="O34">
            <v>989.80095238095237</v>
          </cell>
          <cell r="P34">
            <v>800</v>
          </cell>
          <cell r="Q34">
            <v>1000</v>
          </cell>
          <cell r="R34">
            <v>9.5887309224706652</v>
          </cell>
        </row>
        <row r="37">
          <cell r="A37">
            <v>42615</v>
          </cell>
          <cell r="O37">
            <v>962.97904761904772</v>
          </cell>
          <cell r="P37">
            <v>800</v>
          </cell>
          <cell r="Q37">
            <v>1000</v>
          </cell>
          <cell r="R37">
            <v>10.066154924766774</v>
          </cell>
        </row>
        <row r="40">
          <cell r="A40">
            <v>42618</v>
          </cell>
          <cell r="O40">
            <v>977.15809523809526</v>
          </cell>
          <cell r="P40">
            <v>800</v>
          </cell>
          <cell r="Q40">
            <v>1000</v>
          </cell>
          <cell r="R40">
            <v>8.9123686987544506</v>
          </cell>
        </row>
        <row r="43">
          <cell r="A43">
            <v>42621</v>
          </cell>
          <cell r="O43">
            <v>991.9914285714284</v>
          </cell>
          <cell r="P43">
            <v>800</v>
          </cell>
          <cell r="Q43">
            <v>1000</v>
          </cell>
          <cell r="R43">
            <v>9.6746010597635088</v>
          </cell>
        </row>
        <row r="46">
          <cell r="A46">
            <v>42625</v>
          </cell>
          <cell r="O46">
            <v>987.64190476190458</v>
          </cell>
          <cell r="P46">
            <v>800</v>
          </cell>
          <cell r="Q46">
            <v>1000</v>
          </cell>
          <cell r="R46">
            <v>8.9372603709905363</v>
          </cell>
        </row>
        <row r="49">
          <cell r="A49">
            <v>42628</v>
          </cell>
          <cell r="O49">
            <v>974.61619047619047</v>
          </cell>
          <cell r="P49">
            <v>800</v>
          </cell>
          <cell r="Q49">
            <v>1000</v>
          </cell>
          <cell r="R49">
            <v>10.142471878215833</v>
          </cell>
        </row>
        <row r="52">
          <cell r="A52">
            <v>42631</v>
          </cell>
          <cell r="O52">
            <v>971.8228571428574</v>
          </cell>
          <cell r="P52">
            <v>800</v>
          </cell>
          <cell r="Q52">
            <v>1000</v>
          </cell>
          <cell r="R52">
            <v>8.8877850610702627</v>
          </cell>
        </row>
        <row r="55">
          <cell r="A55">
            <v>42634</v>
          </cell>
          <cell r="O55">
            <v>970.12190476190494</v>
          </cell>
          <cell r="P55">
            <v>800</v>
          </cell>
          <cell r="Q55">
            <v>1000</v>
          </cell>
          <cell r="R55">
            <v>9.6057360424153853</v>
          </cell>
        </row>
        <row r="58">
          <cell r="A58">
            <v>42657</v>
          </cell>
          <cell r="O58">
            <v>962.03809523809525</v>
          </cell>
          <cell r="P58">
            <v>800</v>
          </cell>
          <cell r="Q58">
            <v>1000</v>
          </cell>
          <cell r="R58">
            <v>10.276285944905201</v>
          </cell>
        </row>
        <row r="61">
          <cell r="A61">
            <v>42660</v>
          </cell>
          <cell r="O61">
            <v>951.49904761904793</v>
          </cell>
          <cell r="P61">
            <v>800</v>
          </cell>
          <cell r="Q61">
            <v>1000</v>
          </cell>
          <cell r="R61">
            <v>9.170250556742678</v>
          </cell>
        </row>
        <row r="64">
          <cell r="A64">
            <v>43265</v>
          </cell>
          <cell r="O64">
            <v>967.5971428571429</v>
          </cell>
          <cell r="P64">
            <v>800</v>
          </cell>
          <cell r="Q64">
            <v>1000</v>
          </cell>
          <cell r="R64">
            <v>9.8647263225701476</v>
          </cell>
        </row>
        <row r="67">
          <cell r="O67" t="str">
            <v/>
          </cell>
          <cell r="P67">
            <v>800</v>
          </cell>
          <cell r="Q67">
            <v>1000</v>
          </cell>
          <cell r="R67" t="str">
            <v/>
          </cell>
        </row>
        <row r="70">
          <cell r="O70" t="str">
            <v/>
          </cell>
          <cell r="P70">
            <v>800</v>
          </cell>
          <cell r="Q70">
            <v>1000</v>
          </cell>
          <cell r="R70" t="str">
            <v/>
          </cell>
        </row>
        <row r="73">
          <cell r="O73" t="str">
            <v/>
          </cell>
          <cell r="P73">
            <v>800</v>
          </cell>
          <cell r="Q73">
            <v>1000</v>
          </cell>
          <cell r="R73" t="str">
            <v/>
          </cell>
        </row>
        <row r="76">
          <cell r="O76" t="str">
            <v/>
          </cell>
          <cell r="P76">
            <v>800</v>
          </cell>
          <cell r="Q76">
            <v>1000</v>
          </cell>
          <cell r="R76" t="str">
            <v/>
          </cell>
        </row>
        <row r="79">
          <cell r="O79" t="str">
            <v/>
          </cell>
          <cell r="P79">
            <v>800</v>
          </cell>
          <cell r="Q79">
            <v>1000</v>
          </cell>
          <cell r="R79" t="str">
            <v/>
          </cell>
        </row>
        <row r="82">
          <cell r="O82" t="str">
            <v/>
          </cell>
          <cell r="P82">
            <v>800</v>
          </cell>
          <cell r="Q82">
            <v>1000</v>
          </cell>
          <cell r="R82" t="str">
            <v/>
          </cell>
        </row>
        <row r="85">
          <cell r="O85" t="str">
            <v/>
          </cell>
          <cell r="P85">
            <v>800</v>
          </cell>
          <cell r="Q85">
            <v>1000</v>
          </cell>
          <cell r="R85" t="str">
            <v/>
          </cell>
        </row>
        <row r="88">
          <cell r="O88" t="str">
            <v/>
          </cell>
          <cell r="P88">
            <v>800</v>
          </cell>
          <cell r="Q88">
            <v>1000</v>
          </cell>
          <cell r="R88" t="str">
            <v/>
          </cell>
        </row>
        <row r="91">
          <cell r="O91" t="str">
            <v/>
          </cell>
          <cell r="P91">
            <v>800</v>
          </cell>
          <cell r="Q91">
            <v>1000</v>
          </cell>
          <cell r="R91" t="str">
            <v/>
          </cell>
        </row>
        <row r="94">
          <cell r="O94" t="str">
            <v/>
          </cell>
          <cell r="P94">
            <v>800</v>
          </cell>
          <cell r="Q94">
            <v>1000</v>
          </cell>
          <cell r="R94" t="str">
            <v/>
          </cell>
        </row>
        <row r="97">
          <cell r="O97" t="str">
            <v/>
          </cell>
          <cell r="P97">
            <v>800</v>
          </cell>
          <cell r="Q97">
            <v>1000</v>
          </cell>
          <cell r="R97" t="str">
            <v/>
          </cell>
        </row>
        <row r="100">
          <cell r="O100" t="str">
            <v/>
          </cell>
          <cell r="P100">
            <v>800</v>
          </cell>
          <cell r="Q100">
            <v>1000</v>
          </cell>
          <cell r="R100" t="str">
            <v/>
          </cell>
        </row>
        <row r="103">
          <cell r="O103" t="str">
            <v/>
          </cell>
          <cell r="P103">
            <v>800</v>
          </cell>
          <cell r="Q103">
            <v>1000</v>
          </cell>
          <cell r="R103" t="str">
            <v/>
          </cell>
        </row>
        <row r="106">
          <cell r="O106" t="str">
            <v/>
          </cell>
          <cell r="P106">
            <v>800</v>
          </cell>
          <cell r="Q106">
            <v>1000</v>
          </cell>
          <cell r="R106" t="str">
            <v/>
          </cell>
        </row>
        <row r="109">
          <cell r="R109" t="str">
            <v/>
          </cell>
        </row>
        <row r="112">
          <cell r="R112" t="str">
            <v/>
          </cell>
        </row>
        <row r="115">
          <cell r="R115" t="str">
            <v/>
          </cell>
        </row>
        <row r="118">
          <cell r="R118" t="str">
            <v/>
          </cell>
        </row>
      </sheetData>
      <sheetData sheetId="8"/>
      <sheetData sheetId="9"/>
      <sheetData sheetId="1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8005E-1602-488D-9E5D-322B71E86123}">
  <sheetPr codeName="Sheet3"/>
  <dimension ref="A1:T52"/>
  <sheetViews>
    <sheetView workbookViewId="0">
      <selection activeCell="D22" sqref="D22"/>
    </sheetView>
  </sheetViews>
  <sheetFormatPr defaultRowHeight="16.100000000000001" x14ac:dyDescent="0.35"/>
  <cols>
    <col min="1" max="1" width="9.7265625" customWidth="1"/>
    <col min="2" max="2" width="10.6328125" customWidth="1"/>
    <col min="3" max="3" width="6.7265625" customWidth="1"/>
    <col min="4" max="4" width="13" customWidth="1"/>
    <col min="5" max="5" width="6.26953125" customWidth="1"/>
    <col min="6" max="6" width="9.6328125" customWidth="1"/>
    <col min="7" max="7" width="30.81640625" customWidth="1"/>
    <col min="257" max="257" width="9.7265625" customWidth="1"/>
    <col min="258" max="258" width="10.6328125" customWidth="1"/>
    <col min="259" max="259" width="6.7265625" customWidth="1"/>
    <col min="260" max="260" width="13" customWidth="1"/>
    <col min="261" max="261" width="6.26953125" customWidth="1"/>
    <col min="262" max="262" width="9.6328125" customWidth="1"/>
    <col min="263" max="263" width="30.81640625" customWidth="1"/>
    <col min="513" max="513" width="9.7265625" customWidth="1"/>
    <col min="514" max="514" width="10.6328125" customWidth="1"/>
    <col min="515" max="515" width="6.7265625" customWidth="1"/>
    <col min="516" max="516" width="13" customWidth="1"/>
    <col min="517" max="517" width="6.26953125" customWidth="1"/>
    <col min="518" max="518" width="9.6328125" customWidth="1"/>
    <col min="519" max="519" width="30.81640625" customWidth="1"/>
    <col min="769" max="769" width="9.7265625" customWidth="1"/>
    <col min="770" max="770" width="10.6328125" customWidth="1"/>
    <col min="771" max="771" width="6.7265625" customWidth="1"/>
    <col min="772" max="772" width="13" customWidth="1"/>
    <col min="773" max="773" width="6.26953125" customWidth="1"/>
    <col min="774" max="774" width="9.6328125" customWidth="1"/>
    <col min="775" max="775" width="30.81640625" customWidth="1"/>
    <col min="1025" max="1025" width="9.7265625" customWidth="1"/>
    <col min="1026" max="1026" width="10.6328125" customWidth="1"/>
    <col min="1027" max="1027" width="6.7265625" customWidth="1"/>
    <col min="1028" max="1028" width="13" customWidth="1"/>
    <col min="1029" max="1029" width="6.26953125" customWidth="1"/>
    <col min="1030" max="1030" width="9.6328125" customWidth="1"/>
    <col min="1031" max="1031" width="30.81640625" customWidth="1"/>
    <col min="1281" max="1281" width="9.7265625" customWidth="1"/>
    <col min="1282" max="1282" width="10.6328125" customWidth="1"/>
    <col min="1283" max="1283" width="6.7265625" customWidth="1"/>
    <col min="1284" max="1284" width="13" customWidth="1"/>
    <col min="1285" max="1285" width="6.26953125" customWidth="1"/>
    <col min="1286" max="1286" width="9.6328125" customWidth="1"/>
    <col min="1287" max="1287" width="30.81640625" customWidth="1"/>
    <col min="1537" max="1537" width="9.7265625" customWidth="1"/>
    <col min="1538" max="1538" width="10.6328125" customWidth="1"/>
    <col min="1539" max="1539" width="6.7265625" customWidth="1"/>
    <col min="1540" max="1540" width="13" customWidth="1"/>
    <col min="1541" max="1541" width="6.26953125" customWidth="1"/>
    <col min="1542" max="1542" width="9.6328125" customWidth="1"/>
    <col min="1543" max="1543" width="30.81640625" customWidth="1"/>
    <col min="1793" max="1793" width="9.7265625" customWidth="1"/>
    <col min="1794" max="1794" width="10.6328125" customWidth="1"/>
    <col min="1795" max="1795" width="6.7265625" customWidth="1"/>
    <col min="1796" max="1796" width="13" customWidth="1"/>
    <col min="1797" max="1797" width="6.26953125" customWidth="1"/>
    <col min="1798" max="1798" width="9.6328125" customWidth="1"/>
    <col min="1799" max="1799" width="30.81640625" customWidth="1"/>
    <col min="2049" max="2049" width="9.7265625" customWidth="1"/>
    <col min="2050" max="2050" width="10.6328125" customWidth="1"/>
    <col min="2051" max="2051" width="6.7265625" customWidth="1"/>
    <col min="2052" max="2052" width="13" customWidth="1"/>
    <col min="2053" max="2053" width="6.26953125" customWidth="1"/>
    <col min="2054" max="2054" width="9.6328125" customWidth="1"/>
    <col min="2055" max="2055" width="30.81640625" customWidth="1"/>
    <col min="2305" max="2305" width="9.7265625" customWidth="1"/>
    <col min="2306" max="2306" width="10.6328125" customWidth="1"/>
    <col min="2307" max="2307" width="6.7265625" customWidth="1"/>
    <col min="2308" max="2308" width="13" customWidth="1"/>
    <col min="2309" max="2309" width="6.26953125" customWidth="1"/>
    <col min="2310" max="2310" width="9.6328125" customWidth="1"/>
    <col min="2311" max="2311" width="30.81640625" customWidth="1"/>
    <col min="2561" max="2561" width="9.7265625" customWidth="1"/>
    <col min="2562" max="2562" width="10.6328125" customWidth="1"/>
    <col min="2563" max="2563" width="6.7265625" customWidth="1"/>
    <col min="2564" max="2564" width="13" customWidth="1"/>
    <col min="2565" max="2565" width="6.26953125" customWidth="1"/>
    <col min="2566" max="2566" width="9.6328125" customWidth="1"/>
    <col min="2567" max="2567" width="30.81640625" customWidth="1"/>
    <col min="2817" max="2817" width="9.7265625" customWidth="1"/>
    <col min="2818" max="2818" width="10.6328125" customWidth="1"/>
    <col min="2819" max="2819" width="6.7265625" customWidth="1"/>
    <col min="2820" max="2820" width="13" customWidth="1"/>
    <col min="2821" max="2821" width="6.26953125" customWidth="1"/>
    <col min="2822" max="2822" width="9.6328125" customWidth="1"/>
    <col min="2823" max="2823" width="30.81640625" customWidth="1"/>
    <col min="3073" max="3073" width="9.7265625" customWidth="1"/>
    <col min="3074" max="3074" width="10.6328125" customWidth="1"/>
    <col min="3075" max="3075" width="6.7265625" customWidth="1"/>
    <col min="3076" max="3076" width="13" customWidth="1"/>
    <col min="3077" max="3077" width="6.26953125" customWidth="1"/>
    <col min="3078" max="3078" width="9.6328125" customWidth="1"/>
    <col min="3079" max="3079" width="30.81640625" customWidth="1"/>
    <col min="3329" max="3329" width="9.7265625" customWidth="1"/>
    <col min="3330" max="3330" width="10.6328125" customWidth="1"/>
    <col min="3331" max="3331" width="6.7265625" customWidth="1"/>
    <col min="3332" max="3332" width="13" customWidth="1"/>
    <col min="3333" max="3333" width="6.26953125" customWidth="1"/>
    <col min="3334" max="3334" width="9.6328125" customWidth="1"/>
    <col min="3335" max="3335" width="30.81640625" customWidth="1"/>
    <col min="3585" max="3585" width="9.7265625" customWidth="1"/>
    <col min="3586" max="3586" width="10.6328125" customWidth="1"/>
    <col min="3587" max="3587" width="6.7265625" customWidth="1"/>
    <col min="3588" max="3588" width="13" customWidth="1"/>
    <col min="3589" max="3589" width="6.26953125" customWidth="1"/>
    <col min="3590" max="3590" width="9.6328125" customWidth="1"/>
    <col min="3591" max="3591" width="30.81640625" customWidth="1"/>
    <col min="3841" max="3841" width="9.7265625" customWidth="1"/>
    <col min="3842" max="3842" width="10.6328125" customWidth="1"/>
    <col min="3843" max="3843" width="6.7265625" customWidth="1"/>
    <col min="3844" max="3844" width="13" customWidth="1"/>
    <col min="3845" max="3845" width="6.26953125" customWidth="1"/>
    <col min="3846" max="3846" width="9.6328125" customWidth="1"/>
    <col min="3847" max="3847" width="30.81640625" customWidth="1"/>
    <col min="4097" max="4097" width="9.7265625" customWidth="1"/>
    <col min="4098" max="4098" width="10.6328125" customWidth="1"/>
    <col min="4099" max="4099" width="6.7265625" customWidth="1"/>
    <col min="4100" max="4100" width="13" customWidth="1"/>
    <col min="4101" max="4101" width="6.26953125" customWidth="1"/>
    <col min="4102" max="4102" width="9.6328125" customWidth="1"/>
    <col min="4103" max="4103" width="30.81640625" customWidth="1"/>
    <col min="4353" max="4353" width="9.7265625" customWidth="1"/>
    <col min="4354" max="4354" width="10.6328125" customWidth="1"/>
    <col min="4355" max="4355" width="6.7265625" customWidth="1"/>
    <col min="4356" max="4356" width="13" customWidth="1"/>
    <col min="4357" max="4357" width="6.26953125" customWidth="1"/>
    <col min="4358" max="4358" width="9.6328125" customWidth="1"/>
    <col min="4359" max="4359" width="30.81640625" customWidth="1"/>
    <col min="4609" max="4609" width="9.7265625" customWidth="1"/>
    <col min="4610" max="4610" width="10.6328125" customWidth="1"/>
    <col min="4611" max="4611" width="6.7265625" customWidth="1"/>
    <col min="4612" max="4612" width="13" customWidth="1"/>
    <col min="4613" max="4613" width="6.26953125" customWidth="1"/>
    <col min="4614" max="4614" width="9.6328125" customWidth="1"/>
    <col min="4615" max="4615" width="30.81640625" customWidth="1"/>
    <col min="4865" max="4865" width="9.7265625" customWidth="1"/>
    <col min="4866" max="4866" width="10.6328125" customWidth="1"/>
    <col min="4867" max="4867" width="6.7265625" customWidth="1"/>
    <col min="4868" max="4868" width="13" customWidth="1"/>
    <col min="4869" max="4869" width="6.26953125" customWidth="1"/>
    <col min="4870" max="4870" width="9.6328125" customWidth="1"/>
    <col min="4871" max="4871" width="30.81640625" customWidth="1"/>
    <col min="5121" max="5121" width="9.7265625" customWidth="1"/>
    <col min="5122" max="5122" width="10.6328125" customWidth="1"/>
    <col min="5123" max="5123" width="6.7265625" customWidth="1"/>
    <col min="5124" max="5124" width="13" customWidth="1"/>
    <col min="5125" max="5125" width="6.26953125" customWidth="1"/>
    <col min="5126" max="5126" width="9.6328125" customWidth="1"/>
    <col min="5127" max="5127" width="30.81640625" customWidth="1"/>
    <col min="5377" max="5377" width="9.7265625" customWidth="1"/>
    <col min="5378" max="5378" width="10.6328125" customWidth="1"/>
    <col min="5379" max="5379" width="6.7265625" customWidth="1"/>
    <col min="5380" max="5380" width="13" customWidth="1"/>
    <col min="5381" max="5381" width="6.26953125" customWidth="1"/>
    <col min="5382" max="5382" width="9.6328125" customWidth="1"/>
    <col min="5383" max="5383" width="30.81640625" customWidth="1"/>
    <col min="5633" max="5633" width="9.7265625" customWidth="1"/>
    <col min="5634" max="5634" width="10.6328125" customWidth="1"/>
    <col min="5635" max="5635" width="6.7265625" customWidth="1"/>
    <col min="5636" max="5636" width="13" customWidth="1"/>
    <col min="5637" max="5637" width="6.26953125" customWidth="1"/>
    <col min="5638" max="5638" width="9.6328125" customWidth="1"/>
    <col min="5639" max="5639" width="30.81640625" customWidth="1"/>
    <col min="5889" max="5889" width="9.7265625" customWidth="1"/>
    <col min="5890" max="5890" width="10.6328125" customWidth="1"/>
    <col min="5891" max="5891" width="6.7265625" customWidth="1"/>
    <col min="5892" max="5892" width="13" customWidth="1"/>
    <col min="5893" max="5893" width="6.26953125" customWidth="1"/>
    <col min="5894" max="5894" width="9.6328125" customWidth="1"/>
    <col min="5895" max="5895" width="30.81640625" customWidth="1"/>
    <col min="6145" max="6145" width="9.7265625" customWidth="1"/>
    <col min="6146" max="6146" width="10.6328125" customWidth="1"/>
    <col min="6147" max="6147" width="6.7265625" customWidth="1"/>
    <col min="6148" max="6148" width="13" customWidth="1"/>
    <col min="6149" max="6149" width="6.26953125" customWidth="1"/>
    <col min="6150" max="6150" width="9.6328125" customWidth="1"/>
    <col min="6151" max="6151" width="30.81640625" customWidth="1"/>
    <col min="6401" max="6401" width="9.7265625" customWidth="1"/>
    <col min="6402" max="6402" width="10.6328125" customWidth="1"/>
    <col min="6403" max="6403" width="6.7265625" customWidth="1"/>
    <col min="6404" max="6404" width="13" customWidth="1"/>
    <col min="6405" max="6405" width="6.26953125" customWidth="1"/>
    <col min="6406" max="6406" width="9.6328125" customWidth="1"/>
    <col min="6407" max="6407" width="30.81640625" customWidth="1"/>
    <col min="6657" max="6657" width="9.7265625" customWidth="1"/>
    <col min="6658" max="6658" width="10.6328125" customWidth="1"/>
    <col min="6659" max="6659" width="6.7265625" customWidth="1"/>
    <col min="6660" max="6660" width="13" customWidth="1"/>
    <col min="6661" max="6661" width="6.26953125" customWidth="1"/>
    <col min="6662" max="6662" width="9.6328125" customWidth="1"/>
    <col min="6663" max="6663" width="30.81640625" customWidth="1"/>
    <col min="6913" max="6913" width="9.7265625" customWidth="1"/>
    <col min="6914" max="6914" width="10.6328125" customWidth="1"/>
    <col min="6915" max="6915" width="6.7265625" customWidth="1"/>
    <col min="6916" max="6916" width="13" customWidth="1"/>
    <col min="6917" max="6917" width="6.26953125" customWidth="1"/>
    <col min="6918" max="6918" width="9.6328125" customWidth="1"/>
    <col min="6919" max="6919" width="30.81640625" customWidth="1"/>
    <col min="7169" max="7169" width="9.7265625" customWidth="1"/>
    <col min="7170" max="7170" width="10.6328125" customWidth="1"/>
    <col min="7171" max="7171" width="6.7265625" customWidth="1"/>
    <col min="7172" max="7172" width="13" customWidth="1"/>
    <col min="7173" max="7173" width="6.26953125" customWidth="1"/>
    <col min="7174" max="7174" width="9.6328125" customWidth="1"/>
    <col min="7175" max="7175" width="30.81640625" customWidth="1"/>
    <col min="7425" max="7425" width="9.7265625" customWidth="1"/>
    <col min="7426" max="7426" width="10.6328125" customWidth="1"/>
    <col min="7427" max="7427" width="6.7265625" customWidth="1"/>
    <col min="7428" max="7428" width="13" customWidth="1"/>
    <col min="7429" max="7429" width="6.26953125" customWidth="1"/>
    <col min="7430" max="7430" width="9.6328125" customWidth="1"/>
    <col min="7431" max="7431" width="30.81640625" customWidth="1"/>
    <col min="7681" max="7681" width="9.7265625" customWidth="1"/>
    <col min="7682" max="7682" width="10.6328125" customWidth="1"/>
    <col min="7683" max="7683" width="6.7265625" customWidth="1"/>
    <col min="7684" max="7684" width="13" customWidth="1"/>
    <col min="7685" max="7685" width="6.26953125" customWidth="1"/>
    <col min="7686" max="7686" width="9.6328125" customWidth="1"/>
    <col min="7687" max="7687" width="30.81640625" customWidth="1"/>
    <col min="7937" max="7937" width="9.7265625" customWidth="1"/>
    <col min="7938" max="7938" width="10.6328125" customWidth="1"/>
    <col min="7939" max="7939" width="6.7265625" customWidth="1"/>
    <col min="7940" max="7940" width="13" customWidth="1"/>
    <col min="7941" max="7941" width="6.26953125" customWidth="1"/>
    <col min="7942" max="7942" width="9.6328125" customWidth="1"/>
    <col min="7943" max="7943" width="30.81640625" customWidth="1"/>
    <col min="8193" max="8193" width="9.7265625" customWidth="1"/>
    <col min="8194" max="8194" width="10.6328125" customWidth="1"/>
    <col min="8195" max="8195" width="6.7265625" customWidth="1"/>
    <col min="8196" max="8196" width="13" customWidth="1"/>
    <col min="8197" max="8197" width="6.26953125" customWidth="1"/>
    <col min="8198" max="8198" width="9.6328125" customWidth="1"/>
    <col min="8199" max="8199" width="30.81640625" customWidth="1"/>
    <col min="8449" max="8449" width="9.7265625" customWidth="1"/>
    <col min="8450" max="8450" width="10.6328125" customWidth="1"/>
    <col min="8451" max="8451" width="6.7265625" customWidth="1"/>
    <col min="8452" max="8452" width="13" customWidth="1"/>
    <col min="8453" max="8453" width="6.26953125" customWidth="1"/>
    <col min="8454" max="8454" width="9.6328125" customWidth="1"/>
    <col min="8455" max="8455" width="30.81640625" customWidth="1"/>
    <col min="8705" max="8705" width="9.7265625" customWidth="1"/>
    <col min="8706" max="8706" width="10.6328125" customWidth="1"/>
    <col min="8707" max="8707" width="6.7265625" customWidth="1"/>
    <col min="8708" max="8708" width="13" customWidth="1"/>
    <col min="8709" max="8709" width="6.26953125" customWidth="1"/>
    <col min="8710" max="8710" width="9.6328125" customWidth="1"/>
    <col min="8711" max="8711" width="30.81640625" customWidth="1"/>
    <col min="8961" max="8961" width="9.7265625" customWidth="1"/>
    <col min="8962" max="8962" width="10.6328125" customWidth="1"/>
    <col min="8963" max="8963" width="6.7265625" customWidth="1"/>
    <col min="8964" max="8964" width="13" customWidth="1"/>
    <col min="8965" max="8965" width="6.26953125" customWidth="1"/>
    <col min="8966" max="8966" width="9.6328125" customWidth="1"/>
    <col min="8967" max="8967" width="30.81640625" customWidth="1"/>
    <col min="9217" max="9217" width="9.7265625" customWidth="1"/>
    <col min="9218" max="9218" width="10.6328125" customWidth="1"/>
    <col min="9219" max="9219" width="6.7265625" customWidth="1"/>
    <col min="9220" max="9220" width="13" customWidth="1"/>
    <col min="9221" max="9221" width="6.26953125" customWidth="1"/>
    <col min="9222" max="9222" width="9.6328125" customWidth="1"/>
    <col min="9223" max="9223" width="30.81640625" customWidth="1"/>
    <col min="9473" max="9473" width="9.7265625" customWidth="1"/>
    <col min="9474" max="9474" width="10.6328125" customWidth="1"/>
    <col min="9475" max="9475" width="6.7265625" customWidth="1"/>
    <col min="9476" max="9476" width="13" customWidth="1"/>
    <col min="9477" max="9477" width="6.26953125" customWidth="1"/>
    <col min="9478" max="9478" width="9.6328125" customWidth="1"/>
    <col min="9479" max="9479" width="30.81640625" customWidth="1"/>
    <col min="9729" max="9729" width="9.7265625" customWidth="1"/>
    <col min="9730" max="9730" width="10.6328125" customWidth="1"/>
    <col min="9731" max="9731" width="6.7265625" customWidth="1"/>
    <col min="9732" max="9732" width="13" customWidth="1"/>
    <col min="9733" max="9733" width="6.26953125" customWidth="1"/>
    <col min="9734" max="9734" width="9.6328125" customWidth="1"/>
    <col min="9735" max="9735" width="30.81640625" customWidth="1"/>
    <col min="9985" max="9985" width="9.7265625" customWidth="1"/>
    <col min="9986" max="9986" width="10.6328125" customWidth="1"/>
    <col min="9987" max="9987" width="6.7265625" customWidth="1"/>
    <col min="9988" max="9988" width="13" customWidth="1"/>
    <col min="9989" max="9989" width="6.26953125" customWidth="1"/>
    <col min="9990" max="9990" width="9.6328125" customWidth="1"/>
    <col min="9991" max="9991" width="30.81640625" customWidth="1"/>
    <col min="10241" max="10241" width="9.7265625" customWidth="1"/>
    <col min="10242" max="10242" width="10.6328125" customWidth="1"/>
    <col min="10243" max="10243" width="6.7265625" customWidth="1"/>
    <col min="10244" max="10244" width="13" customWidth="1"/>
    <col min="10245" max="10245" width="6.26953125" customWidth="1"/>
    <col min="10246" max="10246" width="9.6328125" customWidth="1"/>
    <col min="10247" max="10247" width="30.81640625" customWidth="1"/>
    <col min="10497" max="10497" width="9.7265625" customWidth="1"/>
    <col min="10498" max="10498" width="10.6328125" customWidth="1"/>
    <col min="10499" max="10499" width="6.7265625" customWidth="1"/>
    <col min="10500" max="10500" width="13" customWidth="1"/>
    <col min="10501" max="10501" width="6.26953125" customWidth="1"/>
    <col min="10502" max="10502" width="9.6328125" customWidth="1"/>
    <col min="10503" max="10503" width="30.81640625" customWidth="1"/>
    <col min="10753" max="10753" width="9.7265625" customWidth="1"/>
    <col min="10754" max="10754" width="10.6328125" customWidth="1"/>
    <col min="10755" max="10755" width="6.7265625" customWidth="1"/>
    <col min="10756" max="10756" width="13" customWidth="1"/>
    <col min="10757" max="10757" width="6.26953125" customWidth="1"/>
    <col min="10758" max="10758" width="9.6328125" customWidth="1"/>
    <col min="10759" max="10759" width="30.81640625" customWidth="1"/>
    <col min="11009" max="11009" width="9.7265625" customWidth="1"/>
    <col min="11010" max="11010" width="10.6328125" customWidth="1"/>
    <col min="11011" max="11011" width="6.7265625" customWidth="1"/>
    <col min="11012" max="11012" width="13" customWidth="1"/>
    <col min="11013" max="11013" width="6.26953125" customWidth="1"/>
    <col min="11014" max="11014" width="9.6328125" customWidth="1"/>
    <col min="11015" max="11015" width="30.81640625" customWidth="1"/>
    <col min="11265" max="11265" width="9.7265625" customWidth="1"/>
    <col min="11266" max="11266" width="10.6328125" customWidth="1"/>
    <col min="11267" max="11267" width="6.7265625" customWidth="1"/>
    <col min="11268" max="11268" width="13" customWidth="1"/>
    <col min="11269" max="11269" width="6.26953125" customWidth="1"/>
    <col min="11270" max="11270" width="9.6328125" customWidth="1"/>
    <col min="11271" max="11271" width="30.81640625" customWidth="1"/>
    <col min="11521" max="11521" width="9.7265625" customWidth="1"/>
    <col min="11522" max="11522" width="10.6328125" customWidth="1"/>
    <col min="11523" max="11523" width="6.7265625" customWidth="1"/>
    <col min="11524" max="11524" width="13" customWidth="1"/>
    <col min="11525" max="11525" width="6.26953125" customWidth="1"/>
    <col min="11526" max="11526" width="9.6328125" customWidth="1"/>
    <col min="11527" max="11527" width="30.81640625" customWidth="1"/>
    <col min="11777" max="11777" width="9.7265625" customWidth="1"/>
    <col min="11778" max="11778" width="10.6328125" customWidth="1"/>
    <col min="11779" max="11779" width="6.7265625" customWidth="1"/>
    <col min="11780" max="11780" width="13" customWidth="1"/>
    <col min="11781" max="11781" width="6.26953125" customWidth="1"/>
    <col min="11782" max="11782" width="9.6328125" customWidth="1"/>
    <col min="11783" max="11783" width="30.81640625" customWidth="1"/>
    <col min="12033" max="12033" width="9.7265625" customWidth="1"/>
    <col min="12034" max="12034" width="10.6328125" customWidth="1"/>
    <col min="12035" max="12035" width="6.7265625" customWidth="1"/>
    <col min="12036" max="12036" width="13" customWidth="1"/>
    <col min="12037" max="12037" width="6.26953125" customWidth="1"/>
    <col min="12038" max="12038" width="9.6328125" customWidth="1"/>
    <col min="12039" max="12039" width="30.81640625" customWidth="1"/>
    <col min="12289" max="12289" width="9.7265625" customWidth="1"/>
    <col min="12290" max="12290" width="10.6328125" customWidth="1"/>
    <col min="12291" max="12291" width="6.7265625" customWidth="1"/>
    <col min="12292" max="12292" width="13" customWidth="1"/>
    <col min="12293" max="12293" width="6.26953125" customWidth="1"/>
    <col min="12294" max="12294" width="9.6328125" customWidth="1"/>
    <col min="12295" max="12295" width="30.81640625" customWidth="1"/>
    <col min="12545" max="12545" width="9.7265625" customWidth="1"/>
    <col min="12546" max="12546" width="10.6328125" customWidth="1"/>
    <col min="12547" max="12547" width="6.7265625" customWidth="1"/>
    <col min="12548" max="12548" width="13" customWidth="1"/>
    <col min="12549" max="12549" width="6.26953125" customWidth="1"/>
    <col min="12550" max="12550" width="9.6328125" customWidth="1"/>
    <col min="12551" max="12551" width="30.81640625" customWidth="1"/>
    <col min="12801" max="12801" width="9.7265625" customWidth="1"/>
    <col min="12802" max="12802" width="10.6328125" customWidth="1"/>
    <col min="12803" max="12803" width="6.7265625" customWidth="1"/>
    <col min="12804" max="12804" width="13" customWidth="1"/>
    <col min="12805" max="12805" width="6.26953125" customWidth="1"/>
    <col min="12806" max="12806" width="9.6328125" customWidth="1"/>
    <col min="12807" max="12807" width="30.81640625" customWidth="1"/>
    <col min="13057" max="13057" width="9.7265625" customWidth="1"/>
    <col min="13058" max="13058" width="10.6328125" customWidth="1"/>
    <col min="13059" max="13059" width="6.7265625" customWidth="1"/>
    <col min="13060" max="13060" width="13" customWidth="1"/>
    <col min="13061" max="13061" width="6.26953125" customWidth="1"/>
    <col min="13062" max="13062" width="9.6328125" customWidth="1"/>
    <col min="13063" max="13063" width="30.81640625" customWidth="1"/>
    <col min="13313" max="13313" width="9.7265625" customWidth="1"/>
    <col min="13314" max="13314" width="10.6328125" customWidth="1"/>
    <col min="13315" max="13315" width="6.7265625" customWidth="1"/>
    <col min="13316" max="13316" width="13" customWidth="1"/>
    <col min="13317" max="13317" width="6.26953125" customWidth="1"/>
    <col min="13318" max="13318" width="9.6328125" customWidth="1"/>
    <col min="13319" max="13319" width="30.81640625" customWidth="1"/>
    <col min="13569" max="13569" width="9.7265625" customWidth="1"/>
    <col min="13570" max="13570" width="10.6328125" customWidth="1"/>
    <col min="13571" max="13571" width="6.7265625" customWidth="1"/>
    <col min="13572" max="13572" width="13" customWidth="1"/>
    <col min="13573" max="13573" width="6.26953125" customWidth="1"/>
    <col min="13574" max="13574" width="9.6328125" customWidth="1"/>
    <col min="13575" max="13575" width="30.81640625" customWidth="1"/>
    <col min="13825" max="13825" width="9.7265625" customWidth="1"/>
    <col min="13826" max="13826" width="10.6328125" customWidth="1"/>
    <col min="13827" max="13827" width="6.7265625" customWidth="1"/>
    <col min="13828" max="13828" width="13" customWidth="1"/>
    <col min="13829" max="13829" width="6.26953125" customWidth="1"/>
    <col min="13830" max="13830" width="9.6328125" customWidth="1"/>
    <col min="13831" max="13831" width="30.81640625" customWidth="1"/>
    <col min="14081" max="14081" width="9.7265625" customWidth="1"/>
    <col min="14082" max="14082" width="10.6328125" customWidth="1"/>
    <col min="14083" max="14083" width="6.7265625" customWidth="1"/>
    <col min="14084" max="14084" width="13" customWidth="1"/>
    <col min="14085" max="14085" width="6.26953125" customWidth="1"/>
    <col min="14086" max="14086" width="9.6328125" customWidth="1"/>
    <col min="14087" max="14087" width="30.81640625" customWidth="1"/>
    <col min="14337" max="14337" width="9.7265625" customWidth="1"/>
    <col min="14338" max="14338" width="10.6328125" customWidth="1"/>
    <col min="14339" max="14339" width="6.7265625" customWidth="1"/>
    <col min="14340" max="14340" width="13" customWidth="1"/>
    <col min="14341" max="14341" width="6.26953125" customWidth="1"/>
    <col min="14342" max="14342" width="9.6328125" customWidth="1"/>
    <col min="14343" max="14343" width="30.81640625" customWidth="1"/>
    <col min="14593" max="14593" width="9.7265625" customWidth="1"/>
    <col min="14594" max="14594" width="10.6328125" customWidth="1"/>
    <col min="14595" max="14595" width="6.7265625" customWidth="1"/>
    <col min="14596" max="14596" width="13" customWidth="1"/>
    <col min="14597" max="14597" width="6.26953125" customWidth="1"/>
    <col min="14598" max="14598" width="9.6328125" customWidth="1"/>
    <col min="14599" max="14599" width="30.81640625" customWidth="1"/>
    <col min="14849" max="14849" width="9.7265625" customWidth="1"/>
    <col min="14850" max="14850" width="10.6328125" customWidth="1"/>
    <col min="14851" max="14851" width="6.7265625" customWidth="1"/>
    <col min="14852" max="14852" width="13" customWidth="1"/>
    <col min="14853" max="14853" width="6.26953125" customWidth="1"/>
    <col min="14854" max="14854" width="9.6328125" customWidth="1"/>
    <col min="14855" max="14855" width="30.81640625" customWidth="1"/>
    <col min="15105" max="15105" width="9.7265625" customWidth="1"/>
    <col min="15106" max="15106" width="10.6328125" customWidth="1"/>
    <col min="15107" max="15107" width="6.7265625" customWidth="1"/>
    <col min="15108" max="15108" width="13" customWidth="1"/>
    <col min="15109" max="15109" width="6.26953125" customWidth="1"/>
    <col min="15110" max="15110" width="9.6328125" customWidth="1"/>
    <col min="15111" max="15111" width="30.81640625" customWidth="1"/>
    <col min="15361" max="15361" width="9.7265625" customWidth="1"/>
    <col min="15362" max="15362" width="10.6328125" customWidth="1"/>
    <col min="15363" max="15363" width="6.7265625" customWidth="1"/>
    <col min="15364" max="15364" width="13" customWidth="1"/>
    <col min="15365" max="15365" width="6.26953125" customWidth="1"/>
    <col min="15366" max="15366" width="9.6328125" customWidth="1"/>
    <col min="15367" max="15367" width="30.81640625" customWidth="1"/>
    <col min="15617" max="15617" width="9.7265625" customWidth="1"/>
    <col min="15618" max="15618" width="10.6328125" customWidth="1"/>
    <col min="15619" max="15619" width="6.7265625" customWidth="1"/>
    <col min="15620" max="15620" width="13" customWidth="1"/>
    <col min="15621" max="15621" width="6.26953125" customWidth="1"/>
    <col min="15622" max="15622" width="9.6328125" customWidth="1"/>
    <col min="15623" max="15623" width="30.81640625" customWidth="1"/>
    <col min="15873" max="15873" width="9.7265625" customWidth="1"/>
    <col min="15874" max="15874" width="10.6328125" customWidth="1"/>
    <col min="15875" max="15875" width="6.7265625" customWidth="1"/>
    <col min="15876" max="15876" width="13" customWidth="1"/>
    <col min="15877" max="15877" width="6.26953125" customWidth="1"/>
    <col min="15878" max="15878" width="9.6328125" customWidth="1"/>
    <col min="15879" max="15879" width="30.81640625" customWidth="1"/>
    <col min="16129" max="16129" width="9.7265625" customWidth="1"/>
    <col min="16130" max="16130" width="10.6328125" customWidth="1"/>
    <col min="16131" max="16131" width="6.7265625" customWidth="1"/>
    <col min="16132" max="16132" width="13" customWidth="1"/>
    <col min="16133" max="16133" width="6.26953125" customWidth="1"/>
    <col min="16134" max="16134" width="9.6328125" customWidth="1"/>
    <col min="16135" max="16135" width="30.81640625" customWidth="1"/>
  </cols>
  <sheetData>
    <row r="1" spans="1:20" s="2" customFormat="1" ht="12.75" customHeight="1" x14ac:dyDescent="0.25">
      <c r="A1" s="214" t="s">
        <v>11</v>
      </c>
      <c r="B1" s="215"/>
      <c r="C1" s="215"/>
      <c r="D1" s="215"/>
      <c r="E1" s="215"/>
      <c r="F1" s="215"/>
      <c r="G1" s="216"/>
    </row>
    <row r="2" spans="1:20" ht="12.75" customHeight="1" x14ac:dyDescent="0.35">
      <c r="A2" s="3" t="s">
        <v>12</v>
      </c>
      <c r="B2" s="4"/>
      <c r="C2" s="5"/>
      <c r="D2" s="6"/>
      <c r="E2" s="6"/>
      <c r="F2" s="4"/>
      <c r="G2" s="7" t="s">
        <v>13</v>
      </c>
      <c r="H2" s="8"/>
      <c r="I2" s="8"/>
      <c r="J2" s="8"/>
      <c r="K2" s="9"/>
      <c r="L2" s="9"/>
      <c r="M2" s="9"/>
      <c r="N2" s="8"/>
      <c r="O2" s="8"/>
      <c r="P2" s="8"/>
      <c r="Q2" s="8"/>
      <c r="R2" s="8"/>
      <c r="S2" s="8"/>
      <c r="T2" s="8"/>
    </row>
    <row r="3" spans="1:20" ht="12.75" customHeight="1" x14ac:dyDescent="0.35">
      <c r="A3" s="10" t="s">
        <v>14</v>
      </c>
      <c r="B3" s="11"/>
      <c r="C3" s="6"/>
      <c r="D3" s="6"/>
      <c r="E3" s="6"/>
      <c r="F3" s="217" t="s">
        <v>15</v>
      </c>
      <c r="G3" s="218"/>
      <c r="H3" s="12"/>
      <c r="I3" s="12"/>
      <c r="J3" s="12"/>
      <c r="K3" s="12"/>
      <c r="L3" s="12"/>
      <c r="M3" s="12"/>
      <c r="N3" s="12"/>
      <c r="O3" s="12"/>
      <c r="P3" s="12"/>
      <c r="Q3" s="12"/>
      <c r="R3" s="12"/>
      <c r="S3" s="12"/>
      <c r="T3" s="13"/>
    </row>
    <row r="4" spans="1:20" ht="12.75" customHeight="1" x14ac:dyDescent="0.35">
      <c r="A4" s="10" t="s">
        <v>16</v>
      </c>
      <c r="B4" s="11"/>
      <c r="C4" s="6"/>
      <c r="D4" s="219" t="s">
        <v>17</v>
      </c>
      <c r="E4" s="219"/>
      <c r="F4" s="219"/>
      <c r="G4" s="220"/>
      <c r="H4" s="12"/>
      <c r="I4" s="12"/>
      <c r="J4" s="12"/>
      <c r="K4" s="12"/>
      <c r="L4" s="12"/>
      <c r="M4" s="12"/>
      <c r="N4" s="12"/>
      <c r="O4" s="12"/>
      <c r="P4" s="12"/>
      <c r="Q4" s="12"/>
      <c r="R4" s="12"/>
      <c r="S4" s="12"/>
      <c r="T4" s="13"/>
    </row>
    <row r="5" spans="1:20" ht="17.350000000000001" customHeight="1" x14ac:dyDescent="0.35">
      <c r="A5" s="3" t="s">
        <v>18</v>
      </c>
      <c r="B5" s="11"/>
      <c r="C5" s="6"/>
      <c r="D5" s="6"/>
      <c r="E5" s="6"/>
      <c r="F5" s="6"/>
      <c r="G5" s="14"/>
      <c r="H5" s="12"/>
      <c r="I5" s="12"/>
      <c r="J5" s="12"/>
      <c r="K5" s="12"/>
      <c r="L5" s="12"/>
      <c r="M5" s="12"/>
      <c r="N5" s="12"/>
      <c r="O5" s="12"/>
      <c r="P5" s="12"/>
      <c r="Q5" s="12"/>
      <c r="R5" s="12"/>
      <c r="S5" s="12"/>
      <c r="T5" s="13"/>
    </row>
    <row r="6" spans="1:20" ht="12.75" customHeight="1" x14ac:dyDescent="0.35">
      <c r="A6" s="3" t="s">
        <v>19</v>
      </c>
      <c r="B6" s="11"/>
      <c r="C6" s="6"/>
      <c r="D6" s="6"/>
      <c r="E6" s="6"/>
      <c r="F6" s="6"/>
      <c r="G6" s="14"/>
      <c r="H6" s="12"/>
      <c r="I6" s="12"/>
      <c r="J6" s="12"/>
      <c r="K6" s="12"/>
      <c r="L6" s="12"/>
      <c r="M6" s="12"/>
      <c r="N6" s="12"/>
      <c r="O6" s="12"/>
      <c r="P6" s="12"/>
      <c r="Q6" s="12"/>
      <c r="R6" s="12"/>
      <c r="S6" s="12"/>
      <c r="T6" s="13"/>
    </row>
    <row r="7" spans="1:20" ht="12.75" customHeight="1" x14ac:dyDescent="0.35">
      <c r="A7" s="15"/>
      <c r="B7" s="16" t="s">
        <v>20</v>
      </c>
      <c r="C7" s="6"/>
      <c r="D7" s="6"/>
      <c r="E7" s="6"/>
      <c r="F7" s="6"/>
      <c r="G7" s="14"/>
      <c r="H7" s="12"/>
      <c r="I7" s="12"/>
      <c r="J7" s="12"/>
      <c r="K7" s="12"/>
      <c r="L7" s="12"/>
      <c r="M7" s="12"/>
      <c r="N7" s="12"/>
      <c r="O7" s="12"/>
      <c r="P7" s="12"/>
      <c r="Q7" s="12"/>
      <c r="R7" s="12"/>
      <c r="S7" s="12"/>
      <c r="T7" s="13"/>
    </row>
    <row r="8" spans="1:20" ht="12.75" customHeight="1" x14ac:dyDescent="0.35">
      <c r="A8" s="15"/>
      <c r="B8" s="16" t="s">
        <v>21</v>
      </c>
      <c r="C8" s="6"/>
      <c r="D8" s="6"/>
      <c r="E8" s="6"/>
      <c r="F8" s="6"/>
      <c r="G8" s="14"/>
      <c r="H8" s="12"/>
      <c r="I8" s="12"/>
      <c r="J8" s="12"/>
      <c r="K8" s="12"/>
      <c r="L8" s="12"/>
      <c r="M8" s="12"/>
      <c r="N8" s="12"/>
      <c r="O8" s="12"/>
      <c r="P8" s="12"/>
      <c r="Q8" s="12"/>
      <c r="R8" s="12"/>
      <c r="S8" s="12"/>
      <c r="T8" s="13"/>
    </row>
    <row r="9" spans="1:20" ht="12.75" customHeight="1" x14ac:dyDescent="0.35">
      <c r="A9" s="15"/>
      <c r="B9" s="16" t="s">
        <v>22</v>
      </c>
      <c r="C9" s="6"/>
      <c r="D9" s="6"/>
      <c r="E9" s="6"/>
      <c r="F9" s="6"/>
      <c r="G9" s="14"/>
      <c r="H9" s="12"/>
      <c r="I9" s="12"/>
      <c r="J9" s="12"/>
      <c r="K9" s="12"/>
      <c r="L9" s="12"/>
      <c r="M9" s="12"/>
      <c r="N9" s="12"/>
      <c r="O9" s="12"/>
      <c r="P9" s="12"/>
      <c r="Q9" s="12"/>
      <c r="R9" s="12"/>
      <c r="S9" s="12"/>
      <c r="T9" s="13"/>
    </row>
    <row r="10" spans="1:20" ht="12.75" customHeight="1"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8" t="s">
        <v>24</v>
      </c>
      <c r="C11" s="19"/>
      <c r="D11" s="19"/>
      <c r="E11" s="19"/>
      <c r="F11" s="19"/>
      <c r="G11" s="20"/>
      <c r="H11" s="12"/>
      <c r="I11" s="12"/>
      <c r="J11" s="12"/>
      <c r="K11" s="12"/>
      <c r="L11" s="12"/>
      <c r="M11" s="12"/>
      <c r="N11" s="12"/>
      <c r="O11" s="12"/>
      <c r="P11" s="12"/>
      <c r="Q11" s="12"/>
      <c r="R11" s="12"/>
      <c r="S11" s="12"/>
      <c r="T11" s="13"/>
    </row>
    <row r="12" spans="1:20" ht="22.15" x14ac:dyDescent="0.35">
      <c r="A12" s="21" t="s">
        <v>25</v>
      </c>
      <c r="B12" s="22" t="s">
        <v>26</v>
      </c>
      <c r="C12" s="23" t="s">
        <v>27</v>
      </c>
      <c r="D12" s="23" t="s">
        <v>28</v>
      </c>
      <c r="E12" s="23" t="s">
        <v>29</v>
      </c>
      <c r="F12" s="22" t="s">
        <v>30</v>
      </c>
      <c r="G12" s="23" t="s">
        <v>31</v>
      </c>
      <c r="H12" s="12"/>
      <c r="I12" s="24"/>
      <c r="K12" s="12"/>
      <c r="L12" s="12"/>
      <c r="M12" s="12"/>
      <c r="N12" s="12"/>
      <c r="O12" s="12"/>
      <c r="Q12" s="12"/>
      <c r="R12" s="12"/>
      <c r="S12" s="12"/>
      <c r="T12" s="13"/>
    </row>
    <row r="13" spans="1:20" ht="14.95" customHeight="1" x14ac:dyDescent="0.35">
      <c r="A13" s="210"/>
      <c r="B13" s="25" t="s">
        <v>32</v>
      </c>
      <c r="C13" s="26"/>
      <c r="D13" s="25" t="s">
        <v>33</v>
      </c>
      <c r="E13" s="27"/>
      <c r="F13" s="213"/>
      <c r="G13" s="28"/>
      <c r="H13" s="29"/>
      <c r="I13" s="30"/>
      <c r="J13" s="29"/>
      <c r="K13" s="29"/>
      <c r="L13" s="29"/>
      <c r="M13" s="29"/>
      <c r="N13" s="29"/>
      <c r="O13" s="29"/>
      <c r="P13" s="29"/>
      <c r="Q13" s="29"/>
      <c r="R13" s="29"/>
      <c r="S13" s="29"/>
      <c r="T13" s="13"/>
    </row>
    <row r="14" spans="1:20" ht="14.95" customHeight="1" x14ac:dyDescent="0.35">
      <c r="A14" s="211"/>
      <c r="B14" s="25" t="s">
        <v>34</v>
      </c>
      <c r="C14" s="26"/>
      <c r="D14" s="25" t="s">
        <v>33</v>
      </c>
      <c r="E14" s="27"/>
      <c r="F14" s="213"/>
      <c r="G14" s="28"/>
      <c r="H14" s="29"/>
      <c r="I14" s="30"/>
      <c r="J14" s="29"/>
      <c r="K14" s="29"/>
      <c r="L14" s="29"/>
      <c r="M14" s="29"/>
      <c r="N14" s="29"/>
      <c r="O14" s="29"/>
      <c r="P14" s="29"/>
      <c r="Q14" s="29"/>
      <c r="R14" s="29"/>
      <c r="S14" s="29"/>
      <c r="T14" s="13"/>
    </row>
    <row r="15" spans="1:20" ht="14.95" customHeight="1" x14ac:dyDescent="0.35">
      <c r="A15" s="211"/>
      <c r="B15" s="25" t="s">
        <v>35</v>
      </c>
      <c r="C15" s="26"/>
      <c r="D15" s="25" t="s">
        <v>33</v>
      </c>
      <c r="E15" s="27"/>
      <c r="F15" s="213"/>
      <c r="G15" s="28"/>
      <c r="H15" s="29"/>
      <c r="I15" s="30"/>
      <c r="J15" s="29"/>
      <c r="K15" s="29"/>
      <c r="L15" s="29"/>
      <c r="M15" s="29"/>
      <c r="N15" s="29"/>
      <c r="O15" s="29"/>
      <c r="P15" s="29"/>
      <c r="Q15" s="29"/>
      <c r="R15" s="29"/>
      <c r="S15" s="29"/>
      <c r="T15" s="13"/>
    </row>
    <row r="16" spans="1:20" ht="14.95" customHeight="1" x14ac:dyDescent="0.35">
      <c r="A16" s="211"/>
      <c r="B16" s="25" t="s">
        <v>36</v>
      </c>
      <c r="C16" s="26"/>
      <c r="D16" s="25" t="s">
        <v>33</v>
      </c>
      <c r="E16" s="27"/>
      <c r="F16" s="213"/>
      <c r="G16" s="28"/>
      <c r="H16" s="29"/>
      <c r="I16" s="30"/>
      <c r="J16" s="29"/>
      <c r="K16" s="29"/>
      <c r="L16" s="29"/>
      <c r="M16" s="29"/>
      <c r="N16" s="29"/>
      <c r="O16" s="29"/>
      <c r="P16" s="29"/>
      <c r="Q16" s="29"/>
      <c r="R16" s="29"/>
      <c r="S16" s="29"/>
      <c r="T16" s="13"/>
    </row>
    <row r="17" spans="1:20" ht="14.3" customHeight="1" x14ac:dyDescent="0.35">
      <c r="A17" s="212"/>
      <c r="B17" s="25" t="s">
        <v>37</v>
      </c>
      <c r="C17" s="26"/>
      <c r="D17" s="25" t="s">
        <v>33</v>
      </c>
      <c r="E17" s="27"/>
      <c r="F17" s="213"/>
      <c r="G17" s="28"/>
      <c r="H17" s="29"/>
      <c r="I17" s="30"/>
      <c r="J17" s="29"/>
      <c r="K17" s="29"/>
      <c r="L17" s="29"/>
      <c r="M17" s="29"/>
      <c r="N17" s="29"/>
      <c r="O17" s="29"/>
      <c r="P17" s="29"/>
      <c r="Q17" s="29"/>
      <c r="R17" s="29"/>
      <c r="S17" s="29"/>
      <c r="T17" s="13"/>
    </row>
    <row r="18" spans="1:20" ht="12.75" customHeight="1" x14ac:dyDescent="0.35">
      <c r="A18" s="210"/>
      <c r="B18" s="25" t="s">
        <v>32</v>
      </c>
      <c r="C18" s="26"/>
      <c r="D18" s="25" t="s">
        <v>33</v>
      </c>
      <c r="E18" s="27"/>
      <c r="F18" s="213"/>
      <c r="G18" s="28"/>
    </row>
    <row r="19" spans="1:20" ht="12.75" customHeight="1" x14ac:dyDescent="0.35">
      <c r="A19" s="211"/>
      <c r="B19" s="25" t="s">
        <v>34</v>
      </c>
      <c r="C19" s="26"/>
      <c r="D19" s="25" t="s">
        <v>33</v>
      </c>
      <c r="E19" s="27"/>
      <c r="F19" s="213"/>
      <c r="G19" s="28"/>
    </row>
    <row r="20" spans="1:20" ht="12.75" customHeight="1" x14ac:dyDescent="0.35">
      <c r="A20" s="211"/>
      <c r="B20" s="25" t="s">
        <v>35</v>
      </c>
      <c r="C20" s="26"/>
      <c r="D20" s="25" t="s">
        <v>33</v>
      </c>
      <c r="E20" s="27"/>
      <c r="F20" s="213"/>
      <c r="G20" s="28"/>
    </row>
    <row r="21" spans="1:20" ht="12.75" customHeight="1" x14ac:dyDescent="0.35">
      <c r="A21" s="211"/>
      <c r="B21" s="25" t="s">
        <v>36</v>
      </c>
      <c r="C21" s="26"/>
      <c r="D21" s="25" t="s">
        <v>33</v>
      </c>
      <c r="E21" s="27"/>
      <c r="F21" s="213"/>
      <c r="G21" s="28"/>
    </row>
    <row r="22" spans="1:20" ht="12.75" customHeight="1" x14ac:dyDescent="0.35">
      <c r="A22" s="212"/>
      <c r="B22" s="25" t="s">
        <v>37</v>
      </c>
      <c r="C22" s="26"/>
      <c r="D22" s="25" t="s">
        <v>33</v>
      </c>
      <c r="E22" s="27"/>
      <c r="F22" s="213"/>
      <c r="G22" s="28"/>
    </row>
    <row r="23" spans="1:20" ht="12.75" customHeight="1" x14ac:dyDescent="0.35">
      <c r="A23" s="210"/>
      <c r="B23" s="25" t="s">
        <v>32</v>
      </c>
      <c r="C23" s="26"/>
      <c r="D23" s="25" t="s">
        <v>33</v>
      </c>
      <c r="E23" s="27"/>
      <c r="F23" s="213"/>
      <c r="G23" s="28"/>
    </row>
    <row r="24" spans="1:20" ht="12.75" customHeight="1" x14ac:dyDescent="0.35">
      <c r="A24" s="211"/>
      <c r="B24" s="25" t="s">
        <v>34</v>
      </c>
      <c r="C24" s="26"/>
      <c r="D24" s="25" t="s">
        <v>33</v>
      </c>
      <c r="E24" s="27"/>
      <c r="F24" s="213"/>
      <c r="G24" s="28"/>
    </row>
    <row r="25" spans="1:20" ht="12.75" customHeight="1" x14ac:dyDescent="0.35">
      <c r="A25" s="211"/>
      <c r="B25" s="25" t="s">
        <v>35</v>
      </c>
      <c r="C25" s="26"/>
      <c r="D25" s="25" t="s">
        <v>33</v>
      </c>
      <c r="E25" s="27"/>
      <c r="F25" s="213"/>
      <c r="G25" s="28"/>
    </row>
    <row r="26" spans="1:20" ht="12.75" customHeight="1" x14ac:dyDescent="0.35">
      <c r="A26" s="211"/>
      <c r="B26" s="25" t="s">
        <v>36</v>
      </c>
      <c r="C26" s="26"/>
      <c r="D26" s="25" t="s">
        <v>33</v>
      </c>
      <c r="E26" s="27"/>
      <c r="F26" s="213"/>
      <c r="G26" s="28"/>
    </row>
    <row r="27" spans="1:20" ht="12.75" customHeight="1" x14ac:dyDescent="0.35">
      <c r="A27" s="212"/>
      <c r="B27" s="25" t="s">
        <v>37</v>
      </c>
      <c r="C27" s="26"/>
      <c r="D27" s="25" t="s">
        <v>33</v>
      </c>
      <c r="E27" s="27"/>
      <c r="F27" s="213"/>
      <c r="G27" s="28"/>
    </row>
    <row r="28" spans="1:20" ht="12.75" customHeight="1" x14ac:dyDescent="0.35">
      <c r="A28" s="210"/>
      <c r="B28" s="25" t="s">
        <v>32</v>
      </c>
      <c r="C28" s="26"/>
      <c r="D28" s="25" t="s">
        <v>33</v>
      </c>
      <c r="E28" s="27"/>
      <c r="F28" s="213"/>
      <c r="G28" s="28"/>
    </row>
    <row r="29" spans="1:20" ht="12.75" customHeight="1" x14ac:dyDescent="0.35">
      <c r="A29" s="211"/>
      <c r="B29" s="25" t="s">
        <v>34</v>
      </c>
      <c r="C29" s="26"/>
      <c r="D29" s="25" t="s">
        <v>33</v>
      </c>
      <c r="E29" s="27"/>
      <c r="F29" s="213"/>
      <c r="G29" s="28"/>
    </row>
    <row r="30" spans="1:20" ht="12.75" customHeight="1" x14ac:dyDescent="0.35">
      <c r="A30" s="211"/>
      <c r="B30" s="25" t="s">
        <v>35</v>
      </c>
      <c r="C30" s="26"/>
      <c r="D30" s="25" t="s">
        <v>33</v>
      </c>
      <c r="E30" s="27"/>
      <c r="F30" s="213"/>
      <c r="G30" s="28"/>
    </row>
    <row r="31" spans="1:20" ht="12.75" customHeight="1" x14ac:dyDescent="0.35">
      <c r="A31" s="211"/>
      <c r="B31" s="25" t="s">
        <v>36</v>
      </c>
      <c r="C31" s="26"/>
      <c r="D31" s="25" t="s">
        <v>33</v>
      </c>
      <c r="E31" s="27"/>
      <c r="F31" s="213"/>
      <c r="G31" s="28"/>
    </row>
    <row r="32" spans="1:20" ht="12.75" customHeight="1" x14ac:dyDescent="0.35">
      <c r="A32" s="212"/>
      <c r="B32" s="25" t="s">
        <v>37</v>
      </c>
      <c r="C32" s="26"/>
      <c r="D32" s="25" t="s">
        <v>33</v>
      </c>
      <c r="E32" s="27"/>
      <c r="F32" s="213"/>
      <c r="G32" s="28"/>
    </row>
    <row r="33" spans="1:7" ht="12.75" customHeight="1" x14ac:dyDescent="0.35">
      <c r="A33" s="210"/>
      <c r="B33" s="25" t="s">
        <v>32</v>
      </c>
      <c r="C33" s="26"/>
      <c r="D33" s="25" t="s">
        <v>33</v>
      </c>
      <c r="E33" s="27"/>
      <c r="F33" s="213"/>
      <c r="G33" s="28"/>
    </row>
    <row r="34" spans="1:7" ht="12.75" customHeight="1" x14ac:dyDescent="0.35">
      <c r="A34" s="211"/>
      <c r="B34" s="25" t="s">
        <v>34</v>
      </c>
      <c r="C34" s="26"/>
      <c r="D34" s="25" t="s">
        <v>33</v>
      </c>
      <c r="E34" s="27"/>
      <c r="F34" s="213"/>
      <c r="G34" s="28"/>
    </row>
    <row r="35" spans="1:7" ht="12.75" customHeight="1" x14ac:dyDescent="0.35">
      <c r="A35" s="211"/>
      <c r="B35" s="25" t="s">
        <v>35</v>
      </c>
      <c r="C35" s="26"/>
      <c r="D35" s="25" t="s">
        <v>33</v>
      </c>
      <c r="E35" s="27"/>
      <c r="F35" s="213"/>
      <c r="G35" s="28"/>
    </row>
    <row r="36" spans="1:7" ht="12.75" customHeight="1" x14ac:dyDescent="0.35">
      <c r="A36" s="211"/>
      <c r="B36" s="25" t="s">
        <v>36</v>
      </c>
      <c r="C36" s="26"/>
      <c r="D36" s="25" t="s">
        <v>33</v>
      </c>
      <c r="E36" s="27"/>
      <c r="F36" s="213"/>
      <c r="G36" s="28"/>
    </row>
    <row r="37" spans="1:7" ht="12.75" customHeight="1" x14ac:dyDescent="0.35">
      <c r="A37" s="212"/>
      <c r="B37" s="25" t="s">
        <v>37</v>
      </c>
      <c r="C37" s="26"/>
      <c r="D37" s="25" t="s">
        <v>33</v>
      </c>
      <c r="E37" s="27"/>
      <c r="F37" s="213"/>
      <c r="G37" s="28"/>
    </row>
    <row r="38" spans="1:7" ht="12.75" customHeight="1" x14ac:dyDescent="0.35">
      <c r="A38" s="210"/>
      <c r="B38" s="25" t="s">
        <v>32</v>
      </c>
      <c r="C38" s="26"/>
      <c r="D38" s="25" t="s">
        <v>33</v>
      </c>
      <c r="E38" s="27"/>
      <c r="F38" s="213"/>
      <c r="G38" s="28"/>
    </row>
    <row r="39" spans="1:7" ht="12.75" customHeight="1" x14ac:dyDescent="0.35">
      <c r="A39" s="211"/>
      <c r="B39" s="25" t="s">
        <v>34</v>
      </c>
      <c r="C39" s="26"/>
      <c r="D39" s="25" t="s">
        <v>33</v>
      </c>
      <c r="E39" s="27"/>
      <c r="F39" s="213"/>
      <c r="G39" s="28"/>
    </row>
    <row r="40" spans="1:7" ht="12.75" customHeight="1" x14ac:dyDescent="0.35">
      <c r="A40" s="211"/>
      <c r="B40" s="25" t="s">
        <v>35</v>
      </c>
      <c r="C40" s="26"/>
      <c r="D40" s="25" t="s">
        <v>33</v>
      </c>
      <c r="E40" s="27"/>
      <c r="F40" s="213"/>
      <c r="G40" s="28"/>
    </row>
    <row r="41" spans="1:7" ht="12.75" customHeight="1" x14ac:dyDescent="0.35">
      <c r="A41" s="211"/>
      <c r="B41" s="25" t="s">
        <v>36</v>
      </c>
      <c r="C41" s="26"/>
      <c r="D41" s="25" t="s">
        <v>33</v>
      </c>
      <c r="E41" s="27"/>
      <c r="F41" s="213"/>
      <c r="G41" s="28"/>
    </row>
    <row r="42" spans="1:7" ht="12.75" customHeight="1" x14ac:dyDescent="0.35">
      <c r="A42" s="212"/>
      <c r="B42" s="25" t="s">
        <v>37</v>
      </c>
      <c r="C42" s="26"/>
      <c r="D42" s="25" t="s">
        <v>33</v>
      </c>
      <c r="E42" s="27"/>
      <c r="F42" s="213"/>
      <c r="G42" s="28"/>
    </row>
    <row r="43" spans="1:7" ht="12.75" customHeight="1" x14ac:dyDescent="0.35">
      <c r="A43" s="210"/>
      <c r="B43" s="25" t="s">
        <v>32</v>
      </c>
      <c r="C43" s="26"/>
      <c r="D43" s="25" t="s">
        <v>33</v>
      </c>
      <c r="E43" s="27"/>
      <c r="F43" s="213"/>
      <c r="G43" s="28"/>
    </row>
    <row r="44" spans="1:7" ht="12.75" customHeight="1" x14ac:dyDescent="0.35">
      <c r="A44" s="211"/>
      <c r="B44" s="25" t="s">
        <v>34</v>
      </c>
      <c r="C44" s="26"/>
      <c r="D44" s="25" t="s">
        <v>33</v>
      </c>
      <c r="E44" s="27"/>
      <c r="F44" s="213"/>
      <c r="G44" s="28"/>
    </row>
    <row r="45" spans="1:7" ht="12.75" customHeight="1" x14ac:dyDescent="0.35">
      <c r="A45" s="211"/>
      <c r="B45" s="25" t="s">
        <v>35</v>
      </c>
      <c r="C45" s="26"/>
      <c r="D45" s="25" t="s">
        <v>33</v>
      </c>
      <c r="E45" s="27"/>
      <c r="F45" s="213"/>
      <c r="G45" s="28"/>
    </row>
    <row r="46" spans="1:7" ht="12.75" customHeight="1" x14ac:dyDescent="0.35">
      <c r="A46" s="211"/>
      <c r="B46" s="25" t="s">
        <v>36</v>
      </c>
      <c r="C46" s="26"/>
      <c r="D46" s="25" t="s">
        <v>33</v>
      </c>
      <c r="E46" s="27"/>
      <c r="F46" s="213"/>
      <c r="G46" s="28"/>
    </row>
    <row r="47" spans="1:7" ht="12.75" customHeight="1" x14ac:dyDescent="0.35">
      <c r="A47" s="212"/>
      <c r="B47" s="25" t="s">
        <v>37</v>
      </c>
      <c r="C47" s="26"/>
      <c r="D47" s="25" t="s">
        <v>33</v>
      </c>
      <c r="E47" s="27"/>
      <c r="F47" s="213"/>
      <c r="G47" s="28"/>
    </row>
    <row r="48" spans="1:7" ht="12.75" customHeight="1" x14ac:dyDescent="0.35">
      <c r="A48" s="210"/>
      <c r="B48" s="25" t="s">
        <v>32</v>
      </c>
      <c r="C48" s="26"/>
      <c r="D48" s="25" t="s">
        <v>33</v>
      </c>
      <c r="E48" s="27"/>
      <c r="F48" s="213"/>
      <c r="G48" s="28"/>
    </row>
    <row r="49" spans="1:7" ht="12.75" customHeight="1" x14ac:dyDescent="0.35">
      <c r="A49" s="211"/>
      <c r="B49" s="25" t="s">
        <v>34</v>
      </c>
      <c r="C49" s="26"/>
      <c r="D49" s="25" t="s">
        <v>33</v>
      </c>
      <c r="E49" s="27"/>
      <c r="F49" s="213"/>
      <c r="G49" s="28"/>
    </row>
    <row r="50" spans="1:7" ht="12.75" customHeight="1" x14ac:dyDescent="0.35">
      <c r="A50" s="211"/>
      <c r="B50" s="25" t="s">
        <v>35</v>
      </c>
      <c r="C50" s="26"/>
      <c r="D50" s="25" t="s">
        <v>33</v>
      </c>
      <c r="E50" s="27"/>
      <c r="F50" s="213"/>
      <c r="G50" s="28"/>
    </row>
    <row r="51" spans="1:7" ht="12.75" customHeight="1" x14ac:dyDescent="0.35">
      <c r="A51" s="211"/>
      <c r="B51" s="25" t="s">
        <v>36</v>
      </c>
      <c r="C51" s="26"/>
      <c r="D51" s="25" t="s">
        <v>33</v>
      </c>
      <c r="E51" s="27"/>
      <c r="F51" s="213"/>
      <c r="G51" s="28"/>
    </row>
    <row r="52" spans="1:7" ht="12.75" customHeight="1" x14ac:dyDescent="0.35">
      <c r="A52" s="212"/>
      <c r="B52" s="25" t="s">
        <v>37</v>
      </c>
      <c r="C52" s="26"/>
      <c r="D52" s="25" t="s">
        <v>33</v>
      </c>
      <c r="E52" s="27"/>
      <c r="F52" s="213"/>
      <c r="G52" s="28"/>
    </row>
  </sheetData>
  <mergeCells count="18">
    <mergeCell ref="A18:A22"/>
    <mergeCell ref="F18:F23"/>
    <mergeCell ref="A23:A27"/>
    <mergeCell ref="F24:F29"/>
    <mergeCell ref="A28:A32"/>
    <mergeCell ref="A1:G1"/>
    <mergeCell ref="F3:G3"/>
    <mergeCell ref="D4:G4"/>
    <mergeCell ref="A13:A17"/>
    <mergeCell ref="F13:F17"/>
    <mergeCell ref="A48:A52"/>
    <mergeCell ref="F48:F52"/>
    <mergeCell ref="F30:F35"/>
    <mergeCell ref="A33:A37"/>
    <mergeCell ref="F36:F41"/>
    <mergeCell ref="A38:A42"/>
    <mergeCell ref="F42:F47"/>
    <mergeCell ref="A43:A47"/>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A6ECA-74E4-4C96-88A5-E7B6FFDE146E}">
  <sheetPr codeName="Sheet4"/>
  <dimension ref="A1:IV430"/>
  <sheetViews>
    <sheetView workbookViewId="0">
      <pane ySplit="9" topLeftCell="A10" activePane="bottomLeft" state="frozen"/>
      <selection pane="bottomLeft" activeCell="H15" sqref="H15"/>
    </sheetView>
  </sheetViews>
  <sheetFormatPr defaultRowHeight="13.3" x14ac:dyDescent="0.3"/>
  <cols>
    <col min="1" max="1" width="11.81640625" style="65" customWidth="1"/>
    <col min="2" max="2" width="8.453125" style="56" customWidth="1"/>
    <col min="3" max="3" width="7.1796875" style="62" customWidth="1"/>
    <col min="4" max="4" width="7.36328125" style="62" customWidth="1"/>
    <col min="5" max="5" width="6.36328125" style="62" bestFit="1" customWidth="1"/>
    <col min="6" max="6" width="9.7265625" style="56" customWidth="1"/>
    <col min="7" max="7" width="12.1796875" style="62" bestFit="1" customWidth="1"/>
    <col min="8" max="8" width="30.08984375" style="56" customWidth="1"/>
    <col min="9" max="9" width="8.26953125" style="55" customWidth="1"/>
    <col min="10" max="10" width="32.08984375" style="91" customWidth="1"/>
    <col min="11" max="256" width="8.7265625" style="56"/>
    <col min="257" max="257" width="9.90625" style="56" customWidth="1"/>
    <col min="258" max="258" width="8.453125" style="56" customWidth="1"/>
    <col min="259" max="259" width="7.1796875" style="56" customWidth="1"/>
    <col min="260" max="260" width="7.36328125" style="56" customWidth="1"/>
    <col min="261" max="261" width="5.54296875" style="56" customWidth="1"/>
    <col min="262" max="262" width="9.7265625" style="56" customWidth="1"/>
    <col min="263" max="263" width="12.1796875" style="56" bestFit="1" customWidth="1"/>
    <col min="264" max="264" width="26.6328125" style="56" customWidth="1"/>
    <col min="265" max="265" width="8.26953125" style="56" customWidth="1"/>
    <col min="266" max="266" width="32.08984375" style="56" customWidth="1"/>
    <col min="267" max="512" width="8.7265625" style="56"/>
    <col min="513" max="513" width="9.90625" style="56" customWidth="1"/>
    <col min="514" max="514" width="8.453125" style="56" customWidth="1"/>
    <col min="515" max="515" width="7.1796875" style="56" customWidth="1"/>
    <col min="516" max="516" width="7.36328125" style="56" customWidth="1"/>
    <col min="517" max="517" width="5.54296875" style="56" customWidth="1"/>
    <col min="518" max="518" width="9.7265625" style="56" customWidth="1"/>
    <col min="519" max="519" width="12.1796875" style="56" bestFit="1" customWidth="1"/>
    <col min="520" max="520" width="26.6328125" style="56" customWidth="1"/>
    <col min="521" max="521" width="8.26953125" style="56" customWidth="1"/>
    <col min="522" max="522" width="32.08984375" style="56" customWidth="1"/>
    <col min="523" max="768" width="8.7265625" style="56"/>
    <col min="769" max="769" width="9.90625" style="56" customWidth="1"/>
    <col min="770" max="770" width="8.453125" style="56" customWidth="1"/>
    <col min="771" max="771" width="7.1796875" style="56" customWidth="1"/>
    <col min="772" max="772" width="7.36328125" style="56" customWidth="1"/>
    <col min="773" max="773" width="5.54296875" style="56" customWidth="1"/>
    <col min="774" max="774" width="9.7265625" style="56" customWidth="1"/>
    <col min="775" max="775" width="12.1796875" style="56" bestFit="1" customWidth="1"/>
    <col min="776" max="776" width="26.6328125" style="56" customWidth="1"/>
    <col min="777" max="777" width="8.26953125" style="56" customWidth="1"/>
    <col min="778" max="778" width="32.08984375" style="56" customWidth="1"/>
    <col min="779" max="1024" width="8.7265625" style="56"/>
    <col min="1025" max="1025" width="9.90625" style="56" customWidth="1"/>
    <col min="1026" max="1026" width="8.453125" style="56" customWidth="1"/>
    <col min="1027" max="1027" width="7.1796875" style="56" customWidth="1"/>
    <col min="1028" max="1028" width="7.36328125" style="56" customWidth="1"/>
    <col min="1029" max="1029" width="5.54296875" style="56" customWidth="1"/>
    <col min="1030" max="1030" width="9.7265625" style="56" customWidth="1"/>
    <col min="1031" max="1031" width="12.1796875" style="56" bestFit="1" customWidth="1"/>
    <col min="1032" max="1032" width="26.6328125" style="56" customWidth="1"/>
    <col min="1033" max="1033" width="8.26953125" style="56" customWidth="1"/>
    <col min="1034" max="1034" width="32.08984375" style="56" customWidth="1"/>
    <col min="1035" max="1280" width="8.7265625" style="56"/>
    <col min="1281" max="1281" width="9.90625" style="56" customWidth="1"/>
    <col min="1282" max="1282" width="8.453125" style="56" customWidth="1"/>
    <col min="1283" max="1283" width="7.1796875" style="56" customWidth="1"/>
    <col min="1284" max="1284" width="7.36328125" style="56" customWidth="1"/>
    <col min="1285" max="1285" width="5.54296875" style="56" customWidth="1"/>
    <col min="1286" max="1286" width="9.7265625" style="56" customWidth="1"/>
    <col min="1287" max="1287" width="12.1796875" style="56" bestFit="1" customWidth="1"/>
    <col min="1288" max="1288" width="26.6328125" style="56" customWidth="1"/>
    <col min="1289" max="1289" width="8.26953125" style="56" customWidth="1"/>
    <col min="1290" max="1290" width="32.08984375" style="56" customWidth="1"/>
    <col min="1291" max="1536" width="8.7265625" style="56"/>
    <col min="1537" max="1537" width="9.90625" style="56" customWidth="1"/>
    <col min="1538" max="1538" width="8.453125" style="56" customWidth="1"/>
    <col min="1539" max="1539" width="7.1796875" style="56" customWidth="1"/>
    <col min="1540" max="1540" width="7.36328125" style="56" customWidth="1"/>
    <col min="1541" max="1541" width="5.54296875" style="56" customWidth="1"/>
    <col min="1542" max="1542" width="9.7265625" style="56" customWidth="1"/>
    <col min="1543" max="1543" width="12.1796875" style="56" bestFit="1" customWidth="1"/>
    <col min="1544" max="1544" width="26.6328125" style="56" customWidth="1"/>
    <col min="1545" max="1545" width="8.26953125" style="56" customWidth="1"/>
    <col min="1546" max="1546" width="32.08984375" style="56" customWidth="1"/>
    <col min="1547" max="1792" width="8.7265625" style="56"/>
    <col min="1793" max="1793" width="9.90625" style="56" customWidth="1"/>
    <col min="1794" max="1794" width="8.453125" style="56" customWidth="1"/>
    <col min="1795" max="1795" width="7.1796875" style="56" customWidth="1"/>
    <col min="1796" max="1796" width="7.36328125" style="56" customWidth="1"/>
    <col min="1797" max="1797" width="5.54296875" style="56" customWidth="1"/>
    <col min="1798" max="1798" width="9.7265625" style="56" customWidth="1"/>
    <col min="1799" max="1799" width="12.1796875" style="56" bestFit="1" customWidth="1"/>
    <col min="1800" max="1800" width="26.6328125" style="56" customWidth="1"/>
    <col min="1801" max="1801" width="8.26953125" style="56" customWidth="1"/>
    <col min="1802" max="1802" width="32.08984375" style="56" customWidth="1"/>
    <col min="1803" max="2048" width="8.7265625" style="56"/>
    <col min="2049" max="2049" width="9.90625" style="56" customWidth="1"/>
    <col min="2050" max="2050" width="8.453125" style="56" customWidth="1"/>
    <col min="2051" max="2051" width="7.1796875" style="56" customWidth="1"/>
    <col min="2052" max="2052" width="7.36328125" style="56" customWidth="1"/>
    <col min="2053" max="2053" width="5.54296875" style="56" customWidth="1"/>
    <col min="2054" max="2054" width="9.7265625" style="56" customWidth="1"/>
    <col min="2055" max="2055" width="12.1796875" style="56" bestFit="1" customWidth="1"/>
    <col min="2056" max="2056" width="26.6328125" style="56" customWidth="1"/>
    <col min="2057" max="2057" width="8.26953125" style="56" customWidth="1"/>
    <col min="2058" max="2058" width="32.08984375" style="56" customWidth="1"/>
    <col min="2059" max="2304" width="8.7265625" style="56"/>
    <col min="2305" max="2305" width="9.90625" style="56" customWidth="1"/>
    <col min="2306" max="2306" width="8.453125" style="56" customWidth="1"/>
    <col min="2307" max="2307" width="7.1796875" style="56" customWidth="1"/>
    <col min="2308" max="2308" width="7.36328125" style="56" customWidth="1"/>
    <col min="2309" max="2309" width="5.54296875" style="56" customWidth="1"/>
    <col min="2310" max="2310" width="9.7265625" style="56" customWidth="1"/>
    <col min="2311" max="2311" width="12.1796875" style="56" bestFit="1" customWidth="1"/>
    <col min="2312" max="2312" width="26.6328125" style="56" customWidth="1"/>
    <col min="2313" max="2313" width="8.26953125" style="56" customWidth="1"/>
    <col min="2314" max="2314" width="32.08984375" style="56" customWidth="1"/>
    <col min="2315" max="2560" width="8.7265625" style="56"/>
    <col min="2561" max="2561" width="9.90625" style="56" customWidth="1"/>
    <col min="2562" max="2562" width="8.453125" style="56" customWidth="1"/>
    <col min="2563" max="2563" width="7.1796875" style="56" customWidth="1"/>
    <col min="2564" max="2564" width="7.36328125" style="56" customWidth="1"/>
    <col min="2565" max="2565" width="5.54296875" style="56" customWidth="1"/>
    <col min="2566" max="2566" width="9.7265625" style="56" customWidth="1"/>
    <col min="2567" max="2567" width="12.1796875" style="56" bestFit="1" customWidth="1"/>
    <col min="2568" max="2568" width="26.6328125" style="56" customWidth="1"/>
    <col min="2569" max="2569" width="8.26953125" style="56" customWidth="1"/>
    <col min="2570" max="2570" width="32.08984375" style="56" customWidth="1"/>
    <col min="2571" max="2816" width="8.7265625" style="56"/>
    <col min="2817" max="2817" width="9.90625" style="56" customWidth="1"/>
    <col min="2818" max="2818" width="8.453125" style="56" customWidth="1"/>
    <col min="2819" max="2819" width="7.1796875" style="56" customWidth="1"/>
    <col min="2820" max="2820" width="7.36328125" style="56" customWidth="1"/>
    <col min="2821" max="2821" width="5.54296875" style="56" customWidth="1"/>
    <col min="2822" max="2822" width="9.7265625" style="56" customWidth="1"/>
    <col min="2823" max="2823" width="12.1796875" style="56" bestFit="1" customWidth="1"/>
    <col min="2824" max="2824" width="26.6328125" style="56" customWidth="1"/>
    <col min="2825" max="2825" width="8.26953125" style="56" customWidth="1"/>
    <col min="2826" max="2826" width="32.08984375" style="56" customWidth="1"/>
    <col min="2827" max="3072" width="8.7265625" style="56"/>
    <col min="3073" max="3073" width="9.90625" style="56" customWidth="1"/>
    <col min="3074" max="3074" width="8.453125" style="56" customWidth="1"/>
    <col min="3075" max="3075" width="7.1796875" style="56" customWidth="1"/>
    <col min="3076" max="3076" width="7.36328125" style="56" customWidth="1"/>
    <col min="3077" max="3077" width="5.54296875" style="56" customWidth="1"/>
    <col min="3078" max="3078" width="9.7265625" style="56" customWidth="1"/>
    <col min="3079" max="3079" width="12.1796875" style="56" bestFit="1" customWidth="1"/>
    <col min="3080" max="3080" width="26.6328125" style="56" customWidth="1"/>
    <col min="3081" max="3081" width="8.26953125" style="56" customWidth="1"/>
    <col min="3082" max="3082" width="32.08984375" style="56" customWidth="1"/>
    <col min="3083" max="3328" width="8.7265625" style="56"/>
    <col min="3329" max="3329" width="9.90625" style="56" customWidth="1"/>
    <col min="3330" max="3330" width="8.453125" style="56" customWidth="1"/>
    <col min="3331" max="3331" width="7.1796875" style="56" customWidth="1"/>
    <col min="3332" max="3332" width="7.36328125" style="56" customWidth="1"/>
    <col min="3333" max="3333" width="5.54296875" style="56" customWidth="1"/>
    <col min="3334" max="3334" width="9.7265625" style="56" customWidth="1"/>
    <col min="3335" max="3335" width="12.1796875" style="56" bestFit="1" customWidth="1"/>
    <col min="3336" max="3336" width="26.6328125" style="56" customWidth="1"/>
    <col min="3337" max="3337" width="8.26953125" style="56" customWidth="1"/>
    <col min="3338" max="3338" width="32.08984375" style="56" customWidth="1"/>
    <col min="3339" max="3584" width="8.7265625" style="56"/>
    <col min="3585" max="3585" width="9.90625" style="56" customWidth="1"/>
    <col min="3586" max="3586" width="8.453125" style="56" customWidth="1"/>
    <col min="3587" max="3587" width="7.1796875" style="56" customWidth="1"/>
    <col min="3588" max="3588" width="7.36328125" style="56" customWidth="1"/>
    <col min="3589" max="3589" width="5.54296875" style="56" customWidth="1"/>
    <col min="3590" max="3590" width="9.7265625" style="56" customWidth="1"/>
    <col min="3591" max="3591" width="12.1796875" style="56" bestFit="1" customWidth="1"/>
    <col min="3592" max="3592" width="26.6328125" style="56" customWidth="1"/>
    <col min="3593" max="3593" width="8.26953125" style="56" customWidth="1"/>
    <col min="3594" max="3594" width="32.08984375" style="56" customWidth="1"/>
    <col min="3595" max="3840" width="8.7265625" style="56"/>
    <col min="3841" max="3841" width="9.90625" style="56" customWidth="1"/>
    <col min="3842" max="3842" width="8.453125" style="56" customWidth="1"/>
    <col min="3843" max="3843" width="7.1796875" style="56" customWidth="1"/>
    <col min="3844" max="3844" width="7.36328125" style="56" customWidth="1"/>
    <col min="3845" max="3845" width="5.54296875" style="56" customWidth="1"/>
    <col min="3846" max="3846" width="9.7265625" style="56" customWidth="1"/>
    <col min="3847" max="3847" width="12.1796875" style="56" bestFit="1" customWidth="1"/>
    <col min="3848" max="3848" width="26.6328125" style="56" customWidth="1"/>
    <col min="3849" max="3849" width="8.26953125" style="56" customWidth="1"/>
    <col min="3850" max="3850" width="32.08984375" style="56" customWidth="1"/>
    <col min="3851" max="4096" width="8.7265625" style="56"/>
    <col min="4097" max="4097" width="9.90625" style="56" customWidth="1"/>
    <col min="4098" max="4098" width="8.453125" style="56" customWidth="1"/>
    <col min="4099" max="4099" width="7.1796875" style="56" customWidth="1"/>
    <col min="4100" max="4100" width="7.36328125" style="56" customWidth="1"/>
    <col min="4101" max="4101" width="5.54296875" style="56" customWidth="1"/>
    <col min="4102" max="4102" width="9.7265625" style="56" customWidth="1"/>
    <col min="4103" max="4103" width="12.1796875" style="56" bestFit="1" customWidth="1"/>
    <col min="4104" max="4104" width="26.6328125" style="56" customWidth="1"/>
    <col min="4105" max="4105" width="8.26953125" style="56" customWidth="1"/>
    <col min="4106" max="4106" width="32.08984375" style="56" customWidth="1"/>
    <col min="4107" max="4352" width="8.7265625" style="56"/>
    <col min="4353" max="4353" width="9.90625" style="56" customWidth="1"/>
    <col min="4354" max="4354" width="8.453125" style="56" customWidth="1"/>
    <col min="4355" max="4355" width="7.1796875" style="56" customWidth="1"/>
    <col min="4356" max="4356" width="7.36328125" style="56" customWidth="1"/>
    <col min="4357" max="4357" width="5.54296875" style="56" customWidth="1"/>
    <col min="4358" max="4358" width="9.7265625" style="56" customWidth="1"/>
    <col min="4359" max="4359" width="12.1796875" style="56" bestFit="1" customWidth="1"/>
    <col min="4360" max="4360" width="26.6328125" style="56" customWidth="1"/>
    <col min="4361" max="4361" width="8.26953125" style="56" customWidth="1"/>
    <col min="4362" max="4362" width="32.08984375" style="56" customWidth="1"/>
    <col min="4363" max="4608" width="8.7265625" style="56"/>
    <col min="4609" max="4609" width="9.90625" style="56" customWidth="1"/>
    <col min="4610" max="4610" width="8.453125" style="56" customWidth="1"/>
    <col min="4611" max="4611" width="7.1796875" style="56" customWidth="1"/>
    <col min="4612" max="4612" width="7.36328125" style="56" customWidth="1"/>
    <col min="4613" max="4613" width="5.54296875" style="56" customWidth="1"/>
    <col min="4614" max="4614" width="9.7265625" style="56" customWidth="1"/>
    <col min="4615" max="4615" width="12.1796875" style="56" bestFit="1" customWidth="1"/>
    <col min="4616" max="4616" width="26.6328125" style="56" customWidth="1"/>
    <col min="4617" max="4617" width="8.26953125" style="56" customWidth="1"/>
    <col min="4618" max="4618" width="32.08984375" style="56" customWidth="1"/>
    <col min="4619" max="4864" width="8.7265625" style="56"/>
    <col min="4865" max="4865" width="9.90625" style="56" customWidth="1"/>
    <col min="4866" max="4866" width="8.453125" style="56" customWidth="1"/>
    <col min="4867" max="4867" width="7.1796875" style="56" customWidth="1"/>
    <col min="4868" max="4868" width="7.36328125" style="56" customWidth="1"/>
    <col min="4869" max="4869" width="5.54296875" style="56" customWidth="1"/>
    <col min="4870" max="4870" width="9.7265625" style="56" customWidth="1"/>
    <col min="4871" max="4871" width="12.1796875" style="56" bestFit="1" customWidth="1"/>
    <col min="4872" max="4872" width="26.6328125" style="56" customWidth="1"/>
    <col min="4873" max="4873" width="8.26953125" style="56" customWidth="1"/>
    <col min="4874" max="4874" width="32.08984375" style="56" customWidth="1"/>
    <col min="4875" max="5120" width="8.7265625" style="56"/>
    <col min="5121" max="5121" width="9.90625" style="56" customWidth="1"/>
    <col min="5122" max="5122" width="8.453125" style="56" customWidth="1"/>
    <col min="5123" max="5123" width="7.1796875" style="56" customWidth="1"/>
    <col min="5124" max="5124" width="7.36328125" style="56" customWidth="1"/>
    <col min="5125" max="5125" width="5.54296875" style="56" customWidth="1"/>
    <col min="5126" max="5126" width="9.7265625" style="56" customWidth="1"/>
    <col min="5127" max="5127" width="12.1796875" style="56" bestFit="1" customWidth="1"/>
    <col min="5128" max="5128" width="26.6328125" style="56" customWidth="1"/>
    <col min="5129" max="5129" width="8.26953125" style="56" customWidth="1"/>
    <col min="5130" max="5130" width="32.08984375" style="56" customWidth="1"/>
    <col min="5131" max="5376" width="8.7265625" style="56"/>
    <col min="5377" max="5377" width="9.90625" style="56" customWidth="1"/>
    <col min="5378" max="5378" width="8.453125" style="56" customWidth="1"/>
    <col min="5379" max="5379" width="7.1796875" style="56" customWidth="1"/>
    <col min="5380" max="5380" width="7.36328125" style="56" customWidth="1"/>
    <col min="5381" max="5381" width="5.54296875" style="56" customWidth="1"/>
    <col min="5382" max="5382" width="9.7265625" style="56" customWidth="1"/>
    <col min="5383" max="5383" width="12.1796875" style="56" bestFit="1" customWidth="1"/>
    <col min="5384" max="5384" width="26.6328125" style="56" customWidth="1"/>
    <col min="5385" max="5385" width="8.26953125" style="56" customWidth="1"/>
    <col min="5386" max="5386" width="32.08984375" style="56" customWidth="1"/>
    <col min="5387" max="5632" width="8.7265625" style="56"/>
    <col min="5633" max="5633" width="9.90625" style="56" customWidth="1"/>
    <col min="5634" max="5634" width="8.453125" style="56" customWidth="1"/>
    <col min="5635" max="5635" width="7.1796875" style="56" customWidth="1"/>
    <col min="5636" max="5636" width="7.36328125" style="56" customWidth="1"/>
    <col min="5637" max="5637" width="5.54296875" style="56" customWidth="1"/>
    <col min="5638" max="5638" width="9.7265625" style="56" customWidth="1"/>
    <col min="5639" max="5639" width="12.1796875" style="56" bestFit="1" customWidth="1"/>
    <col min="5640" max="5640" width="26.6328125" style="56" customWidth="1"/>
    <col min="5641" max="5641" width="8.26953125" style="56" customWidth="1"/>
    <col min="5642" max="5642" width="32.08984375" style="56" customWidth="1"/>
    <col min="5643" max="5888" width="8.7265625" style="56"/>
    <col min="5889" max="5889" width="9.90625" style="56" customWidth="1"/>
    <col min="5890" max="5890" width="8.453125" style="56" customWidth="1"/>
    <col min="5891" max="5891" width="7.1796875" style="56" customWidth="1"/>
    <col min="5892" max="5892" width="7.36328125" style="56" customWidth="1"/>
    <col min="5893" max="5893" width="5.54296875" style="56" customWidth="1"/>
    <col min="5894" max="5894" width="9.7265625" style="56" customWidth="1"/>
    <col min="5895" max="5895" width="12.1796875" style="56" bestFit="1" customWidth="1"/>
    <col min="5896" max="5896" width="26.6328125" style="56" customWidth="1"/>
    <col min="5897" max="5897" width="8.26953125" style="56" customWidth="1"/>
    <col min="5898" max="5898" width="32.08984375" style="56" customWidth="1"/>
    <col min="5899" max="6144" width="8.7265625" style="56"/>
    <col min="6145" max="6145" width="9.90625" style="56" customWidth="1"/>
    <col min="6146" max="6146" width="8.453125" style="56" customWidth="1"/>
    <col min="6147" max="6147" width="7.1796875" style="56" customWidth="1"/>
    <col min="6148" max="6148" width="7.36328125" style="56" customWidth="1"/>
    <col min="6149" max="6149" width="5.54296875" style="56" customWidth="1"/>
    <col min="6150" max="6150" width="9.7265625" style="56" customWidth="1"/>
    <col min="6151" max="6151" width="12.1796875" style="56" bestFit="1" customWidth="1"/>
    <col min="6152" max="6152" width="26.6328125" style="56" customWidth="1"/>
    <col min="6153" max="6153" width="8.26953125" style="56" customWidth="1"/>
    <col min="6154" max="6154" width="32.08984375" style="56" customWidth="1"/>
    <col min="6155" max="6400" width="8.7265625" style="56"/>
    <col min="6401" max="6401" width="9.90625" style="56" customWidth="1"/>
    <col min="6402" max="6402" width="8.453125" style="56" customWidth="1"/>
    <col min="6403" max="6403" width="7.1796875" style="56" customWidth="1"/>
    <col min="6404" max="6404" width="7.36328125" style="56" customWidth="1"/>
    <col min="6405" max="6405" width="5.54296875" style="56" customWidth="1"/>
    <col min="6406" max="6406" width="9.7265625" style="56" customWidth="1"/>
    <col min="6407" max="6407" width="12.1796875" style="56" bestFit="1" customWidth="1"/>
    <col min="6408" max="6408" width="26.6328125" style="56" customWidth="1"/>
    <col min="6409" max="6409" width="8.26953125" style="56" customWidth="1"/>
    <col min="6410" max="6410" width="32.08984375" style="56" customWidth="1"/>
    <col min="6411" max="6656" width="8.7265625" style="56"/>
    <col min="6657" max="6657" width="9.90625" style="56" customWidth="1"/>
    <col min="6658" max="6658" width="8.453125" style="56" customWidth="1"/>
    <col min="6659" max="6659" width="7.1796875" style="56" customWidth="1"/>
    <col min="6660" max="6660" width="7.36328125" style="56" customWidth="1"/>
    <col min="6661" max="6661" width="5.54296875" style="56" customWidth="1"/>
    <col min="6662" max="6662" width="9.7265625" style="56" customWidth="1"/>
    <col min="6663" max="6663" width="12.1796875" style="56" bestFit="1" customWidth="1"/>
    <col min="6664" max="6664" width="26.6328125" style="56" customWidth="1"/>
    <col min="6665" max="6665" width="8.26953125" style="56" customWidth="1"/>
    <col min="6666" max="6666" width="32.08984375" style="56" customWidth="1"/>
    <col min="6667" max="6912" width="8.7265625" style="56"/>
    <col min="6913" max="6913" width="9.90625" style="56" customWidth="1"/>
    <col min="6914" max="6914" width="8.453125" style="56" customWidth="1"/>
    <col min="6915" max="6915" width="7.1796875" style="56" customWidth="1"/>
    <col min="6916" max="6916" width="7.36328125" style="56" customWidth="1"/>
    <col min="6917" max="6917" width="5.54296875" style="56" customWidth="1"/>
    <col min="6918" max="6918" width="9.7265625" style="56" customWidth="1"/>
    <col min="6919" max="6919" width="12.1796875" style="56" bestFit="1" customWidth="1"/>
    <col min="6920" max="6920" width="26.6328125" style="56" customWidth="1"/>
    <col min="6921" max="6921" width="8.26953125" style="56" customWidth="1"/>
    <col min="6922" max="6922" width="32.08984375" style="56" customWidth="1"/>
    <col min="6923" max="7168" width="8.7265625" style="56"/>
    <col min="7169" max="7169" width="9.90625" style="56" customWidth="1"/>
    <col min="7170" max="7170" width="8.453125" style="56" customWidth="1"/>
    <col min="7171" max="7171" width="7.1796875" style="56" customWidth="1"/>
    <col min="7172" max="7172" width="7.36328125" style="56" customWidth="1"/>
    <col min="7173" max="7173" width="5.54296875" style="56" customWidth="1"/>
    <col min="7174" max="7174" width="9.7265625" style="56" customWidth="1"/>
    <col min="7175" max="7175" width="12.1796875" style="56" bestFit="1" customWidth="1"/>
    <col min="7176" max="7176" width="26.6328125" style="56" customWidth="1"/>
    <col min="7177" max="7177" width="8.26953125" style="56" customWidth="1"/>
    <col min="7178" max="7178" width="32.08984375" style="56" customWidth="1"/>
    <col min="7179" max="7424" width="8.7265625" style="56"/>
    <col min="7425" max="7425" width="9.90625" style="56" customWidth="1"/>
    <col min="7426" max="7426" width="8.453125" style="56" customWidth="1"/>
    <col min="7427" max="7427" width="7.1796875" style="56" customWidth="1"/>
    <col min="7428" max="7428" width="7.36328125" style="56" customWidth="1"/>
    <col min="7429" max="7429" width="5.54296875" style="56" customWidth="1"/>
    <col min="7430" max="7430" width="9.7265625" style="56" customWidth="1"/>
    <col min="7431" max="7431" width="12.1796875" style="56" bestFit="1" customWidth="1"/>
    <col min="7432" max="7432" width="26.6328125" style="56" customWidth="1"/>
    <col min="7433" max="7433" width="8.26953125" style="56" customWidth="1"/>
    <col min="7434" max="7434" width="32.08984375" style="56" customWidth="1"/>
    <col min="7435" max="7680" width="8.7265625" style="56"/>
    <col min="7681" max="7681" width="9.90625" style="56" customWidth="1"/>
    <col min="7682" max="7682" width="8.453125" style="56" customWidth="1"/>
    <col min="7683" max="7683" width="7.1796875" style="56" customWidth="1"/>
    <col min="7684" max="7684" width="7.36328125" style="56" customWidth="1"/>
    <col min="7685" max="7685" width="5.54296875" style="56" customWidth="1"/>
    <col min="7686" max="7686" width="9.7265625" style="56" customWidth="1"/>
    <col min="7687" max="7687" width="12.1796875" style="56" bestFit="1" customWidth="1"/>
    <col min="7688" max="7688" width="26.6328125" style="56" customWidth="1"/>
    <col min="7689" max="7689" width="8.26953125" style="56" customWidth="1"/>
    <col min="7690" max="7690" width="32.08984375" style="56" customWidth="1"/>
    <col min="7691" max="7936" width="8.7265625" style="56"/>
    <col min="7937" max="7937" width="9.90625" style="56" customWidth="1"/>
    <col min="7938" max="7938" width="8.453125" style="56" customWidth="1"/>
    <col min="7939" max="7939" width="7.1796875" style="56" customWidth="1"/>
    <col min="7940" max="7940" width="7.36328125" style="56" customWidth="1"/>
    <col min="7941" max="7941" width="5.54296875" style="56" customWidth="1"/>
    <col min="7942" max="7942" width="9.7265625" style="56" customWidth="1"/>
    <col min="7943" max="7943" width="12.1796875" style="56" bestFit="1" customWidth="1"/>
    <col min="7944" max="7944" width="26.6328125" style="56" customWidth="1"/>
    <col min="7945" max="7945" width="8.26953125" style="56" customWidth="1"/>
    <col min="7946" max="7946" width="32.08984375" style="56" customWidth="1"/>
    <col min="7947" max="8192" width="8.7265625" style="56"/>
    <col min="8193" max="8193" width="9.90625" style="56" customWidth="1"/>
    <col min="8194" max="8194" width="8.453125" style="56" customWidth="1"/>
    <col min="8195" max="8195" width="7.1796875" style="56" customWidth="1"/>
    <col min="8196" max="8196" width="7.36328125" style="56" customWidth="1"/>
    <col min="8197" max="8197" width="5.54296875" style="56" customWidth="1"/>
    <col min="8198" max="8198" width="9.7265625" style="56" customWidth="1"/>
    <col min="8199" max="8199" width="12.1796875" style="56" bestFit="1" customWidth="1"/>
    <col min="8200" max="8200" width="26.6328125" style="56" customWidth="1"/>
    <col min="8201" max="8201" width="8.26953125" style="56" customWidth="1"/>
    <col min="8202" max="8202" width="32.08984375" style="56" customWidth="1"/>
    <col min="8203" max="8448" width="8.7265625" style="56"/>
    <col min="8449" max="8449" width="9.90625" style="56" customWidth="1"/>
    <col min="8450" max="8450" width="8.453125" style="56" customWidth="1"/>
    <col min="8451" max="8451" width="7.1796875" style="56" customWidth="1"/>
    <col min="8452" max="8452" width="7.36328125" style="56" customWidth="1"/>
    <col min="8453" max="8453" width="5.54296875" style="56" customWidth="1"/>
    <col min="8454" max="8454" width="9.7265625" style="56" customWidth="1"/>
    <col min="8455" max="8455" width="12.1796875" style="56" bestFit="1" customWidth="1"/>
    <col min="8456" max="8456" width="26.6328125" style="56" customWidth="1"/>
    <col min="8457" max="8457" width="8.26953125" style="56" customWidth="1"/>
    <col min="8458" max="8458" width="32.08984375" style="56" customWidth="1"/>
    <col min="8459" max="8704" width="8.7265625" style="56"/>
    <col min="8705" max="8705" width="9.90625" style="56" customWidth="1"/>
    <col min="8706" max="8706" width="8.453125" style="56" customWidth="1"/>
    <col min="8707" max="8707" width="7.1796875" style="56" customWidth="1"/>
    <col min="8708" max="8708" width="7.36328125" style="56" customWidth="1"/>
    <col min="8709" max="8709" width="5.54296875" style="56" customWidth="1"/>
    <col min="8710" max="8710" width="9.7265625" style="56" customWidth="1"/>
    <col min="8711" max="8711" width="12.1796875" style="56" bestFit="1" customWidth="1"/>
    <col min="8712" max="8712" width="26.6328125" style="56" customWidth="1"/>
    <col min="8713" max="8713" width="8.26953125" style="56" customWidth="1"/>
    <col min="8714" max="8714" width="32.08984375" style="56" customWidth="1"/>
    <col min="8715" max="8960" width="8.7265625" style="56"/>
    <col min="8961" max="8961" width="9.90625" style="56" customWidth="1"/>
    <col min="8962" max="8962" width="8.453125" style="56" customWidth="1"/>
    <col min="8963" max="8963" width="7.1796875" style="56" customWidth="1"/>
    <col min="8964" max="8964" width="7.36328125" style="56" customWidth="1"/>
    <col min="8965" max="8965" width="5.54296875" style="56" customWidth="1"/>
    <col min="8966" max="8966" width="9.7265625" style="56" customWidth="1"/>
    <col min="8967" max="8967" width="12.1796875" style="56" bestFit="1" customWidth="1"/>
    <col min="8968" max="8968" width="26.6328125" style="56" customWidth="1"/>
    <col min="8969" max="8969" width="8.26953125" style="56" customWidth="1"/>
    <col min="8970" max="8970" width="32.08984375" style="56" customWidth="1"/>
    <col min="8971" max="9216" width="8.7265625" style="56"/>
    <col min="9217" max="9217" width="9.90625" style="56" customWidth="1"/>
    <col min="9218" max="9218" width="8.453125" style="56" customWidth="1"/>
    <col min="9219" max="9219" width="7.1796875" style="56" customWidth="1"/>
    <col min="9220" max="9220" width="7.36328125" style="56" customWidth="1"/>
    <col min="9221" max="9221" width="5.54296875" style="56" customWidth="1"/>
    <col min="9222" max="9222" width="9.7265625" style="56" customWidth="1"/>
    <col min="9223" max="9223" width="12.1796875" style="56" bestFit="1" customWidth="1"/>
    <col min="9224" max="9224" width="26.6328125" style="56" customWidth="1"/>
    <col min="9225" max="9225" width="8.26953125" style="56" customWidth="1"/>
    <col min="9226" max="9226" width="32.08984375" style="56" customWidth="1"/>
    <col min="9227" max="9472" width="8.7265625" style="56"/>
    <col min="9473" max="9473" width="9.90625" style="56" customWidth="1"/>
    <col min="9474" max="9474" width="8.453125" style="56" customWidth="1"/>
    <col min="9475" max="9475" width="7.1796875" style="56" customWidth="1"/>
    <col min="9476" max="9476" width="7.36328125" style="56" customWidth="1"/>
    <col min="9477" max="9477" width="5.54296875" style="56" customWidth="1"/>
    <col min="9478" max="9478" width="9.7265625" style="56" customWidth="1"/>
    <col min="9479" max="9479" width="12.1796875" style="56" bestFit="1" customWidth="1"/>
    <col min="9480" max="9480" width="26.6328125" style="56" customWidth="1"/>
    <col min="9481" max="9481" width="8.26953125" style="56" customWidth="1"/>
    <col min="9482" max="9482" width="32.08984375" style="56" customWidth="1"/>
    <col min="9483" max="9728" width="8.7265625" style="56"/>
    <col min="9729" max="9729" width="9.90625" style="56" customWidth="1"/>
    <col min="9730" max="9730" width="8.453125" style="56" customWidth="1"/>
    <col min="9731" max="9731" width="7.1796875" style="56" customWidth="1"/>
    <col min="9732" max="9732" width="7.36328125" style="56" customWidth="1"/>
    <col min="9733" max="9733" width="5.54296875" style="56" customWidth="1"/>
    <col min="9734" max="9734" width="9.7265625" style="56" customWidth="1"/>
    <col min="9735" max="9735" width="12.1796875" style="56" bestFit="1" customWidth="1"/>
    <col min="9736" max="9736" width="26.6328125" style="56" customWidth="1"/>
    <col min="9737" max="9737" width="8.26953125" style="56" customWidth="1"/>
    <col min="9738" max="9738" width="32.08984375" style="56" customWidth="1"/>
    <col min="9739" max="9984" width="8.7265625" style="56"/>
    <col min="9985" max="9985" width="9.90625" style="56" customWidth="1"/>
    <col min="9986" max="9986" width="8.453125" style="56" customWidth="1"/>
    <col min="9987" max="9987" width="7.1796875" style="56" customWidth="1"/>
    <col min="9988" max="9988" width="7.36328125" style="56" customWidth="1"/>
    <col min="9989" max="9989" width="5.54296875" style="56" customWidth="1"/>
    <col min="9990" max="9990" width="9.7265625" style="56" customWidth="1"/>
    <col min="9991" max="9991" width="12.1796875" style="56" bestFit="1" customWidth="1"/>
    <col min="9992" max="9992" width="26.6328125" style="56" customWidth="1"/>
    <col min="9993" max="9993" width="8.26953125" style="56" customWidth="1"/>
    <col min="9994" max="9994" width="32.08984375" style="56" customWidth="1"/>
    <col min="9995" max="10240" width="8.7265625" style="56"/>
    <col min="10241" max="10241" width="9.90625" style="56" customWidth="1"/>
    <col min="10242" max="10242" width="8.453125" style="56" customWidth="1"/>
    <col min="10243" max="10243" width="7.1796875" style="56" customWidth="1"/>
    <col min="10244" max="10244" width="7.36328125" style="56" customWidth="1"/>
    <col min="10245" max="10245" width="5.54296875" style="56" customWidth="1"/>
    <col min="10246" max="10246" width="9.7265625" style="56" customWidth="1"/>
    <col min="10247" max="10247" width="12.1796875" style="56" bestFit="1" customWidth="1"/>
    <col min="10248" max="10248" width="26.6328125" style="56" customWidth="1"/>
    <col min="10249" max="10249" width="8.26953125" style="56" customWidth="1"/>
    <col min="10250" max="10250" width="32.08984375" style="56" customWidth="1"/>
    <col min="10251" max="10496" width="8.7265625" style="56"/>
    <col min="10497" max="10497" width="9.90625" style="56" customWidth="1"/>
    <col min="10498" max="10498" width="8.453125" style="56" customWidth="1"/>
    <col min="10499" max="10499" width="7.1796875" style="56" customWidth="1"/>
    <col min="10500" max="10500" width="7.36328125" style="56" customWidth="1"/>
    <col min="10501" max="10501" width="5.54296875" style="56" customWidth="1"/>
    <col min="10502" max="10502" width="9.7265625" style="56" customWidth="1"/>
    <col min="10503" max="10503" width="12.1796875" style="56" bestFit="1" customWidth="1"/>
    <col min="10504" max="10504" width="26.6328125" style="56" customWidth="1"/>
    <col min="10505" max="10505" width="8.26953125" style="56" customWidth="1"/>
    <col min="10506" max="10506" width="32.08984375" style="56" customWidth="1"/>
    <col min="10507" max="10752" width="8.7265625" style="56"/>
    <col min="10753" max="10753" width="9.90625" style="56" customWidth="1"/>
    <col min="10754" max="10754" width="8.453125" style="56" customWidth="1"/>
    <col min="10755" max="10755" width="7.1796875" style="56" customWidth="1"/>
    <col min="10756" max="10756" width="7.36328125" style="56" customWidth="1"/>
    <col min="10757" max="10757" width="5.54296875" style="56" customWidth="1"/>
    <col min="10758" max="10758" width="9.7265625" style="56" customWidth="1"/>
    <col min="10759" max="10759" width="12.1796875" style="56" bestFit="1" customWidth="1"/>
    <col min="10760" max="10760" width="26.6328125" style="56" customWidth="1"/>
    <col min="10761" max="10761" width="8.26953125" style="56" customWidth="1"/>
    <col min="10762" max="10762" width="32.08984375" style="56" customWidth="1"/>
    <col min="10763" max="11008" width="8.7265625" style="56"/>
    <col min="11009" max="11009" width="9.90625" style="56" customWidth="1"/>
    <col min="11010" max="11010" width="8.453125" style="56" customWidth="1"/>
    <col min="11011" max="11011" width="7.1796875" style="56" customWidth="1"/>
    <col min="11012" max="11012" width="7.36328125" style="56" customWidth="1"/>
    <col min="11013" max="11013" width="5.54296875" style="56" customWidth="1"/>
    <col min="11014" max="11014" width="9.7265625" style="56" customWidth="1"/>
    <col min="11015" max="11015" width="12.1796875" style="56" bestFit="1" customWidth="1"/>
    <col min="11016" max="11016" width="26.6328125" style="56" customWidth="1"/>
    <col min="11017" max="11017" width="8.26953125" style="56" customWidth="1"/>
    <col min="11018" max="11018" width="32.08984375" style="56" customWidth="1"/>
    <col min="11019" max="11264" width="8.7265625" style="56"/>
    <col min="11265" max="11265" width="9.90625" style="56" customWidth="1"/>
    <col min="11266" max="11266" width="8.453125" style="56" customWidth="1"/>
    <col min="11267" max="11267" width="7.1796875" style="56" customWidth="1"/>
    <col min="11268" max="11268" width="7.36328125" style="56" customWidth="1"/>
    <col min="11269" max="11269" width="5.54296875" style="56" customWidth="1"/>
    <col min="11270" max="11270" width="9.7265625" style="56" customWidth="1"/>
    <col min="11271" max="11271" width="12.1796875" style="56" bestFit="1" customWidth="1"/>
    <col min="11272" max="11272" width="26.6328125" style="56" customWidth="1"/>
    <col min="11273" max="11273" width="8.26953125" style="56" customWidth="1"/>
    <col min="11274" max="11274" width="32.08984375" style="56" customWidth="1"/>
    <col min="11275" max="11520" width="8.7265625" style="56"/>
    <col min="11521" max="11521" width="9.90625" style="56" customWidth="1"/>
    <col min="11522" max="11522" width="8.453125" style="56" customWidth="1"/>
    <col min="11523" max="11523" width="7.1796875" style="56" customWidth="1"/>
    <col min="11524" max="11524" width="7.36328125" style="56" customWidth="1"/>
    <col min="11525" max="11525" width="5.54296875" style="56" customWidth="1"/>
    <col min="11526" max="11526" width="9.7265625" style="56" customWidth="1"/>
    <col min="11527" max="11527" width="12.1796875" style="56" bestFit="1" customWidth="1"/>
    <col min="11528" max="11528" width="26.6328125" style="56" customWidth="1"/>
    <col min="11529" max="11529" width="8.26953125" style="56" customWidth="1"/>
    <col min="11530" max="11530" width="32.08984375" style="56" customWidth="1"/>
    <col min="11531" max="11776" width="8.7265625" style="56"/>
    <col min="11777" max="11777" width="9.90625" style="56" customWidth="1"/>
    <col min="11778" max="11778" width="8.453125" style="56" customWidth="1"/>
    <col min="11779" max="11779" width="7.1796875" style="56" customWidth="1"/>
    <col min="11780" max="11780" width="7.36328125" style="56" customWidth="1"/>
    <col min="11781" max="11781" width="5.54296875" style="56" customWidth="1"/>
    <col min="11782" max="11782" width="9.7265625" style="56" customWidth="1"/>
    <col min="11783" max="11783" width="12.1796875" style="56" bestFit="1" customWidth="1"/>
    <col min="11784" max="11784" width="26.6328125" style="56" customWidth="1"/>
    <col min="11785" max="11785" width="8.26953125" style="56" customWidth="1"/>
    <col min="11786" max="11786" width="32.08984375" style="56" customWidth="1"/>
    <col min="11787" max="12032" width="8.7265625" style="56"/>
    <col min="12033" max="12033" width="9.90625" style="56" customWidth="1"/>
    <col min="12034" max="12034" width="8.453125" style="56" customWidth="1"/>
    <col min="12035" max="12035" width="7.1796875" style="56" customWidth="1"/>
    <col min="12036" max="12036" width="7.36328125" style="56" customWidth="1"/>
    <col min="12037" max="12037" width="5.54296875" style="56" customWidth="1"/>
    <col min="12038" max="12038" width="9.7265625" style="56" customWidth="1"/>
    <col min="12039" max="12039" width="12.1796875" style="56" bestFit="1" customWidth="1"/>
    <col min="12040" max="12040" width="26.6328125" style="56" customWidth="1"/>
    <col min="12041" max="12041" width="8.26953125" style="56" customWidth="1"/>
    <col min="12042" max="12042" width="32.08984375" style="56" customWidth="1"/>
    <col min="12043" max="12288" width="8.7265625" style="56"/>
    <col min="12289" max="12289" width="9.90625" style="56" customWidth="1"/>
    <col min="12290" max="12290" width="8.453125" style="56" customWidth="1"/>
    <col min="12291" max="12291" width="7.1796875" style="56" customWidth="1"/>
    <col min="12292" max="12292" width="7.36328125" style="56" customWidth="1"/>
    <col min="12293" max="12293" width="5.54296875" style="56" customWidth="1"/>
    <col min="12294" max="12294" width="9.7265625" style="56" customWidth="1"/>
    <col min="12295" max="12295" width="12.1796875" style="56" bestFit="1" customWidth="1"/>
    <col min="12296" max="12296" width="26.6328125" style="56" customWidth="1"/>
    <col min="12297" max="12297" width="8.26953125" style="56" customWidth="1"/>
    <col min="12298" max="12298" width="32.08984375" style="56" customWidth="1"/>
    <col min="12299" max="12544" width="8.7265625" style="56"/>
    <col min="12545" max="12545" width="9.90625" style="56" customWidth="1"/>
    <col min="12546" max="12546" width="8.453125" style="56" customWidth="1"/>
    <col min="12547" max="12547" width="7.1796875" style="56" customWidth="1"/>
    <col min="12548" max="12548" width="7.36328125" style="56" customWidth="1"/>
    <col min="12549" max="12549" width="5.54296875" style="56" customWidth="1"/>
    <col min="12550" max="12550" width="9.7265625" style="56" customWidth="1"/>
    <col min="12551" max="12551" width="12.1796875" style="56" bestFit="1" customWidth="1"/>
    <col min="12552" max="12552" width="26.6328125" style="56" customWidth="1"/>
    <col min="12553" max="12553" width="8.26953125" style="56" customWidth="1"/>
    <col min="12554" max="12554" width="32.08984375" style="56" customWidth="1"/>
    <col min="12555" max="12800" width="8.7265625" style="56"/>
    <col min="12801" max="12801" width="9.90625" style="56" customWidth="1"/>
    <col min="12802" max="12802" width="8.453125" style="56" customWidth="1"/>
    <col min="12803" max="12803" width="7.1796875" style="56" customWidth="1"/>
    <col min="12804" max="12804" width="7.36328125" style="56" customWidth="1"/>
    <col min="12805" max="12805" width="5.54296875" style="56" customWidth="1"/>
    <col min="12806" max="12806" width="9.7265625" style="56" customWidth="1"/>
    <col min="12807" max="12807" width="12.1796875" style="56" bestFit="1" customWidth="1"/>
    <col min="12808" max="12808" width="26.6328125" style="56" customWidth="1"/>
    <col min="12809" max="12809" width="8.26953125" style="56" customWidth="1"/>
    <col min="12810" max="12810" width="32.08984375" style="56" customWidth="1"/>
    <col min="12811" max="13056" width="8.7265625" style="56"/>
    <col min="13057" max="13057" width="9.90625" style="56" customWidth="1"/>
    <col min="13058" max="13058" width="8.453125" style="56" customWidth="1"/>
    <col min="13059" max="13059" width="7.1796875" style="56" customWidth="1"/>
    <col min="13060" max="13060" width="7.36328125" style="56" customWidth="1"/>
    <col min="13061" max="13061" width="5.54296875" style="56" customWidth="1"/>
    <col min="13062" max="13062" width="9.7265625" style="56" customWidth="1"/>
    <col min="13063" max="13063" width="12.1796875" style="56" bestFit="1" customWidth="1"/>
    <col min="13064" max="13064" width="26.6328125" style="56" customWidth="1"/>
    <col min="13065" max="13065" width="8.26953125" style="56" customWidth="1"/>
    <col min="13066" max="13066" width="32.08984375" style="56" customWidth="1"/>
    <col min="13067" max="13312" width="8.7265625" style="56"/>
    <col min="13313" max="13313" width="9.90625" style="56" customWidth="1"/>
    <col min="13314" max="13314" width="8.453125" style="56" customWidth="1"/>
    <col min="13315" max="13315" width="7.1796875" style="56" customWidth="1"/>
    <col min="13316" max="13316" width="7.36328125" style="56" customWidth="1"/>
    <col min="13317" max="13317" width="5.54296875" style="56" customWidth="1"/>
    <col min="13318" max="13318" width="9.7265625" style="56" customWidth="1"/>
    <col min="13319" max="13319" width="12.1796875" style="56" bestFit="1" customWidth="1"/>
    <col min="13320" max="13320" width="26.6328125" style="56" customWidth="1"/>
    <col min="13321" max="13321" width="8.26953125" style="56" customWidth="1"/>
    <col min="13322" max="13322" width="32.08984375" style="56" customWidth="1"/>
    <col min="13323" max="13568" width="8.7265625" style="56"/>
    <col min="13569" max="13569" width="9.90625" style="56" customWidth="1"/>
    <col min="13570" max="13570" width="8.453125" style="56" customWidth="1"/>
    <col min="13571" max="13571" width="7.1796875" style="56" customWidth="1"/>
    <col min="13572" max="13572" width="7.36328125" style="56" customWidth="1"/>
    <col min="13573" max="13573" width="5.54296875" style="56" customWidth="1"/>
    <col min="13574" max="13574" width="9.7265625" style="56" customWidth="1"/>
    <col min="13575" max="13575" width="12.1796875" style="56" bestFit="1" customWidth="1"/>
    <col min="13576" max="13576" width="26.6328125" style="56" customWidth="1"/>
    <col min="13577" max="13577" width="8.26953125" style="56" customWidth="1"/>
    <col min="13578" max="13578" width="32.08984375" style="56" customWidth="1"/>
    <col min="13579" max="13824" width="8.7265625" style="56"/>
    <col min="13825" max="13825" width="9.90625" style="56" customWidth="1"/>
    <col min="13826" max="13826" width="8.453125" style="56" customWidth="1"/>
    <col min="13827" max="13827" width="7.1796875" style="56" customWidth="1"/>
    <col min="13828" max="13828" width="7.36328125" style="56" customWidth="1"/>
    <col min="13829" max="13829" width="5.54296875" style="56" customWidth="1"/>
    <col min="13830" max="13830" width="9.7265625" style="56" customWidth="1"/>
    <col min="13831" max="13831" width="12.1796875" style="56" bestFit="1" customWidth="1"/>
    <col min="13832" max="13832" width="26.6328125" style="56" customWidth="1"/>
    <col min="13833" max="13833" width="8.26953125" style="56" customWidth="1"/>
    <col min="13834" max="13834" width="32.08984375" style="56" customWidth="1"/>
    <col min="13835" max="14080" width="8.7265625" style="56"/>
    <col min="14081" max="14081" width="9.90625" style="56" customWidth="1"/>
    <col min="14082" max="14082" width="8.453125" style="56" customWidth="1"/>
    <col min="14083" max="14083" width="7.1796875" style="56" customWidth="1"/>
    <col min="14084" max="14084" width="7.36328125" style="56" customWidth="1"/>
    <col min="14085" max="14085" width="5.54296875" style="56" customWidth="1"/>
    <col min="14086" max="14086" width="9.7265625" style="56" customWidth="1"/>
    <col min="14087" max="14087" width="12.1796875" style="56" bestFit="1" customWidth="1"/>
    <col min="14088" max="14088" width="26.6328125" style="56" customWidth="1"/>
    <col min="14089" max="14089" width="8.26953125" style="56" customWidth="1"/>
    <col min="14090" max="14090" width="32.08984375" style="56" customWidth="1"/>
    <col min="14091" max="14336" width="8.7265625" style="56"/>
    <col min="14337" max="14337" width="9.90625" style="56" customWidth="1"/>
    <col min="14338" max="14338" width="8.453125" style="56" customWidth="1"/>
    <col min="14339" max="14339" width="7.1796875" style="56" customWidth="1"/>
    <col min="14340" max="14340" width="7.36328125" style="56" customWidth="1"/>
    <col min="14341" max="14341" width="5.54296875" style="56" customWidth="1"/>
    <col min="14342" max="14342" width="9.7265625" style="56" customWidth="1"/>
    <col min="14343" max="14343" width="12.1796875" style="56" bestFit="1" customWidth="1"/>
    <col min="14344" max="14344" width="26.6328125" style="56" customWidth="1"/>
    <col min="14345" max="14345" width="8.26953125" style="56" customWidth="1"/>
    <col min="14346" max="14346" width="32.08984375" style="56" customWidth="1"/>
    <col min="14347" max="14592" width="8.7265625" style="56"/>
    <col min="14593" max="14593" width="9.90625" style="56" customWidth="1"/>
    <col min="14594" max="14594" width="8.453125" style="56" customWidth="1"/>
    <col min="14595" max="14595" width="7.1796875" style="56" customWidth="1"/>
    <col min="14596" max="14596" width="7.36328125" style="56" customWidth="1"/>
    <col min="14597" max="14597" width="5.54296875" style="56" customWidth="1"/>
    <col min="14598" max="14598" width="9.7265625" style="56" customWidth="1"/>
    <col min="14599" max="14599" width="12.1796875" style="56" bestFit="1" customWidth="1"/>
    <col min="14600" max="14600" width="26.6328125" style="56" customWidth="1"/>
    <col min="14601" max="14601" width="8.26953125" style="56" customWidth="1"/>
    <col min="14602" max="14602" width="32.08984375" style="56" customWidth="1"/>
    <col min="14603" max="14848" width="8.7265625" style="56"/>
    <col min="14849" max="14849" width="9.90625" style="56" customWidth="1"/>
    <col min="14850" max="14850" width="8.453125" style="56" customWidth="1"/>
    <col min="14851" max="14851" width="7.1796875" style="56" customWidth="1"/>
    <col min="14852" max="14852" width="7.36328125" style="56" customWidth="1"/>
    <col min="14853" max="14853" width="5.54296875" style="56" customWidth="1"/>
    <col min="14854" max="14854" width="9.7265625" style="56" customWidth="1"/>
    <col min="14855" max="14855" width="12.1796875" style="56" bestFit="1" customWidth="1"/>
    <col min="14856" max="14856" width="26.6328125" style="56" customWidth="1"/>
    <col min="14857" max="14857" width="8.26953125" style="56" customWidth="1"/>
    <col min="14858" max="14858" width="32.08984375" style="56" customWidth="1"/>
    <col min="14859" max="15104" width="8.7265625" style="56"/>
    <col min="15105" max="15105" width="9.90625" style="56" customWidth="1"/>
    <col min="15106" max="15106" width="8.453125" style="56" customWidth="1"/>
    <col min="15107" max="15107" width="7.1796875" style="56" customWidth="1"/>
    <col min="15108" max="15108" width="7.36328125" style="56" customWidth="1"/>
    <col min="15109" max="15109" width="5.54296875" style="56" customWidth="1"/>
    <col min="15110" max="15110" width="9.7265625" style="56" customWidth="1"/>
    <col min="15111" max="15111" width="12.1796875" style="56" bestFit="1" customWidth="1"/>
    <col min="15112" max="15112" width="26.6328125" style="56" customWidth="1"/>
    <col min="15113" max="15113" width="8.26953125" style="56" customWidth="1"/>
    <col min="15114" max="15114" width="32.08984375" style="56" customWidth="1"/>
    <col min="15115" max="15360" width="8.7265625" style="56"/>
    <col min="15361" max="15361" width="9.90625" style="56" customWidth="1"/>
    <col min="15362" max="15362" width="8.453125" style="56" customWidth="1"/>
    <col min="15363" max="15363" width="7.1796875" style="56" customWidth="1"/>
    <col min="15364" max="15364" width="7.36328125" style="56" customWidth="1"/>
    <col min="15365" max="15365" width="5.54296875" style="56" customWidth="1"/>
    <col min="15366" max="15366" width="9.7265625" style="56" customWidth="1"/>
    <col min="15367" max="15367" width="12.1796875" style="56" bestFit="1" customWidth="1"/>
    <col min="15368" max="15368" width="26.6328125" style="56" customWidth="1"/>
    <col min="15369" max="15369" width="8.26953125" style="56" customWidth="1"/>
    <col min="15370" max="15370" width="32.08984375" style="56" customWidth="1"/>
    <col min="15371" max="15616" width="8.7265625" style="56"/>
    <col min="15617" max="15617" width="9.90625" style="56" customWidth="1"/>
    <col min="15618" max="15618" width="8.453125" style="56" customWidth="1"/>
    <col min="15619" max="15619" width="7.1796875" style="56" customWidth="1"/>
    <col min="15620" max="15620" width="7.36328125" style="56" customWidth="1"/>
    <col min="15621" max="15621" width="5.54296875" style="56" customWidth="1"/>
    <col min="15622" max="15622" width="9.7265625" style="56" customWidth="1"/>
    <col min="15623" max="15623" width="12.1796875" style="56" bestFit="1" customWidth="1"/>
    <col min="15624" max="15624" width="26.6328125" style="56" customWidth="1"/>
    <col min="15625" max="15625" width="8.26953125" style="56" customWidth="1"/>
    <col min="15626" max="15626" width="32.08984375" style="56" customWidth="1"/>
    <col min="15627" max="15872" width="8.7265625" style="56"/>
    <col min="15873" max="15873" width="9.90625" style="56" customWidth="1"/>
    <col min="15874" max="15874" width="8.453125" style="56" customWidth="1"/>
    <col min="15875" max="15875" width="7.1796875" style="56" customWidth="1"/>
    <col min="15876" max="15876" width="7.36328125" style="56" customWidth="1"/>
    <col min="15877" max="15877" width="5.54296875" style="56" customWidth="1"/>
    <col min="15878" max="15878" width="9.7265625" style="56" customWidth="1"/>
    <col min="15879" max="15879" width="12.1796875" style="56" bestFit="1" customWidth="1"/>
    <col min="15880" max="15880" width="26.6328125" style="56" customWidth="1"/>
    <col min="15881" max="15881" width="8.26953125" style="56" customWidth="1"/>
    <col min="15882" max="15882" width="32.08984375" style="56" customWidth="1"/>
    <col min="15883" max="16128" width="8.7265625" style="56"/>
    <col min="16129" max="16129" width="9.90625" style="56" customWidth="1"/>
    <col min="16130" max="16130" width="8.453125" style="56" customWidth="1"/>
    <col min="16131" max="16131" width="7.1796875" style="56" customWidth="1"/>
    <col min="16132" max="16132" width="7.36328125" style="56" customWidth="1"/>
    <col min="16133" max="16133" width="5.54296875" style="56" customWidth="1"/>
    <col min="16134" max="16134" width="9.7265625" style="56" customWidth="1"/>
    <col min="16135" max="16135" width="12.1796875" style="56" bestFit="1" customWidth="1"/>
    <col min="16136" max="16136" width="26.6328125" style="56" customWidth="1"/>
    <col min="16137" max="16137" width="8.26953125" style="56" customWidth="1"/>
    <col min="16138" max="16138" width="32.08984375" style="56" customWidth="1"/>
    <col min="16139" max="16384" width="8.7265625" style="56"/>
  </cols>
  <sheetData>
    <row r="1" spans="1:10" s="33" customFormat="1" ht="12.75" customHeight="1" x14ac:dyDescent="0.3">
      <c r="A1" s="45" t="s">
        <v>11</v>
      </c>
      <c r="B1" s="46"/>
      <c r="C1" s="46"/>
      <c r="D1" s="46"/>
      <c r="E1" s="46"/>
      <c r="F1" s="46"/>
      <c r="G1" s="47"/>
      <c r="H1" s="48"/>
      <c r="I1" s="32"/>
      <c r="J1" s="90"/>
    </row>
    <row r="2" spans="1:10" ht="12.75" customHeight="1" x14ac:dyDescent="0.3">
      <c r="A2" s="49" t="s">
        <v>76</v>
      </c>
      <c r="B2" s="50"/>
      <c r="C2" s="51"/>
      <c r="D2" s="51"/>
      <c r="E2" s="51"/>
      <c r="F2" s="52"/>
      <c r="G2" s="53"/>
      <c r="H2" s="54" t="s">
        <v>77</v>
      </c>
    </row>
    <row r="3" spans="1:10" ht="13.6" customHeight="1" x14ac:dyDescent="0.3">
      <c r="A3" s="57" t="s">
        <v>78</v>
      </c>
      <c r="B3" s="58"/>
      <c r="C3" s="59"/>
      <c r="D3" s="59"/>
      <c r="E3" s="59"/>
      <c r="F3" s="52" t="s">
        <v>38</v>
      </c>
      <c r="G3" s="59"/>
      <c r="H3" s="60"/>
    </row>
    <row r="4" spans="1:10" ht="18" customHeight="1" x14ac:dyDescent="0.3">
      <c r="A4" s="61" t="s">
        <v>79</v>
      </c>
      <c r="B4" s="52"/>
      <c r="D4" s="63"/>
      <c r="E4" s="63"/>
      <c r="F4" s="34" t="s">
        <v>39</v>
      </c>
      <c r="G4" s="35"/>
      <c r="H4" s="36"/>
    </row>
    <row r="5" spans="1:10" ht="12.75" customHeight="1" x14ac:dyDescent="0.3">
      <c r="A5" s="49" t="s">
        <v>80</v>
      </c>
      <c r="B5" s="64"/>
      <c r="C5" s="59"/>
      <c r="D5" s="59"/>
      <c r="E5" s="59"/>
      <c r="F5" s="52"/>
      <c r="G5" s="59"/>
      <c r="H5" s="60"/>
    </row>
    <row r="6" spans="1:10" ht="12.75" customHeight="1" x14ac:dyDescent="0.3">
      <c r="A6" s="49" t="s">
        <v>81</v>
      </c>
      <c r="B6" s="64"/>
      <c r="C6" s="59"/>
      <c r="D6" s="59"/>
      <c r="E6" s="59"/>
      <c r="F6" s="52"/>
      <c r="G6" s="59"/>
      <c r="H6" s="60"/>
    </row>
    <row r="7" spans="1:10" ht="12.75" customHeight="1" x14ac:dyDescent="0.3">
      <c r="A7" s="75"/>
      <c r="B7" s="64"/>
      <c r="C7" s="59"/>
      <c r="D7" s="59"/>
      <c r="E7" s="59"/>
      <c r="F7" s="52"/>
      <c r="G7" s="59"/>
      <c r="H7" s="60"/>
    </row>
    <row r="8" spans="1:10" ht="17.2" customHeight="1" thickBot="1" x14ac:dyDescent="0.35">
      <c r="A8" s="83"/>
      <c r="B8" s="84"/>
      <c r="C8" s="222" t="s">
        <v>41</v>
      </c>
      <c r="D8" s="222"/>
      <c r="E8" s="85"/>
      <c r="F8" s="86"/>
      <c r="G8" s="86"/>
      <c r="H8" s="87"/>
      <c r="I8" s="88"/>
      <c r="J8" s="96"/>
    </row>
    <row r="9" spans="1:10" s="95" customFormat="1" ht="33.799999999999997" customHeight="1" thickBot="1" x14ac:dyDescent="0.4">
      <c r="A9" s="100" t="s">
        <v>72</v>
      </c>
      <c r="B9" s="101" t="s">
        <v>40</v>
      </c>
      <c r="C9" s="101" t="s">
        <v>45</v>
      </c>
      <c r="D9" s="101" t="s">
        <v>46</v>
      </c>
      <c r="E9" s="102" t="s">
        <v>73</v>
      </c>
      <c r="F9" s="102" t="s">
        <v>29</v>
      </c>
      <c r="G9" s="101" t="s">
        <v>42</v>
      </c>
      <c r="H9" s="102" t="s">
        <v>43</v>
      </c>
      <c r="I9" s="103" t="s">
        <v>44</v>
      </c>
      <c r="J9" s="104" t="s">
        <v>31</v>
      </c>
    </row>
    <row r="10" spans="1:10" x14ac:dyDescent="0.3">
      <c r="A10" s="97">
        <v>42737</v>
      </c>
      <c r="B10" s="98" t="s">
        <v>47</v>
      </c>
      <c r="C10" s="98">
        <v>13</v>
      </c>
      <c r="D10" s="98">
        <v>26</v>
      </c>
      <c r="E10" s="98">
        <f t="shared" ref="E10:E35" si="0">IF(((C10="")*AND(D10="")),"",D10-C10)</f>
        <v>13</v>
      </c>
      <c r="F10" s="99" t="str">
        <f>IF(E10="","",IF(E10&lt;=20,"Pass","Fail"))</f>
        <v>Pass</v>
      </c>
      <c r="G10" s="110">
        <v>1335</v>
      </c>
      <c r="H10" s="80" t="s">
        <v>48</v>
      </c>
      <c r="I10" s="79">
        <v>20</v>
      </c>
      <c r="J10" s="92"/>
    </row>
    <row r="11" spans="1:10" x14ac:dyDescent="0.3">
      <c r="A11" s="37">
        <v>42737</v>
      </c>
      <c r="B11" s="38" t="s">
        <v>49</v>
      </c>
      <c r="C11" s="38">
        <v>16</v>
      </c>
      <c r="D11" s="38">
        <v>22</v>
      </c>
      <c r="E11" s="38">
        <f t="shared" si="0"/>
        <v>6</v>
      </c>
      <c r="F11" s="39" t="str">
        <f>IF(E11="","",IF(E11&lt;=30,"Pass","Fail"))</f>
        <v>Pass</v>
      </c>
      <c r="G11" s="42">
        <v>1335</v>
      </c>
      <c r="H11" s="67" t="s">
        <v>48</v>
      </c>
      <c r="I11" s="70">
        <v>30</v>
      </c>
      <c r="J11" s="93"/>
    </row>
    <row r="12" spans="1:10" x14ac:dyDescent="0.3">
      <c r="A12" s="37">
        <v>42740</v>
      </c>
      <c r="B12" s="38" t="s">
        <v>47</v>
      </c>
      <c r="C12" s="38">
        <v>17</v>
      </c>
      <c r="D12" s="38">
        <v>33</v>
      </c>
      <c r="E12" s="38">
        <f>IF(((C12="")*AND(D12="")),"",D12-C12)</f>
        <v>16</v>
      </c>
      <c r="F12" s="39" t="str">
        <f>IF(E12="","",IF(E12&lt;=20,"Pass","Fail"))</f>
        <v>Pass</v>
      </c>
      <c r="G12" s="42">
        <v>102</v>
      </c>
      <c r="H12" s="67" t="s">
        <v>48</v>
      </c>
      <c r="I12" s="70">
        <v>20</v>
      </c>
      <c r="J12" s="93"/>
    </row>
    <row r="13" spans="1:10" x14ac:dyDescent="0.3">
      <c r="A13" s="37">
        <v>42740</v>
      </c>
      <c r="B13" s="38" t="s">
        <v>49</v>
      </c>
      <c r="C13" s="38">
        <v>17</v>
      </c>
      <c r="D13" s="38">
        <v>39</v>
      </c>
      <c r="E13" s="38">
        <f>IF(((C13="")*AND(D13="")),"",D13-C13)</f>
        <v>22</v>
      </c>
      <c r="F13" s="39" t="str">
        <f>IF(E13="","",IF(E13&lt;=30,"Pass","Fail"))</f>
        <v>Pass</v>
      </c>
      <c r="G13" s="42">
        <v>102</v>
      </c>
      <c r="H13" s="67" t="s">
        <v>48</v>
      </c>
      <c r="I13" s="70">
        <v>30</v>
      </c>
      <c r="J13" s="93"/>
    </row>
    <row r="14" spans="1:10" x14ac:dyDescent="0.3">
      <c r="A14" s="37">
        <v>42744</v>
      </c>
      <c r="B14" s="38" t="s">
        <v>47</v>
      </c>
      <c r="C14" s="38">
        <v>49</v>
      </c>
      <c r="D14" s="38">
        <v>65</v>
      </c>
      <c r="E14" s="38">
        <f>IF(((C14="")*AND(D14="")),"",D14-C14)</f>
        <v>16</v>
      </c>
      <c r="F14" s="39" t="str">
        <f>IF(E14="","",IF(E14&lt;=20,"Pass","Fail"))</f>
        <v>Pass</v>
      </c>
      <c r="G14" s="42">
        <v>1400</v>
      </c>
      <c r="H14" s="67" t="s">
        <v>48</v>
      </c>
      <c r="I14" s="70">
        <v>20</v>
      </c>
      <c r="J14" s="93"/>
    </row>
    <row r="15" spans="1:10" x14ac:dyDescent="0.3">
      <c r="A15" s="37">
        <v>42744</v>
      </c>
      <c r="B15" s="38" t="s">
        <v>49</v>
      </c>
      <c r="C15" s="38">
        <v>46</v>
      </c>
      <c r="D15" s="38">
        <v>67</v>
      </c>
      <c r="E15" s="38">
        <f>IF(((C15="")*AND(D15="")),"",D15-C15)</f>
        <v>21</v>
      </c>
      <c r="F15" s="39" t="str">
        <f>IF(E15="","",IF(E15&lt;=30,"Pass","Fail"))</f>
        <v>Pass</v>
      </c>
      <c r="G15" s="42">
        <v>102</v>
      </c>
      <c r="H15" s="67" t="s">
        <v>48</v>
      </c>
      <c r="I15" s="70">
        <v>30</v>
      </c>
      <c r="J15" s="93"/>
    </row>
    <row r="16" spans="1:10" x14ac:dyDescent="0.3">
      <c r="A16" s="37">
        <v>42747</v>
      </c>
      <c r="B16" s="38" t="s">
        <v>47</v>
      </c>
      <c r="C16" s="38">
        <v>5</v>
      </c>
      <c r="D16" s="38">
        <v>9</v>
      </c>
      <c r="E16" s="38">
        <f t="shared" si="0"/>
        <v>4</v>
      </c>
      <c r="F16" s="39" t="str">
        <f>IF(E16="","",IF(E16&lt;=20,"Pass","Fail"))</f>
        <v>Pass</v>
      </c>
      <c r="G16" s="42">
        <v>1335</v>
      </c>
      <c r="H16" s="67" t="s">
        <v>48</v>
      </c>
      <c r="I16" s="70">
        <v>20</v>
      </c>
      <c r="J16" s="93"/>
    </row>
    <row r="17" spans="1:10" x14ac:dyDescent="0.3">
      <c r="A17" s="37">
        <v>42747</v>
      </c>
      <c r="B17" s="38" t="s">
        <v>49</v>
      </c>
      <c r="C17" s="38">
        <v>23</v>
      </c>
      <c r="D17" s="38">
        <v>33</v>
      </c>
      <c r="E17" s="38">
        <f t="shared" si="0"/>
        <v>10</v>
      </c>
      <c r="F17" s="39" t="str">
        <f>IF(E17="","",IF(E17&lt;=30,"Pass","Fail"))</f>
        <v>Pass</v>
      </c>
      <c r="G17" s="42">
        <v>1335</v>
      </c>
      <c r="H17" s="67" t="s">
        <v>48</v>
      </c>
      <c r="I17" s="70">
        <v>30</v>
      </c>
      <c r="J17" s="93"/>
    </row>
    <row r="18" spans="1:10" x14ac:dyDescent="0.3">
      <c r="A18" s="37">
        <v>42759</v>
      </c>
      <c r="B18" s="38" t="s">
        <v>47</v>
      </c>
      <c r="C18" s="38">
        <v>5</v>
      </c>
      <c r="D18" s="38">
        <v>20</v>
      </c>
      <c r="E18" s="38">
        <f t="shared" si="0"/>
        <v>15</v>
      </c>
      <c r="F18" s="39" t="str">
        <f>IF(E18="","",IF(E18&lt;=20,"Pass","Fail"))</f>
        <v>Pass</v>
      </c>
      <c r="G18" s="42">
        <v>1335</v>
      </c>
      <c r="H18" s="67" t="s">
        <v>48</v>
      </c>
      <c r="I18" s="70">
        <v>20</v>
      </c>
      <c r="J18" s="93"/>
    </row>
    <row r="19" spans="1:10" x14ac:dyDescent="0.3">
      <c r="A19" s="37">
        <v>42759</v>
      </c>
      <c r="B19" s="38" t="s">
        <v>49</v>
      </c>
      <c r="C19" s="38">
        <v>9</v>
      </c>
      <c r="D19" s="38">
        <v>19</v>
      </c>
      <c r="E19" s="38">
        <f t="shared" si="0"/>
        <v>10</v>
      </c>
      <c r="F19" s="39" t="str">
        <f>IF(E19="","",IF(E19&lt;=30,"Pass","Fail"))</f>
        <v>Pass</v>
      </c>
      <c r="G19" s="42">
        <v>1335</v>
      </c>
      <c r="H19" s="67" t="s">
        <v>74</v>
      </c>
      <c r="I19" s="70">
        <v>30</v>
      </c>
      <c r="J19" s="93" t="s">
        <v>75</v>
      </c>
    </row>
    <row r="20" spans="1:10" x14ac:dyDescent="0.3">
      <c r="A20" s="37">
        <v>42762</v>
      </c>
      <c r="B20" s="38" t="s">
        <v>47</v>
      </c>
      <c r="C20" s="38">
        <v>23</v>
      </c>
      <c r="D20" s="38">
        <v>35</v>
      </c>
      <c r="E20" s="38">
        <f t="shared" si="0"/>
        <v>12</v>
      </c>
      <c r="F20" s="39" t="str">
        <f>IF(E20="","",IF(E20&lt;=20,"Pass","Fail"))</f>
        <v>Pass</v>
      </c>
      <c r="G20" s="42">
        <v>1400</v>
      </c>
      <c r="H20" s="67" t="s">
        <v>48</v>
      </c>
      <c r="I20" s="70">
        <v>20</v>
      </c>
      <c r="J20" s="93"/>
    </row>
    <row r="21" spans="1:10" x14ac:dyDescent="0.3">
      <c r="A21" s="37">
        <v>42762</v>
      </c>
      <c r="B21" s="38" t="s">
        <v>49</v>
      </c>
      <c r="C21" s="38">
        <v>31</v>
      </c>
      <c r="D21" s="38">
        <v>46</v>
      </c>
      <c r="E21" s="38">
        <f t="shared" si="0"/>
        <v>15</v>
      </c>
      <c r="F21" s="39" t="str">
        <f>IF(E21="","",IF(E21&lt;=30,"Pass","Fail"))</f>
        <v>Pass</v>
      </c>
      <c r="G21" s="42">
        <v>1400</v>
      </c>
      <c r="H21" s="67" t="s">
        <v>48</v>
      </c>
      <c r="I21" s="70">
        <v>30</v>
      </c>
      <c r="J21" s="93"/>
    </row>
    <row r="22" spans="1:10" x14ac:dyDescent="0.3">
      <c r="A22" s="37">
        <v>42765</v>
      </c>
      <c r="B22" s="38" t="s">
        <v>47</v>
      </c>
      <c r="C22" s="38">
        <v>43</v>
      </c>
      <c r="D22" s="38">
        <v>56</v>
      </c>
      <c r="E22" s="38">
        <f t="shared" si="0"/>
        <v>13</v>
      </c>
      <c r="F22" s="39" t="str">
        <f>IF(E22="","",IF(E22&lt;=20,"Pass","Fail"))</f>
        <v>Pass</v>
      </c>
      <c r="G22" s="42">
        <v>1400</v>
      </c>
      <c r="H22" s="67" t="s">
        <v>48</v>
      </c>
      <c r="I22" s="70">
        <v>20</v>
      </c>
      <c r="J22" s="93"/>
    </row>
    <row r="23" spans="1:10" x14ac:dyDescent="0.3">
      <c r="A23" s="37">
        <v>42765</v>
      </c>
      <c r="B23" s="38" t="s">
        <v>49</v>
      </c>
      <c r="C23" s="38">
        <v>27</v>
      </c>
      <c r="D23" s="38">
        <v>48</v>
      </c>
      <c r="E23" s="38">
        <f t="shared" si="0"/>
        <v>21</v>
      </c>
      <c r="F23" s="39" t="str">
        <f>IF(E23="","",IF(E23&lt;=30,"Pass","Fail"))</f>
        <v>Pass</v>
      </c>
      <c r="G23" s="42">
        <v>1400</v>
      </c>
      <c r="H23" s="67" t="s">
        <v>48</v>
      </c>
      <c r="I23" s="70">
        <v>30</v>
      </c>
      <c r="J23" s="93"/>
    </row>
    <row r="24" spans="1:10" x14ac:dyDescent="0.3">
      <c r="A24" s="37">
        <v>42769</v>
      </c>
      <c r="B24" s="38" t="s">
        <v>47</v>
      </c>
      <c r="C24" s="38">
        <v>9</v>
      </c>
      <c r="D24" s="38">
        <v>14</v>
      </c>
      <c r="E24" s="38">
        <f t="shared" si="0"/>
        <v>5</v>
      </c>
      <c r="F24" s="39" t="str">
        <f>IF(E24="","",IF(E24&lt;=20,"Pass","Fail"))</f>
        <v>Pass</v>
      </c>
      <c r="G24" s="42">
        <v>1159</v>
      </c>
      <c r="H24" s="67" t="s">
        <v>48</v>
      </c>
      <c r="I24" s="70">
        <v>20</v>
      </c>
      <c r="J24" s="93"/>
    </row>
    <row r="25" spans="1:10" x14ac:dyDescent="0.3">
      <c r="A25" s="37">
        <v>42769</v>
      </c>
      <c r="B25" s="38" t="s">
        <v>49</v>
      </c>
      <c r="C25" s="38">
        <v>4</v>
      </c>
      <c r="D25" s="38">
        <v>8</v>
      </c>
      <c r="E25" s="38">
        <f t="shared" si="0"/>
        <v>4</v>
      </c>
      <c r="F25" s="39" t="str">
        <f>IF(E25="","",IF(E25&lt;=30,"Pass","Fail"))</f>
        <v>Pass</v>
      </c>
      <c r="G25" s="42">
        <v>1159</v>
      </c>
      <c r="H25" s="67" t="s">
        <v>48</v>
      </c>
      <c r="I25" s="70">
        <v>30</v>
      </c>
      <c r="J25" s="93"/>
    </row>
    <row r="26" spans="1:10" x14ac:dyDescent="0.3">
      <c r="A26" s="37">
        <v>42772</v>
      </c>
      <c r="B26" s="38" t="s">
        <v>47</v>
      </c>
      <c r="C26" s="38">
        <v>14</v>
      </c>
      <c r="D26" s="38">
        <v>16</v>
      </c>
      <c r="E26" s="38">
        <f t="shared" si="0"/>
        <v>2</v>
      </c>
      <c r="F26" s="39" t="str">
        <f>IF(E26="","",IF(E26&lt;=20,"Pass","Fail"))</f>
        <v>Pass</v>
      </c>
      <c r="G26" s="42">
        <v>1400</v>
      </c>
      <c r="H26" s="67" t="s">
        <v>48</v>
      </c>
      <c r="I26" s="70">
        <v>20</v>
      </c>
      <c r="J26" s="93"/>
    </row>
    <row r="27" spans="1:10" x14ac:dyDescent="0.3">
      <c r="A27" s="37">
        <v>42772</v>
      </c>
      <c r="B27" s="38" t="s">
        <v>49</v>
      </c>
      <c r="C27" s="38">
        <v>9</v>
      </c>
      <c r="D27" s="38">
        <v>10</v>
      </c>
      <c r="E27" s="38">
        <f t="shared" si="0"/>
        <v>1</v>
      </c>
      <c r="F27" s="39" t="str">
        <f>IF(E27="","",IF(E27&lt;=30,"Pass","Fail"))</f>
        <v>Pass</v>
      </c>
      <c r="G27" s="42">
        <v>1400</v>
      </c>
      <c r="H27" s="67" t="s">
        <v>48</v>
      </c>
      <c r="I27" s="70">
        <v>30</v>
      </c>
      <c r="J27" s="93"/>
    </row>
    <row r="28" spans="1:10" x14ac:dyDescent="0.3">
      <c r="A28" s="37">
        <v>42775</v>
      </c>
      <c r="B28" s="38" t="s">
        <v>47</v>
      </c>
      <c r="C28" s="38">
        <v>21</v>
      </c>
      <c r="D28" s="38">
        <v>40</v>
      </c>
      <c r="E28" s="38">
        <f t="shared" si="0"/>
        <v>19</v>
      </c>
      <c r="F28" s="39" t="str">
        <f>IF(E28="","",IF(E28&lt;=20,"Pass","Fail"))</f>
        <v>Pass</v>
      </c>
      <c r="G28" s="42">
        <v>1428</v>
      </c>
      <c r="H28" s="67" t="s">
        <v>48</v>
      </c>
      <c r="I28" s="70">
        <v>20</v>
      </c>
      <c r="J28" s="93"/>
    </row>
    <row r="29" spans="1:10" x14ac:dyDescent="0.3">
      <c r="A29" s="37">
        <v>42775</v>
      </c>
      <c r="B29" s="38" t="s">
        <v>49</v>
      </c>
      <c r="C29" s="38">
        <v>16</v>
      </c>
      <c r="D29" s="38">
        <v>35</v>
      </c>
      <c r="E29" s="38">
        <f t="shared" si="0"/>
        <v>19</v>
      </c>
      <c r="F29" s="39" t="str">
        <f>IF(E29="","",IF(E29&lt;=30,"Pass","Fail"))</f>
        <v>Pass</v>
      </c>
      <c r="G29" s="42">
        <v>1428</v>
      </c>
      <c r="H29" s="67" t="s">
        <v>48</v>
      </c>
      <c r="I29" s="70">
        <v>30</v>
      </c>
      <c r="J29" s="93"/>
    </row>
    <row r="30" spans="1:10" x14ac:dyDescent="0.3">
      <c r="A30" s="37">
        <v>42779</v>
      </c>
      <c r="B30" s="38" t="s">
        <v>47</v>
      </c>
      <c r="C30" s="38">
        <v>13</v>
      </c>
      <c r="D30" s="38">
        <v>25</v>
      </c>
      <c r="E30" s="38">
        <f t="shared" si="0"/>
        <v>12</v>
      </c>
      <c r="F30" s="39" t="str">
        <f>IF(E30="","",IF(E30&lt;=20,"Pass","Fail"))</f>
        <v>Pass</v>
      </c>
      <c r="G30" s="42">
        <v>1335</v>
      </c>
      <c r="H30" s="67" t="s">
        <v>48</v>
      </c>
      <c r="I30" s="70">
        <v>20</v>
      </c>
      <c r="J30" s="93"/>
    </row>
    <row r="31" spans="1:10" x14ac:dyDescent="0.3">
      <c r="A31" s="37">
        <v>42779</v>
      </c>
      <c r="B31" s="38" t="s">
        <v>49</v>
      </c>
      <c r="C31" s="38">
        <v>12</v>
      </c>
      <c r="D31" s="38">
        <v>28</v>
      </c>
      <c r="E31" s="38">
        <f t="shared" si="0"/>
        <v>16</v>
      </c>
      <c r="F31" s="39" t="str">
        <f>IF(E31="","",IF(E31&lt;=30,"Pass","Fail"))</f>
        <v>Pass</v>
      </c>
      <c r="G31" s="42">
        <v>1335</v>
      </c>
      <c r="H31" s="67" t="s">
        <v>48</v>
      </c>
      <c r="I31" s="70">
        <v>30</v>
      </c>
      <c r="J31" s="93"/>
    </row>
    <row r="32" spans="1:10" x14ac:dyDescent="0.3">
      <c r="A32" s="37">
        <v>42782</v>
      </c>
      <c r="B32" s="38" t="s">
        <v>47</v>
      </c>
      <c r="C32" s="38">
        <v>13</v>
      </c>
      <c r="D32" s="38">
        <v>20</v>
      </c>
      <c r="E32" s="38">
        <f t="shared" si="0"/>
        <v>7</v>
      </c>
      <c r="F32" s="39" t="str">
        <f>IF(E32="","",IF(E32&lt;=20,"Pass","Fail"))</f>
        <v>Pass</v>
      </c>
      <c r="G32" s="42">
        <v>1335</v>
      </c>
      <c r="H32" s="67" t="s">
        <v>48</v>
      </c>
      <c r="I32" s="70">
        <v>20</v>
      </c>
      <c r="J32" s="93"/>
    </row>
    <row r="33" spans="1:10" x14ac:dyDescent="0.3">
      <c r="A33" s="37">
        <v>42782</v>
      </c>
      <c r="B33" s="38" t="s">
        <v>49</v>
      </c>
      <c r="C33" s="38">
        <v>13</v>
      </c>
      <c r="D33" s="38">
        <v>17</v>
      </c>
      <c r="E33" s="38">
        <f t="shared" si="0"/>
        <v>4</v>
      </c>
      <c r="F33" s="39" t="str">
        <f>IF(E33="","",IF(E33&lt;=30,"Pass","Fail"))</f>
        <v>Pass</v>
      </c>
      <c r="G33" s="42">
        <v>1335</v>
      </c>
      <c r="H33" s="67" t="s">
        <v>48</v>
      </c>
      <c r="I33" s="70">
        <v>30</v>
      </c>
      <c r="J33" s="93"/>
    </row>
    <row r="34" spans="1:10" x14ac:dyDescent="0.3">
      <c r="A34" s="37">
        <v>42786</v>
      </c>
      <c r="B34" s="38" t="s">
        <v>47</v>
      </c>
      <c r="C34" s="38">
        <v>3</v>
      </c>
      <c r="D34" s="38">
        <v>7</v>
      </c>
      <c r="E34" s="38">
        <f t="shared" si="0"/>
        <v>4</v>
      </c>
      <c r="F34" s="39" t="str">
        <f>IF(E34="","",IF(E34&lt;=20,"Pass","Fail"))</f>
        <v>Pass</v>
      </c>
      <c r="G34" s="42">
        <v>1335</v>
      </c>
      <c r="H34" s="67" t="s">
        <v>48</v>
      </c>
      <c r="I34" s="70">
        <v>20</v>
      </c>
      <c r="J34" s="93"/>
    </row>
    <row r="35" spans="1:10" x14ac:dyDescent="0.3">
      <c r="A35" s="37">
        <v>42786</v>
      </c>
      <c r="B35" s="38" t="s">
        <v>49</v>
      </c>
      <c r="C35" s="38">
        <v>10</v>
      </c>
      <c r="D35" s="38">
        <v>23</v>
      </c>
      <c r="E35" s="38">
        <f t="shared" si="0"/>
        <v>13</v>
      </c>
      <c r="F35" s="39" t="str">
        <f>IF(E35="","",IF(E35&lt;=30,"Pass","Fail"))</f>
        <v>Pass</v>
      </c>
      <c r="G35" s="42">
        <v>1335</v>
      </c>
      <c r="H35" s="67" t="s">
        <v>48</v>
      </c>
      <c r="I35" s="70">
        <v>30</v>
      </c>
      <c r="J35" s="93"/>
    </row>
    <row r="36" spans="1:10" x14ac:dyDescent="0.3">
      <c r="A36" s="37">
        <v>42782</v>
      </c>
      <c r="B36" s="38" t="s">
        <v>47</v>
      </c>
      <c r="C36" s="38">
        <v>13</v>
      </c>
      <c r="D36" s="38">
        <v>20</v>
      </c>
      <c r="E36" s="38">
        <v>7</v>
      </c>
      <c r="F36" s="39" t="str">
        <f>IF(E36="","",IF(E36&lt;=20,"Pass","Fail"))</f>
        <v>Pass</v>
      </c>
      <c r="G36" s="42">
        <v>1335</v>
      </c>
      <c r="H36" s="67" t="s">
        <v>48</v>
      </c>
      <c r="I36" s="70">
        <v>20</v>
      </c>
      <c r="J36" s="93"/>
    </row>
    <row r="37" spans="1:10" x14ac:dyDescent="0.3">
      <c r="A37" s="37">
        <v>42786</v>
      </c>
      <c r="B37" s="38" t="s">
        <v>47</v>
      </c>
      <c r="C37" s="38">
        <v>3</v>
      </c>
      <c r="D37" s="38">
        <v>7</v>
      </c>
      <c r="E37" s="38">
        <v>4</v>
      </c>
      <c r="F37" s="39" t="str">
        <f>IF(E37="","",IF(E37&lt;=20,"Pass","Fail"))</f>
        <v>Pass</v>
      </c>
      <c r="G37" s="42">
        <v>1335</v>
      </c>
      <c r="H37" s="67" t="s">
        <v>48</v>
      </c>
      <c r="I37" s="70">
        <v>20</v>
      </c>
      <c r="J37" s="93"/>
    </row>
    <row r="38" spans="1:10" x14ac:dyDescent="0.3">
      <c r="A38" s="37">
        <v>42789</v>
      </c>
      <c r="B38" s="38" t="s">
        <v>47</v>
      </c>
      <c r="C38" s="38">
        <v>21</v>
      </c>
      <c r="D38" s="38">
        <v>29</v>
      </c>
      <c r="E38" s="38">
        <f t="shared" ref="E38:E108" si="1">IF(((C38="")*AND(D38="")),"",D38-C38)</f>
        <v>8</v>
      </c>
      <c r="F38" s="39" t="str">
        <f>IF(E38="","",IF(E38&lt;=20,"Pass","Fail"))</f>
        <v>Pass</v>
      </c>
      <c r="G38" s="42">
        <v>1400</v>
      </c>
      <c r="H38" s="67" t="s">
        <v>48</v>
      </c>
      <c r="I38" s="70">
        <v>20</v>
      </c>
      <c r="J38" s="93"/>
    </row>
    <row r="39" spans="1:10" x14ac:dyDescent="0.3">
      <c r="A39" s="37">
        <v>42789</v>
      </c>
      <c r="B39" s="38" t="s">
        <v>49</v>
      </c>
      <c r="C39" s="38">
        <v>33</v>
      </c>
      <c r="D39" s="38">
        <v>52</v>
      </c>
      <c r="E39" s="38">
        <f t="shared" si="1"/>
        <v>19</v>
      </c>
      <c r="F39" s="39" t="str">
        <f>IF(E39="","",IF(E39&lt;=30,"Pass","Fail"))</f>
        <v>Pass</v>
      </c>
      <c r="G39" s="42">
        <v>1400</v>
      </c>
      <c r="H39" s="67" t="s">
        <v>48</v>
      </c>
      <c r="I39" s="70">
        <v>30</v>
      </c>
      <c r="J39" s="93"/>
    </row>
    <row r="40" spans="1:10" x14ac:dyDescent="0.3">
      <c r="A40" s="37">
        <v>42793</v>
      </c>
      <c r="B40" s="38" t="s">
        <v>47</v>
      </c>
      <c r="C40" s="38">
        <v>40</v>
      </c>
      <c r="D40" s="38">
        <v>47</v>
      </c>
      <c r="E40" s="38">
        <f t="shared" si="1"/>
        <v>7</v>
      </c>
      <c r="F40" s="39" t="str">
        <f>IF(E40="","",IF(E40&lt;=20,"Pass","Fail"))</f>
        <v>Pass</v>
      </c>
      <c r="G40" s="42">
        <v>1400</v>
      </c>
      <c r="H40" s="67" t="s">
        <v>48</v>
      </c>
      <c r="I40" s="70">
        <v>20</v>
      </c>
      <c r="J40" s="93"/>
    </row>
    <row r="41" spans="1:10" x14ac:dyDescent="0.3">
      <c r="A41" s="37">
        <v>42793</v>
      </c>
      <c r="B41" s="38" t="s">
        <v>49</v>
      </c>
      <c r="C41" s="38">
        <v>18</v>
      </c>
      <c r="D41" s="38">
        <v>35</v>
      </c>
      <c r="E41" s="38">
        <f t="shared" si="1"/>
        <v>17</v>
      </c>
      <c r="F41" s="39" t="str">
        <f>IF(E41="","",IF(E41&lt;=30,"Pass","Fail"))</f>
        <v>Pass</v>
      </c>
      <c r="G41" s="42">
        <v>1400</v>
      </c>
      <c r="H41" s="67" t="s">
        <v>48</v>
      </c>
      <c r="I41" s="70">
        <v>30</v>
      </c>
      <c r="J41" s="93"/>
    </row>
    <row r="42" spans="1:10" x14ac:dyDescent="0.3">
      <c r="A42" s="37">
        <v>42796</v>
      </c>
      <c r="B42" s="38" t="s">
        <v>47</v>
      </c>
      <c r="C42" s="38">
        <v>28</v>
      </c>
      <c r="D42" s="38">
        <v>47</v>
      </c>
      <c r="E42" s="38">
        <f>IF(((C42="")*AND(D42="")),"",D42-C42)</f>
        <v>19</v>
      </c>
      <c r="F42" s="39" t="str">
        <f>IF(E42="","",IF(E42&lt;=20,"Pass","Fail"))</f>
        <v>Pass</v>
      </c>
      <c r="G42" s="42">
        <v>1428</v>
      </c>
      <c r="H42" s="67" t="s">
        <v>48</v>
      </c>
      <c r="I42" s="70">
        <v>20</v>
      </c>
      <c r="J42" s="93"/>
    </row>
    <row r="43" spans="1:10" x14ac:dyDescent="0.3">
      <c r="A43" s="37">
        <v>42796</v>
      </c>
      <c r="B43" s="38" t="s">
        <v>49</v>
      </c>
      <c r="C43" s="38">
        <v>34</v>
      </c>
      <c r="D43" s="38">
        <v>62</v>
      </c>
      <c r="E43" s="38">
        <f>IF(((C43="")*AND(D43="")),"",D43-C43)</f>
        <v>28</v>
      </c>
      <c r="F43" s="39" t="str">
        <f>IF(E43="","",IF(E43&lt;=30,"Pass","Fail"))</f>
        <v>Pass</v>
      </c>
      <c r="G43" s="42">
        <v>1428</v>
      </c>
      <c r="H43" s="67" t="s">
        <v>48</v>
      </c>
      <c r="I43" s="70">
        <v>30</v>
      </c>
      <c r="J43" s="93"/>
    </row>
    <row r="44" spans="1:10" x14ac:dyDescent="0.3">
      <c r="A44" s="37">
        <v>42803</v>
      </c>
      <c r="B44" s="38" t="s">
        <v>47</v>
      </c>
      <c r="C44" s="38">
        <v>8</v>
      </c>
      <c r="D44" s="38">
        <v>27</v>
      </c>
      <c r="E44" s="38">
        <f t="shared" si="1"/>
        <v>19</v>
      </c>
      <c r="F44" s="39" t="str">
        <f>IF(E44="","",IF(E44&lt;=20,"Pass","Fail"))</f>
        <v>Pass</v>
      </c>
      <c r="G44" s="42">
        <v>1335</v>
      </c>
      <c r="H44" s="67" t="s">
        <v>48</v>
      </c>
      <c r="I44" s="70">
        <v>20</v>
      </c>
      <c r="J44" s="93"/>
    </row>
    <row r="45" spans="1:10" ht="12.75" customHeight="1" x14ac:dyDescent="0.3">
      <c r="A45" s="37">
        <v>42803</v>
      </c>
      <c r="B45" s="38" t="s">
        <v>49</v>
      </c>
      <c r="C45" s="38">
        <v>2</v>
      </c>
      <c r="D45" s="38">
        <v>13</v>
      </c>
      <c r="E45" s="38">
        <f t="shared" si="1"/>
        <v>11</v>
      </c>
      <c r="F45" s="39" t="str">
        <f>IF(E45="","",IF(E45&lt;=30,"Pass","Fail"))</f>
        <v>Pass</v>
      </c>
      <c r="G45" s="42">
        <v>1335</v>
      </c>
      <c r="H45" s="67" t="s">
        <v>48</v>
      </c>
      <c r="I45" s="70">
        <v>30</v>
      </c>
      <c r="J45" s="93"/>
    </row>
    <row r="46" spans="1:10" ht="12.75" customHeight="1" x14ac:dyDescent="0.3">
      <c r="A46" s="37">
        <v>42808</v>
      </c>
      <c r="B46" s="38" t="s">
        <v>47</v>
      </c>
      <c r="C46" s="38">
        <v>35</v>
      </c>
      <c r="D46" s="38">
        <v>41</v>
      </c>
      <c r="E46" s="38">
        <f t="shared" si="1"/>
        <v>6</v>
      </c>
      <c r="F46" s="39" t="str">
        <f>IF(E46="","",IF(E46&lt;=20,"Pass","Fail"))</f>
        <v>Pass</v>
      </c>
      <c r="G46" s="42">
        <v>1400</v>
      </c>
      <c r="H46" s="67" t="s">
        <v>48</v>
      </c>
      <c r="I46" s="70">
        <v>20</v>
      </c>
      <c r="J46" s="93"/>
    </row>
    <row r="47" spans="1:10" x14ac:dyDescent="0.3">
      <c r="A47" s="37">
        <v>42808</v>
      </c>
      <c r="B47" s="38" t="s">
        <v>49</v>
      </c>
      <c r="C47" s="38">
        <v>15</v>
      </c>
      <c r="D47" s="38">
        <v>28</v>
      </c>
      <c r="E47" s="38">
        <f t="shared" si="1"/>
        <v>13</v>
      </c>
      <c r="F47" s="39" t="str">
        <f>IF(E47="","",IF(E47&lt;=30,"Pass","Fail"))</f>
        <v>Pass</v>
      </c>
      <c r="G47" s="42">
        <v>1400</v>
      </c>
      <c r="H47" s="67" t="s">
        <v>48</v>
      </c>
      <c r="I47" s="70">
        <v>30</v>
      </c>
      <c r="J47" s="93"/>
    </row>
    <row r="48" spans="1:10" x14ac:dyDescent="0.3">
      <c r="A48" s="37">
        <v>42811</v>
      </c>
      <c r="B48" s="38" t="s">
        <v>47</v>
      </c>
      <c r="C48" s="38">
        <v>44</v>
      </c>
      <c r="D48" s="38">
        <v>51</v>
      </c>
      <c r="E48" s="38">
        <f>IF(((C48="")*AND(D48="")),"",D48-C48)</f>
        <v>7</v>
      </c>
      <c r="F48" s="39" t="str">
        <f>IF(E48="","",IF(E48&lt;=20,"Pass","Fail"))</f>
        <v>Pass</v>
      </c>
      <c r="G48" s="42">
        <v>1400</v>
      </c>
      <c r="H48" s="67" t="s">
        <v>48</v>
      </c>
      <c r="I48" s="70">
        <v>20</v>
      </c>
      <c r="J48" s="93"/>
    </row>
    <row r="49" spans="1:10" x14ac:dyDescent="0.3">
      <c r="A49" s="37">
        <v>42811</v>
      </c>
      <c r="B49" s="38" t="s">
        <v>49</v>
      </c>
      <c r="C49" s="38">
        <v>17</v>
      </c>
      <c r="D49" s="38">
        <v>22</v>
      </c>
      <c r="E49" s="38">
        <f>IF(((C49="")*AND(D49="")),"",D49-C49)</f>
        <v>5</v>
      </c>
      <c r="F49" s="39" t="str">
        <f>IF(E49="","",IF(E49&lt;=30,"Pass","Fail"))</f>
        <v>Pass</v>
      </c>
      <c r="G49" s="42">
        <v>1400</v>
      </c>
      <c r="H49" s="67" t="s">
        <v>48</v>
      </c>
      <c r="I49" s="70">
        <v>30</v>
      </c>
      <c r="J49" s="93"/>
    </row>
    <row r="50" spans="1:10" x14ac:dyDescent="0.3">
      <c r="A50" s="37">
        <v>42814</v>
      </c>
      <c r="B50" s="38" t="s">
        <v>47</v>
      </c>
      <c r="C50" s="38">
        <v>42</v>
      </c>
      <c r="D50" s="38">
        <v>57</v>
      </c>
      <c r="E50" s="38">
        <f t="shared" si="1"/>
        <v>15</v>
      </c>
      <c r="F50" s="39" t="str">
        <f>IF(E50="","",IF(E50&lt;=20,"Pass","Fail"))</f>
        <v>Pass</v>
      </c>
      <c r="G50" s="42">
        <v>1428</v>
      </c>
      <c r="H50" s="67" t="s">
        <v>48</v>
      </c>
      <c r="I50" s="70">
        <v>20</v>
      </c>
      <c r="J50" s="93"/>
    </row>
    <row r="51" spans="1:10" x14ac:dyDescent="0.3">
      <c r="A51" s="37">
        <v>42814</v>
      </c>
      <c r="B51" s="38" t="s">
        <v>49</v>
      </c>
      <c r="C51" s="38">
        <v>62</v>
      </c>
      <c r="D51" s="38">
        <v>79</v>
      </c>
      <c r="E51" s="38">
        <f t="shared" si="1"/>
        <v>17</v>
      </c>
      <c r="F51" s="39" t="str">
        <f>IF(E51="","",IF(E51&lt;=30,"Pass","Fail"))</f>
        <v>Pass</v>
      </c>
      <c r="G51" s="42">
        <v>1428</v>
      </c>
      <c r="H51" s="67" t="s">
        <v>48</v>
      </c>
      <c r="I51" s="70">
        <v>30</v>
      </c>
      <c r="J51" s="93"/>
    </row>
    <row r="52" spans="1:10" x14ac:dyDescent="0.3">
      <c r="A52" s="37">
        <v>42817</v>
      </c>
      <c r="B52" s="38" t="s">
        <v>47</v>
      </c>
      <c r="C52" s="38">
        <v>17</v>
      </c>
      <c r="D52" s="38">
        <v>20</v>
      </c>
      <c r="E52" s="38">
        <f t="shared" si="1"/>
        <v>3</v>
      </c>
      <c r="F52" s="39" t="str">
        <f>IF(E52="","",IF(E52&lt;=20,"Pass","Fail"))</f>
        <v>Pass</v>
      </c>
      <c r="G52" s="42">
        <v>1428</v>
      </c>
      <c r="H52" s="67" t="s">
        <v>48</v>
      </c>
      <c r="I52" s="70">
        <v>20</v>
      </c>
      <c r="J52" s="93"/>
    </row>
    <row r="53" spans="1:10" x14ac:dyDescent="0.3">
      <c r="A53" s="37">
        <v>42817</v>
      </c>
      <c r="B53" s="38" t="s">
        <v>49</v>
      </c>
      <c r="C53" s="38">
        <v>22</v>
      </c>
      <c r="D53" s="38">
        <v>37</v>
      </c>
      <c r="E53" s="38">
        <f t="shared" si="1"/>
        <v>15</v>
      </c>
      <c r="F53" s="39" t="str">
        <f>IF(E53="","",IF(E53&lt;=30,"Pass","Fail"))</f>
        <v>Pass</v>
      </c>
      <c r="G53" s="42">
        <v>1428</v>
      </c>
      <c r="H53" s="67" t="s">
        <v>48</v>
      </c>
      <c r="I53" s="70">
        <v>30</v>
      </c>
      <c r="J53" s="93"/>
    </row>
    <row r="54" spans="1:10" x14ac:dyDescent="0.3">
      <c r="A54" s="37">
        <v>42821</v>
      </c>
      <c r="B54" s="38" t="s">
        <v>47</v>
      </c>
      <c r="C54" s="38">
        <v>11</v>
      </c>
      <c r="D54" s="38">
        <v>12</v>
      </c>
      <c r="E54" s="38">
        <f t="shared" si="1"/>
        <v>1</v>
      </c>
      <c r="F54" s="39" t="str">
        <f>IF(E54="","",IF(E54&lt;=20,"Pass","Fail"))</f>
        <v>Pass</v>
      </c>
      <c r="G54" s="42">
        <v>1335</v>
      </c>
      <c r="H54" s="67" t="s">
        <v>48</v>
      </c>
      <c r="I54" s="70">
        <v>20</v>
      </c>
      <c r="J54" s="93"/>
    </row>
    <row r="55" spans="1:10" x14ac:dyDescent="0.3">
      <c r="A55" s="37">
        <v>42821</v>
      </c>
      <c r="B55" s="38" t="s">
        <v>49</v>
      </c>
      <c r="C55" s="38">
        <v>16</v>
      </c>
      <c r="D55" s="38">
        <v>24</v>
      </c>
      <c r="E55" s="38">
        <f t="shared" si="1"/>
        <v>8</v>
      </c>
      <c r="F55" s="39" t="str">
        <f>IF(E55="","",IF(E55&lt;=30,"Pass","Fail"))</f>
        <v>Pass</v>
      </c>
      <c r="G55" s="42">
        <v>1335</v>
      </c>
      <c r="H55" s="67" t="s">
        <v>48</v>
      </c>
      <c r="I55" s="70">
        <v>30</v>
      </c>
      <c r="J55" s="93"/>
    </row>
    <row r="56" spans="1:10" x14ac:dyDescent="0.3">
      <c r="A56" s="37">
        <v>42825</v>
      </c>
      <c r="B56" s="38" t="s">
        <v>47</v>
      </c>
      <c r="C56" s="38">
        <v>13</v>
      </c>
      <c r="D56" s="38">
        <v>25</v>
      </c>
      <c r="E56" s="38">
        <f t="shared" si="1"/>
        <v>12</v>
      </c>
      <c r="F56" s="39" t="str">
        <f>IF(E56="","",IF(E56&lt;=20,"Pass","Fail"))</f>
        <v>Pass</v>
      </c>
      <c r="G56" s="42">
        <v>1159</v>
      </c>
      <c r="H56" s="67" t="s">
        <v>50</v>
      </c>
      <c r="I56" s="70">
        <v>20</v>
      </c>
      <c r="J56" s="93"/>
    </row>
    <row r="57" spans="1:10" x14ac:dyDescent="0.3">
      <c r="A57" s="37">
        <v>42825</v>
      </c>
      <c r="B57" s="38" t="s">
        <v>49</v>
      </c>
      <c r="C57" s="38">
        <v>3</v>
      </c>
      <c r="D57" s="38">
        <v>54</v>
      </c>
      <c r="E57" s="38">
        <f t="shared" si="1"/>
        <v>51</v>
      </c>
      <c r="F57" s="39" t="str">
        <f>IF(E57="","",IF(E57&lt;=30,"Pass","Fail"))</f>
        <v>Fail</v>
      </c>
      <c r="G57" s="42">
        <v>1159</v>
      </c>
      <c r="H57" s="67" t="s">
        <v>50</v>
      </c>
      <c r="I57" s="70">
        <v>30</v>
      </c>
      <c r="J57" s="93"/>
    </row>
    <row r="58" spans="1:10" x14ac:dyDescent="0.3">
      <c r="A58" s="37">
        <v>42825</v>
      </c>
      <c r="B58" s="38" t="s">
        <v>49</v>
      </c>
      <c r="C58" s="38">
        <v>25</v>
      </c>
      <c r="D58" s="38">
        <v>34</v>
      </c>
      <c r="E58" s="38">
        <f t="shared" si="1"/>
        <v>9</v>
      </c>
      <c r="F58" s="39" t="str">
        <f>IF(E58="","",IF(E58&lt;=30,"Pass","Fail"))</f>
        <v>Pass</v>
      </c>
      <c r="G58" s="42">
        <v>1159</v>
      </c>
      <c r="H58" s="67" t="s">
        <v>50</v>
      </c>
      <c r="I58" s="70">
        <v>30</v>
      </c>
      <c r="J58" s="93"/>
    </row>
    <row r="59" spans="1:10" x14ac:dyDescent="0.3">
      <c r="A59" s="37">
        <v>42831</v>
      </c>
      <c r="B59" s="38" t="s">
        <v>49</v>
      </c>
      <c r="C59" s="38">
        <v>4</v>
      </c>
      <c r="D59" s="38">
        <v>33</v>
      </c>
      <c r="E59" s="38">
        <f t="shared" si="1"/>
        <v>29</v>
      </c>
      <c r="F59" s="39" t="str">
        <f>IF(E59="","",IF(E59&lt;=30,"Pass","Fail"))</f>
        <v>Pass</v>
      </c>
      <c r="G59" s="42">
        <v>1428</v>
      </c>
      <c r="H59" s="67" t="s">
        <v>51</v>
      </c>
      <c r="I59" s="70">
        <v>30</v>
      </c>
      <c r="J59" s="93"/>
    </row>
    <row r="60" spans="1:10" x14ac:dyDescent="0.3">
      <c r="A60" s="37">
        <v>42831</v>
      </c>
      <c r="B60" s="38" t="s">
        <v>47</v>
      </c>
      <c r="C60" s="38">
        <v>7</v>
      </c>
      <c r="D60" s="38">
        <v>26</v>
      </c>
      <c r="E60" s="38">
        <f t="shared" si="1"/>
        <v>19</v>
      </c>
      <c r="F60" s="39" t="str">
        <f>IF(E60="","",IF(E60&lt;=20,"Pass","Fail"))</f>
        <v>Pass</v>
      </c>
      <c r="G60" s="42">
        <v>1428</v>
      </c>
      <c r="H60" s="67" t="s">
        <v>51</v>
      </c>
      <c r="I60" s="70">
        <v>20</v>
      </c>
      <c r="J60" s="93"/>
    </row>
    <row r="61" spans="1:10" x14ac:dyDescent="0.3">
      <c r="A61" s="37">
        <v>42835</v>
      </c>
      <c r="B61" s="38" t="s">
        <v>47</v>
      </c>
      <c r="C61" s="38">
        <v>22</v>
      </c>
      <c r="D61" s="38">
        <v>31</v>
      </c>
      <c r="E61" s="38">
        <f t="shared" si="1"/>
        <v>9</v>
      </c>
      <c r="F61" s="39" t="str">
        <f>IF(E61="","",IF(E61&lt;=20,"Pass","Fail"))</f>
        <v>Pass</v>
      </c>
      <c r="G61" s="42">
        <v>1400</v>
      </c>
      <c r="H61" s="67" t="s">
        <v>51</v>
      </c>
      <c r="I61" s="70">
        <v>20</v>
      </c>
      <c r="J61" s="93"/>
    </row>
    <row r="62" spans="1:10" x14ac:dyDescent="0.3">
      <c r="A62" s="37">
        <v>42835</v>
      </c>
      <c r="B62" s="38" t="s">
        <v>49</v>
      </c>
      <c r="C62" s="38">
        <v>26</v>
      </c>
      <c r="D62" s="38">
        <v>43</v>
      </c>
      <c r="E62" s="38">
        <f t="shared" si="1"/>
        <v>17</v>
      </c>
      <c r="F62" s="39" t="str">
        <f>IF(E62="","",IF(E62&lt;=30,"Pass","Fail"))</f>
        <v>Pass</v>
      </c>
      <c r="G62" s="42">
        <v>1400</v>
      </c>
      <c r="H62" s="67" t="s">
        <v>51</v>
      </c>
      <c r="I62" s="70">
        <v>30</v>
      </c>
      <c r="J62" s="93"/>
    </row>
    <row r="63" spans="1:10" x14ac:dyDescent="0.3">
      <c r="A63" s="37">
        <v>42838</v>
      </c>
      <c r="B63" s="38" t="s">
        <v>47</v>
      </c>
      <c r="C63" s="38">
        <v>23</v>
      </c>
      <c r="D63" s="38">
        <v>35</v>
      </c>
      <c r="E63" s="38">
        <f>IF(((C63="")*AND(D63="")),"",D63-C63)</f>
        <v>12</v>
      </c>
      <c r="F63" s="39" t="str">
        <f>IF(E63="","",IF(E63&lt;=20,"Pass","Fail"))</f>
        <v>Pass</v>
      </c>
      <c r="G63" s="42">
        <v>1400</v>
      </c>
      <c r="H63" s="67" t="s">
        <v>51</v>
      </c>
      <c r="I63" s="70">
        <v>20</v>
      </c>
      <c r="J63" s="93"/>
    </row>
    <row r="64" spans="1:10" x14ac:dyDescent="0.3">
      <c r="A64" s="37">
        <v>42838</v>
      </c>
      <c r="B64" s="38" t="s">
        <v>49</v>
      </c>
      <c r="C64" s="38">
        <v>29</v>
      </c>
      <c r="D64" s="38">
        <v>46</v>
      </c>
      <c r="E64" s="38">
        <f>IF(((C64="")*AND(D64="")),"",D64-C64)</f>
        <v>17</v>
      </c>
      <c r="F64" s="39" t="str">
        <f>IF(E64="","",IF(E64&lt;=30,"Pass","Fail"))</f>
        <v>Pass</v>
      </c>
      <c r="G64" s="42">
        <v>1428</v>
      </c>
      <c r="H64" s="67" t="s">
        <v>51</v>
      </c>
      <c r="I64" s="70">
        <v>30</v>
      </c>
      <c r="J64" s="93"/>
    </row>
    <row r="65" spans="1:10" x14ac:dyDescent="0.3">
      <c r="A65" s="37">
        <v>42842</v>
      </c>
      <c r="B65" s="38" t="s">
        <v>47</v>
      </c>
      <c r="C65" s="38">
        <v>36</v>
      </c>
      <c r="D65" s="38">
        <v>35</v>
      </c>
      <c r="E65" s="38">
        <f t="shared" si="1"/>
        <v>-1</v>
      </c>
      <c r="F65" s="39" t="str">
        <f>IF(E65="","",IF(E65&lt;=20,"Pass","Fail"))</f>
        <v>Pass</v>
      </c>
      <c r="G65" s="42">
        <v>1335</v>
      </c>
      <c r="H65" s="67" t="s">
        <v>51</v>
      </c>
      <c r="I65" s="70">
        <v>20</v>
      </c>
      <c r="J65" s="93"/>
    </row>
    <row r="66" spans="1:10" x14ac:dyDescent="0.3">
      <c r="A66" s="37">
        <v>42842</v>
      </c>
      <c r="B66" s="38" t="s">
        <v>49</v>
      </c>
      <c r="C66" s="38">
        <v>11</v>
      </c>
      <c r="D66" s="38">
        <v>84</v>
      </c>
      <c r="E66" s="38">
        <f t="shared" si="1"/>
        <v>73</v>
      </c>
      <c r="F66" s="39" t="str">
        <f>IF(E66="","",IF(E66&lt;=30,"Pass","Fail"))</f>
        <v>Fail</v>
      </c>
      <c r="G66" s="42">
        <v>1335</v>
      </c>
      <c r="H66" s="67" t="s">
        <v>51</v>
      </c>
      <c r="I66" s="70">
        <v>30</v>
      </c>
      <c r="J66" s="93"/>
    </row>
    <row r="67" spans="1:10" x14ac:dyDescent="0.3">
      <c r="A67" s="37">
        <v>42842</v>
      </c>
      <c r="B67" s="38" t="s">
        <v>49</v>
      </c>
      <c r="C67" s="38">
        <v>15</v>
      </c>
      <c r="D67" s="38">
        <v>37</v>
      </c>
      <c r="E67" s="38">
        <f t="shared" si="1"/>
        <v>22</v>
      </c>
      <c r="F67" s="39" t="str">
        <f>IF(E67="","",IF(E67&lt;=30,"Pass","Fail"))</f>
        <v>Pass</v>
      </c>
      <c r="G67" s="42">
        <v>1335</v>
      </c>
      <c r="H67" s="67" t="s">
        <v>51</v>
      </c>
      <c r="I67" s="70">
        <v>30</v>
      </c>
      <c r="J67" s="93"/>
    </row>
    <row r="68" spans="1:10" x14ac:dyDescent="0.3">
      <c r="A68" s="37">
        <v>42845</v>
      </c>
      <c r="B68" s="38" t="s">
        <v>47</v>
      </c>
      <c r="C68" s="38">
        <v>23</v>
      </c>
      <c r="D68" s="38">
        <v>25</v>
      </c>
      <c r="E68" s="38">
        <f t="shared" si="1"/>
        <v>2</v>
      </c>
      <c r="F68" s="39" t="str">
        <f>IF(E68="","",IF(E68&lt;=20,"Pass","Fail"))</f>
        <v>Pass</v>
      </c>
      <c r="G68" s="42">
        <v>1159</v>
      </c>
      <c r="H68" s="67" t="s">
        <v>51</v>
      </c>
      <c r="I68" s="70">
        <v>20</v>
      </c>
      <c r="J68" s="93"/>
    </row>
    <row r="69" spans="1:10" x14ac:dyDescent="0.3">
      <c r="A69" s="37">
        <v>42845</v>
      </c>
      <c r="B69" s="38" t="s">
        <v>49</v>
      </c>
      <c r="C69" s="38">
        <v>16</v>
      </c>
      <c r="D69" s="38">
        <v>17</v>
      </c>
      <c r="E69" s="38">
        <f t="shared" si="1"/>
        <v>1</v>
      </c>
      <c r="F69" s="39" t="str">
        <f>IF(E69="","",IF(E69&lt;=30,"Pass","Fail"))</f>
        <v>Pass</v>
      </c>
      <c r="G69" s="42">
        <v>1159</v>
      </c>
      <c r="H69" s="67" t="s">
        <v>51</v>
      </c>
      <c r="I69" s="70">
        <v>30</v>
      </c>
      <c r="J69" s="93"/>
    </row>
    <row r="70" spans="1:10" x14ac:dyDescent="0.3">
      <c r="A70" s="37">
        <v>42850</v>
      </c>
      <c r="B70" s="38" t="s">
        <v>47</v>
      </c>
      <c r="C70" s="38">
        <v>20</v>
      </c>
      <c r="D70" s="38">
        <v>40</v>
      </c>
      <c r="E70" s="38">
        <f>IF(((C70="")*AND(D70="")),"",D70-C70)</f>
        <v>20</v>
      </c>
      <c r="F70" s="39" t="str">
        <f>IF(E70="","",IF(E70&lt;=20,"Pass","Fail"))</f>
        <v>Pass</v>
      </c>
      <c r="G70" s="42">
        <v>102</v>
      </c>
      <c r="H70" s="67" t="s">
        <v>51</v>
      </c>
      <c r="I70" s="70">
        <v>20</v>
      </c>
      <c r="J70" s="93"/>
    </row>
    <row r="71" spans="1:10" x14ac:dyDescent="0.3">
      <c r="A71" s="37">
        <v>42850</v>
      </c>
      <c r="B71" s="38" t="s">
        <v>49</v>
      </c>
      <c r="C71" s="38">
        <v>25</v>
      </c>
      <c r="D71" s="38">
        <v>49</v>
      </c>
      <c r="E71" s="38">
        <f>IF(((C71="")*AND(D71="")),"",D71-C71)</f>
        <v>24</v>
      </c>
      <c r="F71" s="39" t="str">
        <f>IF(E71="","",IF(E71&lt;=30,"Pass","Fail"))</f>
        <v>Pass</v>
      </c>
      <c r="G71" s="42">
        <v>102</v>
      </c>
      <c r="H71" s="67" t="s">
        <v>51</v>
      </c>
      <c r="I71" s="70">
        <v>30</v>
      </c>
      <c r="J71" s="93"/>
    </row>
    <row r="72" spans="1:10" x14ac:dyDescent="0.3">
      <c r="A72" s="37">
        <v>42856</v>
      </c>
      <c r="B72" s="38" t="s">
        <v>47</v>
      </c>
      <c r="C72" s="38">
        <v>18</v>
      </c>
      <c r="D72" s="38">
        <v>37</v>
      </c>
      <c r="E72" s="38">
        <f t="shared" si="1"/>
        <v>19</v>
      </c>
      <c r="F72" s="39" t="str">
        <f>IF(E72="","",IF(E72&lt;=20,"Pass","Fail"))</f>
        <v>Pass</v>
      </c>
      <c r="G72" s="42">
        <v>1335</v>
      </c>
      <c r="H72" s="67" t="s">
        <v>51</v>
      </c>
      <c r="I72" s="70">
        <v>20</v>
      </c>
      <c r="J72" s="93"/>
    </row>
    <row r="73" spans="1:10" ht="12.75" customHeight="1" x14ac:dyDescent="0.3">
      <c r="A73" s="37">
        <v>42856</v>
      </c>
      <c r="B73" s="38" t="s">
        <v>49</v>
      </c>
      <c r="C73" s="38">
        <v>21</v>
      </c>
      <c r="D73" s="38">
        <v>47</v>
      </c>
      <c r="E73" s="38">
        <f t="shared" si="1"/>
        <v>26</v>
      </c>
      <c r="F73" s="39" t="str">
        <f>IF(E73="","",IF(E73&lt;=30,"Pass","Fail"))</f>
        <v>Pass</v>
      </c>
      <c r="G73" s="42">
        <v>1335</v>
      </c>
      <c r="H73" s="67" t="s">
        <v>51</v>
      </c>
      <c r="I73" s="70">
        <v>30</v>
      </c>
      <c r="J73" s="93"/>
    </row>
    <row r="74" spans="1:10" ht="12.75" customHeight="1" x14ac:dyDescent="0.3">
      <c r="A74" s="37">
        <v>42859</v>
      </c>
      <c r="B74" s="38" t="s">
        <v>47</v>
      </c>
      <c r="C74" s="38">
        <v>28</v>
      </c>
      <c r="D74" s="38">
        <v>45</v>
      </c>
      <c r="E74" s="38">
        <f t="shared" si="1"/>
        <v>17</v>
      </c>
      <c r="F74" s="39" t="str">
        <f>IF(E74="","",IF(E74&lt;=20,"Pass","Fail"))</f>
        <v>Pass</v>
      </c>
      <c r="G74" s="42">
        <v>1335</v>
      </c>
      <c r="H74" s="67" t="s">
        <v>51</v>
      </c>
      <c r="I74" s="70">
        <v>20</v>
      </c>
      <c r="J74" s="93"/>
    </row>
    <row r="75" spans="1:10" ht="12.75" customHeight="1" x14ac:dyDescent="0.3">
      <c r="A75" s="37">
        <v>42859</v>
      </c>
      <c r="B75" s="38" t="s">
        <v>49</v>
      </c>
      <c r="C75" s="38">
        <v>29</v>
      </c>
      <c r="D75" s="38">
        <v>42</v>
      </c>
      <c r="E75" s="38">
        <f t="shared" si="1"/>
        <v>13</v>
      </c>
      <c r="F75" s="39" t="str">
        <f>IF(E75="","",IF(E75&lt;=30,"Pass","Fail"))</f>
        <v>Pass</v>
      </c>
      <c r="G75" s="42">
        <v>1335</v>
      </c>
      <c r="H75" s="67" t="s">
        <v>51</v>
      </c>
      <c r="I75" s="70">
        <v>30</v>
      </c>
      <c r="J75" s="93"/>
    </row>
    <row r="76" spans="1:10" ht="12.75" customHeight="1" x14ac:dyDescent="0.3">
      <c r="A76" s="37">
        <v>42862</v>
      </c>
      <c r="B76" s="38" t="s">
        <v>47</v>
      </c>
      <c r="C76" s="38">
        <v>14</v>
      </c>
      <c r="D76" s="38">
        <v>25</v>
      </c>
      <c r="E76" s="38">
        <f t="shared" si="1"/>
        <v>11</v>
      </c>
      <c r="F76" s="39" t="str">
        <f>IF(E76="","",IF(E76&lt;=20,"Pass","Fail"))</f>
        <v>Pass</v>
      </c>
      <c r="G76" s="42">
        <v>1428</v>
      </c>
      <c r="H76" s="67" t="s">
        <v>52</v>
      </c>
      <c r="I76" s="70">
        <v>20</v>
      </c>
      <c r="J76" s="93"/>
    </row>
    <row r="77" spans="1:10" ht="12.75" customHeight="1" x14ac:dyDescent="0.3">
      <c r="A77" s="37">
        <v>42862</v>
      </c>
      <c r="B77" s="38" t="s">
        <v>49</v>
      </c>
      <c r="C77" s="38">
        <v>9</v>
      </c>
      <c r="D77" s="38">
        <v>18</v>
      </c>
      <c r="E77" s="38">
        <f t="shared" si="1"/>
        <v>9</v>
      </c>
      <c r="F77" s="39" t="str">
        <f>IF(E77="","",IF(E77&lt;=30,"Pass","Fail"))</f>
        <v>Pass</v>
      </c>
      <c r="G77" s="42">
        <v>1428</v>
      </c>
      <c r="H77" s="67" t="s">
        <v>52</v>
      </c>
      <c r="I77" s="70">
        <v>30</v>
      </c>
      <c r="J77" s="93"/>
    </row>
    <row r="78" spans="1:10" ht="12.75" customHeight="1" x14ac:dyDescent="0.3">
      <c r="A78" s="37">
        <v>42866</v>
      </c>
      <c r="B78" s="38" t="s">
        <v>47</v>
      </c>
      <c r="C78" s="38">
        <v>16</v>
      </c>
      <c r="D78" s="38">
        <v>21</v>
      </c>
      <c r="E78" s="38">
        <f t="shared" si="1"/>
        <v>5</v>
      </c>
      <c r="F78" s="39" t="str">
        <f>IF(E78="","",IF(E78&lt;=20,"Pass","Fail"))</f>
        <v>Pass</v>
      </c>
      <c r="G78" s="42">
        <v>1428</v>
      </c>
      <c r="H78" s="67" t="s">
        <v>52</v>
      </c>
      <c r="I78" s="70">
        <v>20</v>
      </c>
      <c r="J78" s="93"/>
    </row>
    <row r="79" spans="1:10" ht="12.75" customHeight="1" x14ac:dyDescent="0.3">
      <c r="A79" s="37">
        <v>42866</v>
      </c>
      <c r="B79" s="38" t="s">
        <v>49</v>
      </c>
      <c r="C79" s="38">
        <v>21</v>
      </c>
      <c r="D79" s="38">
        <v>35</v>
      </c>
      <c r="E79" s="38">
        <f t="shared" si="1"/>
        <v>14</v>
      </c>
      <c r="F79" s="39" t="str">
        <f>IF(E79="","",IF(E79&lt;=30,"Pass","Fail"))</f>
        <v>Pass</v>
      </c>
      <c r="G79" s="42">
        <v>1428</v>
      </c>
      <c r="H79" s="67" t="s">
        <v>52</v>
      </c>
      <c r="I79" s="70">
        <v>30</v>
      </c>
      <c r="J79" s="93"/>
    </row>
    <row r="80" spans="1:10" ht="12.75" customHeight="1" x14ac:dyDescent="0.3">
      <c r="A80" s="37">
        <v>42870</v>
      </c>
      <c r="B80" s="38" t="s">
        <v>47</v>
      </c>
      <c r="C80" s="38">
        <v>84</v>
      </c>
      <c r="D80" s="38">
        <v>83</v>
      </c>
      <c r="E80" s="38">
        <f t="shared" si="1"/>
        <v>-1</v>
      </c>
      <c r="F80" s="39" t="str">
        <f>IF(E80="","",IF(E80&lt;=20,"Pass","Fail"))</f>
        <v>Pass</v>
      </c>
      <c r="G80" s="42">
        <v>1428</v>
      </c>
      <c r="H80" s="67" t="s">
        <v>53</v>
      </c>
      <c r="I80" s="70">
        <v>20</v>
      </c>
      <c r="J80" s="93"/>
    </row>
    <row r="81" spans="1:256" ht="12.75" customHeight="1" x14ac:dyDescent="0.3">
      <c r="A81" s="37">
        <v>42870</v>
      </c>
      <c r="B81" s="38" t="s">
        <v>49</v>
      </c>
      <c r="C81" s="38">
        <v>87</v>
      </c>
      <c r="D81" s="38">
        <v>97</v>
      </c>
      <c r="E81" s="38">
        <f t="shared" si="1"/>
        <v>10</v>
      </c>
      <c r="F81" s="39" t="str">
        <f>IF(E81="","",IF(E81&lt;=30,"Pass","Fail"))</f>
        <v>Pass</v>
      </c>
      <c r="G81" s="42">
        <v>1428</v>
      </c>
      <c r="H81" s="67" t="s">
        <v>53</v>
      </c>
      <c r="I81" s="70">
        <v>30</v>
      </c>
      <c r="J81" s="93"/>
    </row>
    <row r="82" spans="1:256" ht="12.75" customHeight="1" x14ac:dyDescent="0.3">
      <c r="A82" s="37">
        <v>42874</v>
      </c>
      <c r="B82" s="38" t="s">
        <v>47</v>
      </c>
      <c r="C82" s="38">
        <v>12</v>
      </c>
      <c r="D82" s="38">
        <v>12</v>
      </c>
      <c r="E82" s="38">
        <f>IF(((C82="")*AND(D82="")),"",D82-C82)</f>
        <v>0</v>
      </c>
      <c r="F82" s="39" t="str">
        <f>IF(E82="","",IF(E82&lt;=20,"Pass","Fail"))</f>
        <v>Pass</v>
      </c>
      <c r="G82" s="42">
        <v>1159</v>
      </c>
      <c r="H82" s="67" t="s">
        <v>54</v>
      </c>
      <c r="I82" s="70">
        <v>20</v>
      </c>
      <c r="J82" s="89"/>
      <c r="K82" s="72"/>
      <c r="L82" s="72"/>
      <c r="M82" s="72"/>
      <c r="N82" s="72"/>
      <c r="O82" s="72"/>
      <c r="P82" s="72"/>
      <c r="Q82" s="72"/>
      <c r="R82" s="72"/>
      <c r="S82" s="72"/>
      <c r="T82" s="72"/>
      <c r="U82" s="72"/>
      <c r="V82" s="72"/>
      <c r="W82" s="72"/>
      <c r="X82" s="72"/>
      <c r="Y82" s="72"/>
      <c r="Z82" s="72"/>
      <c r="AA82" s="72"/>
      <c r="AB82" s="72"/>
      <c r="AC82" s="72"/>
      <c r="AD82" s="72"/>
      <c r="AE82" s="72"/>
      <c r="AF82" s="72"/>
      <c r="AG82" s="72"/>
      <c r="AH82" s="72"/>
      <c r="AI82" s="72"/>
      <c r="AJ82" s="72"/>
      <c r="AK82" s="72"/>
      <c r="AL82" s="72"/>
      <c r="AM82" s="72"/>
      <c r="AN82" s="72"/>
      <c r="AO82" s="72"/>
      <c r="AP82" s="72"/>
      <c r="AQ82" s="72"/>
      <c r="AR82" s="72"/>
      <c r="AS82" s="72"/>
      <c r="AT82" s="72"/>
      <c r="AU82" s="72"/>
      <c r="AV82" s="72"/>
      <c r="AW82" s="72"/>
      <c r="AX82" s="72"/>
      <c r="AY82" s="72"/>
      <c r="AZ82" s="72"/>
      <c r="BA82" s="72"/>
      <c r="BB82" s="72"/>
      <c r="BC82" s="72"/>
      <c r="BD82" s="72"/>
      <c r="BE82" s="72"/>
      <c r="BF82" s="72"/>
      <c r="BG82" s="72"/>
      <c r="BH82" s="72"/>
      <c r="BI82" s="72"/>
      <c r="BJ82" s="72"/>
      <c r="BK82" s="72"/>
      <c r="BL82" s="72"/>
      <c r="BM82" s="72"/>
      <c r="BN82" s="72"/>
      <c r="BO82" s="72"/>
      <c r="BP82" s="72"/>
      <c r="BQ82" s="72"/>
      <c r="BR82" s="72"/>
      <c r="BS82" s="72"/>
      <c r="BT82" s="72"/>
      <c r="BU82" s="72"/>
      <c r="BV82" s="72"/>
      <c r="BW82" s="72"/>
      <c r="BX82" s="72"/>
      <c r="BY82" s="72"/>
      <c r="BZ82" s="72"/>
      <c r="CA82" s="72"/>
      <c r="CB82" s="72"/>
      <c r="CC82" s="72"/>
      <c r="CD82" s="72"/>
      <c r="CE82" s="72"/>
      <c r="CF82" s="72"/>
      <c r="CG82" s="72"/>
      <c r="CH82" s="72"/>
      <c r="CI82" s="72"/>
      <c r="CJ82" s="72"/>
      <c r="CK82" s="72"/>
      <c r="CL82" s="72"/>
      <c r="CM82" s="72"/>
      <c r="CN82" s="72"/>
      <c r="CO82" s="72"/>
      <c r="CP82" s="72"/>
      <c r="CQ82" s="72"/>
      <c r="CR82" s="72"/>
      <c r="CS82" s="72"/>
      <c r="CT82" s="72"/>
      <c r="CU82" s="72"/>
      <c r="CV82" s="72"/>
      <c r="CW82" s="72"/>
      <c r="CX82" s="72"/>
      <c r="CY82" s="72"/>
      <c r="CZ82" s="72"/>
      <c r="DA82" s="72"/>
      <c r="DB82" s="72"/>
      <c r="DC82" s="72"/>
      <c r="DD82" s="72"/>
      <c r="DE82" s="72"/>
      <c r="DF82" s="72"/>
      <c r="DG82" s="72"/>
      <c r="DH82" s="72"/>
      <c r="DI82" s="72"/>
      <c r="DJ82" s="72"/>
      <c r="DK82" s="72"/>
      <c r="DL82" s="72"/>
      <c r="DM82" s="72"/>
      <c r="DN82" s="72"/>
      <c r="DO82" s="72"/>
      <c r="DP82" s="72"/>
      <c r="DQ82" s="72"/>
      <c r="DR82" s="72"/>
      <c r="DS82" s="72"/>
      <c r="DT82" s="72"/>
      <c r="DU82" s="72"/>
      <c r="DV82" s="72"/>
      <c r="DW82" s="72"/>
      <c r="DX82" s="72"/>
      <c r="DY82" s="72"/>
      <c r="DZ82" s="72"/>
      <c r="EA82" s="72"/>
      <c r="EB82" s="72"/>
      <c r="EC82" s="72"/>
      <c r="ED82" s="72"/>
      <c r="EE82" s="72"/>
      <c r="EF82" s="72"/>
      <c r="EG82" s="72"/>
      <c r="EH82" s="72"/>
      <c r="EI82" s="72"/>
      <c r="EJ82" s="72"/>
      <c r="EK82" s="72"/>
      <c r="EL82" s="72"/>
      <c r="EM82" s="72"/>
      <c r="EN82" s="72"/>
      <c r="EO82" s="72"/>
      <c r="EP82" s="72"/>
      <c r="EQ82" s="72"/>
      <c r="ER82" s="72"/>
      <c r="ES82" s="72"/>
      <c r="ET82" s="72"/>
      <c r="EU82" s="72"/>
      <c r="EV82" s="72"/>
      <c r="EW82" s="72"/>
      <c r="EX82" s="72"/>
      <c r="EY82" s="72"/>
      <c r="EZ82" s="72"/>
      <c r="FA82" s="72"/>
      <c r="FB82" s="72"/>
      <c r="FC82" s="72"/>
      <c r="FD82" s="72"/>
      <c r="FE82" s="72"/>
      <c r="FF82" s="72"/>
      <c r="FG82" s="72"/>
      <c r="FH82" s="72"/>
      <c r="FI82" s="72"/>
      <c r="FJ82" s="72"/>
      <c r="FK82" s="72"/>
      <c r="FL82" s="72"/>
      <c r="FM82" s="72"/>
      <c r="FN82" s="72"/>
      <c r="FO82" s="72"/>
      <c r="FP82" s="72"/>
      <c r="FQ82" s="72"/>
      <c r="FR82" s="72"/>
      <c r="FS82" s="72"/>
      <c r="FT82" s="72"/>
      <c r="FU82" s="72"/>
      <c r="FV82" s="72"/>
      <c r="FW82" s="72"/>
      <c r="FX82" s="72"/>
      <c r="FY82" s="72"/>
      <c r="FZ82" s="72"/>
      <c r="GA82" s="72"/>
      <c r="GB82" s="72"/>
      <c r="GC82" s="72"/>
      <c r="GD82" s="72"/>
      <c r="GE82" s="72"/>
      <c r="GF82" s="72"/>
      <c r="GG82" s="72"/>
      <c r="GH82" s="72"/>
      <c r="GI82" s="72"/>
      <c r="GJ82" s="72"/>
      <c r="GK82" s="72"/>
      <c r="GL82" s="72"/>
      <c r="GM82" s="72"/>
      <c r="GN82" s="72"/>
      <c r="GO82" s="72"/>
      <c r="GP82" s="72"/>
      <c r="GQ82" s="72"/>
      <c r="GR82" s="72"/>
      <c r="GS82" s="72"/>
      <c r="GT82" s="72"/>
      <c r="GU82" s="72"/>
      <c r="GV82" s="72"/>
      <c r="GW82" s="72"/>
      <c r="GX82" s="72"/>
      <c r="GY82" s="72"/>
      <c r="GZ82" s="72"/>
      <c r="HA82" s="72"/>
      <c r="HB82" s="72"/>
      <c r="HC82" s="72"/>
      <c r="HD82" s="72"/>
      <c r="HE82" s="72"/>
      <c r="HF82" s="72"/>
      <c r="HG82" s="72"/>
      <c r="HH82" s="72"/>
      <c r="HI82" s="72"/>
      <c r="HJ82" s="72"/>
      <c r="HK82" s="72"/>
      <c r="HL82" s="72"/>
      <c r="HM82" s="72"/>
      <c r="HN82" s="72"/>
      <c r="HO82" s="72"/>
      <c r="HP82" s="72"/>
      <c r="HQ82" s="72"/>
      <c r="HR82" s="72"/>
      <c r="HS82" s="72"/>
      <c r="HT82" s="72"/>
      <c r="HU82" s="72"/>
      <c r="HV82" s="72"/>
      <c r="HW82" s="72"/>
      <c r="HX82" s="72"/>
      <c r="HY82" s="72"/>
      <c r="HZ82" s="72"/>
      <c r="IA82" s="72"/>
      <c r="IB82" s="72"/>
      <c r="IC82" s="72"/>
      <c r="ID82" s="72"/>
      <c r="IE82" s="72"/>
      <c r="IF82" s="72"/>
      <c r="IG82" s="72"/>
      <c r="IH82" s="72"/>
      <c r="II82" s="72"/>
      <c r="IJ82" s="72"/>
      <c r="IK82" s="72"/>
      <c r="IL82" s="72"/>
      <c r="IM82" s="72"/>
      <c r="IN82" s="72"/>
      <c r="IO82" s="72"/>
      <c r="IP82" s="72"/>
      <c r="IQ82" s="72"/>
      <c r="IR82" s="72"/>
      <c r="IS82" s="72"/>
      <c r="IT82" s="72"/>
      <c r="IU82" s="72"/>
      <c r="IV82" s="72"/>
    </row>
    <row r="83" spans="1:256" ht="12.75" customHeight="1" x14ac:dyDescent="0.3">
      <c r="A83" s="37">
        <v>42874</v>
      </c>
      <c r="B83" s="38" t="s">
        <v>49</v>
      </c>
      <c r="C83" s="38">
        <v>12</v>
      </c>
      <c r="D83" s="38">
        <v>19</v>
      </c>
      <c r="E83" s="38">
        <f>IF(((C83="")*AND(D83="")),"",D83-C83)</f>
        <v>7</v>
      </c>
      <c r="F83" s="39" t="str">
        <f>IF(E83="","",IF(E83&lt;=30,"Pass","Fail"))</f>
        <v>Pass</v>
      </c>
      <c r="G83" s="42">
        <v>1159</v>
      </c>
      <c r="H83" s="67" t="s">
        <v>54</v>
      </c>
      <c r="I83" s="70">
        <v>30</v>
      </c>
      <c r="J83" s="89"/>
      <c r="K83" s="72"/>
      <c r="L83" s="72"/>
      <c r="M83" s="72"/>
      <c r="N83" s="72"/>
      <c r="O83" s="72"/>
      <c r="P83" s="72"/>
      <c r="Q83" s="72"/>
      <c r="R83" s="72"/>
      <c r="S83" s="72"/>
      <c r="T83" s="72"/>
      <c r="U83" s="72"/>
      <c r="V83" s="72"/>
      <c r="W83" s="72"/>
      <c r="X83" s="72"/>
      <c r="Y83" s="72"/>
      <c r="Z83" s="72"/>
      <c r="AA83" s="72"/>
      <c r="AB83" s="72"/>
      <c r="AC83" s="72"/>
      <c r="AD83" s="72"/>
      <c r="AE83" s="72"/>
      <c r="AF83" s="72"/>
      <c r="AG83" s="72"/>
      <c r="AH83" s="72"/>
      <c r="AI83" s="72"/>
      <c r="AJ83" s="72"/>
      <c r="AK83" s="72"/>
      <c r="AL83" s="72"/>
      <c r="AM83" s="72"/>
      <c r="AN83" s="72"/>
      <c r="AO83" s="72"/>
      <c r="AP83" s="72"/>
      <c r="AQ83" s="72"/>
      <c r="AR83" s="72"/>
      <c r="AS83" s="72"/>
      <c r="AT83" s="72"/>
      <c r="AU83" s="72"/>
      <c r="AV83" s="72"/>
      <c r="AW83" s="72"/>
      <c r="AX83" s="72"/>
      <c r="AY83" s="72"/>
      <c r="AZ83" s="72"/>
      <c r="BA83" s="72"/>
      <c r="BB83" s="72"/>
      <c r="BC83" s="72"/>
      <c r="BD83" s="72"/>
      <c r="BE83" s="72"/>
      <c r="BF83" s="72"/>
      <c r="BG83" s="72"/>
      <c r="BH83" s="72"/>
      <c r="BI83" s="72"/>
      <c r="BJ83" s="72"/>
      <c r="BK83" s="72"/>
      <c r="BL83" s="72"/>
      <c r="BM83" s="72"/>
      <c r="BN83" s="72"/>
      <c r="BO83" s="72"/>
      <c r="BP83" s="72"/>
      <c r="BQ83" s="72"/>
      <c r="BR83" s="72"/>
      <c r="BS83" s="72"/>
      <c r="BT83" s="72"/>
      <c r="BU83" s="72"/>
      <c r="BV83" s="72"/>
      <c r="BW83" s="72"/>
      <c r="BX83" s="72"/>
      <c r="BY83" s="72"/>
      <c r="BZ83" s="72"/>
      <c r="CA83" s="72"/>
      <c r="CB83" s="72"/>
      <c r="CC83" s="72"/>
      <c r="CD83" s="72"/>
      <c r="CE83" s="72"/>
      <c r="CF83" s="72"/>
      <c r="CG83" s="72"/>
      <c r="CH83" s="72"/>
      <c r="CI83" s="72"/>
      <c r="CJ83" s="72"/>
      <c r="CK83" s="72"/>
      <c r="CL83" s="72"/>
      <c r="CM83" s="72"/>
      <c r="CN83" s="72"/>
      <c r="CO83" s="72"/>
      <c r="CP83" s="72"/>
      <c r="CQ83" s="72"/>
      <c r="CR83" s="72"/>
      <c r="CS83" s="72"/>
      <c r="CT83" s="72"/>
      <c r="CU83" s="72"/>
      <c r="CV83" s="72"/>
      <c r="CW83" s="72"/>
      <c r="CX83" s="72"/>
      <c r="CY83" s="72"/>
      <c r="CZ83" s="72"/>
      <c r="DA83" s="72"/>
      <c r="DB83" s="72"/>
      <c r="DC83" s="72"/>
      <c r="DD83" s="72"/>
      <c r="DE83" s="72"/>
      <c r="DF83" s="72"/>
      <c r="DG83" s="72"/>
      <c r="DH83" s="72"/>
      <c r="DI83" s="72"/>
      <c r="DJ83" s="72"/>
      <c r="DK83" s="72"/>
      <c r="DL83" s="72"/>
      <c r="DM83" s="72"/>
      <c r="DN83" s="72"/>
      <c r="DO83" s="72"/>
      <c r="DP83" s="72"/>
      <c r="DQ83" s="72"/>
      <c r="DR83" s="72"/>
      <c r="DS83" s="72"/>
      <c r="DT83" s="72"/>
      <c r="DU83" s="72"/>
      <c r="DV83" s="72"/>
      <c r="DW83" s="72"/>
      <c r="DX83" s="72"/>
      <c r="DY83" s="72"/>
      <c r="DZ83" s="72"/>
      <c r="EA83" s="72"/>
      <c r="EB83" s="72"/>
      <c r="EC83" s="72"/>
      <c r="ED83" s="72"/>
      <c r="EE83" s="72"/>
      <c r="EF83" s="72"/>
      <c r="EG83" s="72"/>
      <c r="EH83" s="72"/>
      <c r="EI83" s="72"/>
      <c r="EJ83" s="72"/>
      <c r="EK83" s="72"/>
      <c r="EL83" s="72"/>
      <c r="EM83" s="72"/>
      <c r="EN83" s="72"/>
      <c r="EO83" s="72"/>
      <c r="EP83" s="72"/>
      <c r="EQ83" s="72"/>
      <c r="ER83" s="72"/>
      <c r="ES83" s="72"/>
      <c r="ET83" s="72"/>
      <c r="EU83" s="72"/>
      <c r="EV83" s="72"/>
      <c r="EW83" s="72"/>
      <c r="EX83" s="72"/>
      <c r="EY83" s="72"/>
      <c r="EZ83" s="72"/>
      <c r="FA83" s="72"/>
      <c r="FB83" s="72"/>
      <c r="FC83" s="72"/>
      <c r="FD83" s="72"/>
      <c r="FE83" s="72"/>
      <c r="FF83" s="72"/>
      <c r="FG83" s="72"/>
      <c r="FH83" s="72"/>
      <c r="FI83" s="72"/>
      <c r="FJ83" s="72"/>
      <c r="FK83" s="72"/>
      <c r="FL83" s="72"/>
      <c r="FM83" s="72"/>
      <c r="FN83" s="72"/>
      <c r="FO83" s="72"/>
      <c r="FP83" s="72"/>
      <c r="FQ83" s="72"/>
      <c r="FR83" s="72"/>
      <c r="FS83" s="72"/>
      <c r="FT83" s="72"/>
      <c r="FU83" s="72"/>
      <c r="FV83" s="72"/>
      <c r="FW83" s="72"/>
      <c r="FX83" s="72"/>
      <c r="FY83" s="72"/>
      <c r="FZ83" s="72"/>
      <c r="GA83" s="72"/>
      <c r="GB83" s="72"/>
      <c r="GC83" s="72"/>
      <c r="GD83" s="72"/>
      <c r="GE83" s="72"/>
      <c r="GF83" s="72"/>
      <c r="GG83" s="72"/>
      <c r="GH83" s="72"/>
      <c r="GI83" s="72"/>
      <c r="GJ83" s="72"/>
      <c r="GK83" s="72"/>
      <c r="GL83" s="72"/>
      <c r="GM83" s="72"/>
      <c r="GN83" s="72"/>
      <c r="GO83" s="72"/>
      <c r="GP83" s="72"/>
      <c r="GQ83" s="72"/>
      <c r="GR83" s="72"/>
      <c r="GS83" s="72"/>
      <c r="GT83" s="72"/>
      <c r="GU83" s="72"/>
      <c r="GV83" s="72"/>
      <c r="GW83" s="72"/>
      <c r="GX83" s="72"/>
      <c r="GY83" s="72"/>
      <c r="GZ83" s="72"/>
      <c r="HA83" s="72"/>
      <c r="HB83" s="72"/>
      <c r="HC83" s="72"/>
      <c r="HD83" s="72"/>
      <c r="HE83" s="72"/>
      <c r="HF83" s="72"/>
      <c r="HG83" s="72"/>
      <c r="HH83" s="72"/>
      <c r="HI83" s="72"/>
      <c r="HJ83" s="72"/>
      <c r="HK83" s="72"/>
      <c r="HL83" s="72"/>
      <c r="HM83" s="72"/>
      <c r="HN83" s="72"/>
      <c r="HO83" s="72"/>
      <c r="HP83" s="72"/>
      <c r="HQ83" s="72"/>
      <c r="HR83" s="72"/>
      <c r="HS83" s="72"/>
      <c r="HT83" s="72"/>
      <c r="HU83" s="72"/>
      <c r="HV83" s="72"/>
      <c r="HW83" s="72"/>
      <c r="HX83" s="72"/>
      <c r="HY83" s="72"/>
      <c r="HZ83" s="72"/>
      <c r="IA83" s="72"/>
      <c r="IB83" s="72"/>
      <c r="IC83" s="72"/>
      <c r="ID83" s="72"/>
      <c r="IE83" s="72"/>
      <c r="IF83" s="72"/>
      <c r="IG83" s="72"/>
      <c r="IH83" s="72"/>
      <c r="II83" s="72"/>
      <c r="IJ83" s="72"/>
      <c r="IK83" s="72"/>
      <c r="IL83" s="72"/>
      <c r="IM83" s="72"/>
      <c r="IN83" s="72"/>
      <c r="IO83" s="72"/>
      <c r="IP83" s="72"/>
      <c r="IQ83" s="72"/>
      <c r="IR83" s="72"/>
      <c r="IS83" s="72"/>
      <c r="IT83" s="72"/>
      <c r="IU83" s="72"/>
      <c r="IV83" s="72"/>
    </row>
    <row r="84" spans="1:256" ht="12.75" customHeight="1" x14ac:dyDescent="0.3">
      <c r="A84" s="37">
        <v>42877</v>
      </c>
      <c r="B84" s="38" t="s">
        <v>47</v>
      </c>
      <c r="C84" s="38">
        <v>18</v>
      </c>
      <c r="D84" s="38">
        <v>17</v>
      </c>
      <c r="E84" s="38">
        <f t="shared" si="1"/>
        <v>-1</v>
      </c>
      <c r="F84" s="39" t="str">
        <f>IF(E84="","",IF(E84&lt;=20,"Pass","Fail"))</f>
        <v>Pass</v>
      </c>
      <c r="G84" s="42">
        <v>1428</v>
      </c>
      <c r="H84" s="67" t="s">
        <v>52</v>
      </c>
      <c r="I84" s="70">
        <v>20</v>
      </c>
      <c r="J84" s="93"/>
    </row>
    <row r="85" spans="1:256" ht="12.75" customHeight="1" x14ac:dyDescent="0.3">
      <c r="A85" s="37">
        <v>42877</v>
      </c>
      <c r="B85" s="38" t="s">
        <v>49</v>
      </c>
      <c r="C85" s="38">
        <v>25</v>
      </c>
      <c r="D85" s="38">
        <v>43</v>
      </c>
      <c r="E85" s="38">
        <f t="shared" si="1"/>
        <v>18</v>
      </c>
      <c r="F85" s="39" t="str">
        <f>IF(E85="","",IF(E85&lt;=30,"Pass","Fail"))</f>
        <v>Pass</v>
      </c>
      <c r="G85" s="42">
        <v>1428</v>
      </c>
      <c r="H85" s="67" t="s">
        <v>52</v>
      </c>
      <c r="I85" s="70">
        <v>30</v>
      </c>
      <c r="J85" s="93"/>
    </row>
    <row r="86" spans="1:256" ht="12.75" customHeight="1" x14ac:dyDescent="0.3">
      <c r="A86" s="37">
        <v>42881</v>
      </c>
      <c r="B86" s="38" t="s">
        <v>47</v>
      </c>
      <c r="C86" s="38">
        <v>17</v>
      </c>
      <c r="D86" s="38">
        <v>21</v>
      </c>
      <c r="E86" s="38">
        <f t="shared" si="1"/>
        <v>4</v>
      </c>
      <c r="F86" s="39" t="str">
        <f>IF(E86="","",IF(E86&lt;=20,"Pass","Fail"))</f>
        <v>Pass</v>
      </c>
      <c r="G86" s="42">
        <v>1428</v>
      </c>
      <c r="H86" s="67" t="s">
        <v>55</v>
      </c>
      <c r="I86" s="70">
        <v>20</v>
      </c>
      <c r="J86" s="93"/>
    </row>
    <row r="87" spans="1:256" ht="12.75" customHeight="1" x14ac:dyDescent="0.3">
      <c r="A87" s="37">
        <v>42881</v>
      </c>
      <c r="B87" s="38" t="s">
        <v>49</v>
      </c>
      <c r="C87" s="38">
        <v>42</v>
      </c>
      <c r="D87" s="38">
        <v>72</v>
      </c>
      <c r="E87" s="38">
        <f t="shared" si="1"/>
        <v>30</v>
      </c>
      <c r="F87" s="39" t="str">
        <f>IF(E87="","",IF(E87&lt;=30,"Pass","Fail"))</f>
        <v>Pass</v>
      </c>
      <c r="G87" s="42">
        <v>1428</v>
      </c>
      <c r="H87" s="67" t="s">
        <v>55</v>
      </c>
      <c r="I87" s="70">
        <v>30</v>
      </c>
      <c r="J87" s="93"/>
    </row>
    <row r="88" spans="1:256" ht="12.75" customHeight="1" x14ac:dyDescent="0.3">
      <c r="A88" s="37">
        <v>42885</v>
      </c>
      <c r="B88" s="38" t="s">
        <v>47</v>
      </c>
      <c r="C88" s="38">
        <v>5</v>
      </c>
      <c r="D88" s="38">
        <v>10</v>
      </c>
      <c r="E88" s="38">
        <f t="shared" si="1"/>
        <v>5</v>
      </c>
      <c r="F88" s="39" t="str">
        <f>IF(E88="","",IF(E88&lt;=20,"Pass","Fail"))</f>
        <v>Pass</v>
      </c>
      <c r="G88" s="42">
        <v>121</v>
      </c>
      <c r="H88" s="67" t="s">
        <v>54</v>
      </c>
      <c r="I88" s="70">
        <v>20</v>
      </c>
      <c r="J88" s="93"/>
    </row>
    <row r="89" spans="1:256" ht="12.75" customHeight="1" x14ac:dyDescent="0.3">
      <c r="A89" s="37">
        <v>42885</v>
      </c>
      <c r="B89" s="38" t="s">
        <v>49</v>
      </c>
      <c r="C89" s="38">
        <v>31</v>
      </c>
      <c r="D89" s="38">
        <v>36</v>
      </c>
      <c r="E89" s="38">
        <f t="shared" si="1"/>
        <v>5</v>
      </c>
      <c r="F89" s="39" t="str">
        <f>IF(E89="","",IF(E89&lt;=30,"Pass","Fail"))</f>
        <v>Pass</v>
      </c>
      <c r="G89" s="42">
        <v>121</v>
      </c>
      <c r="H89" s="67" t="s">
        <v>54</v>
      </c>
      <c r="I89" s="70">
        <v>30</v>
      </c>
      <c r="J89" s="93"/>
    </row>
    <row r="90" spans="1:256" ht="12.75" customHeight="1" x14ac:dyDescent="0.3">
      <c r="A90" s="37">
        <v>42891</v>
      </c>
      <c r="B90" s="38" t="s">
        <v>47</v>
      </c>
      <c r="C90" s="38">
        <v>20</v>
      </c>
      <c r="D90" s="38">
        <v>31</v>
      </c>
      <c r="E90" s="38">
        <f t="shared" si="1"/>
        <v>11</v>
      </c>
      <c r="F90" s="39" t="str">
        <f>IF(E90="","",IF(E90&lt;=20,"Pass","Fail"))</f>
        <v>Pass</v>
      </c>
      <c r="G90" s="42">
        <v>1335</v>
      </c>
      <c r="H90" s="67" t="s">
        <v>55</v>
      </c>
      <c r="I90" s="70">
        <v>20</v>
      </c>
      <c r="J90" s="93"/>
    </row>
    <row r="91" spans="1:256" ht="12.75" customHeight="1" x14ac:dyDescent="0.3">
      <c r="A91" s="37">
        <v>42891</v>
      </c>
      <c r="B91" s="38" t="s">
        <v>49</v>
      </c>
      <c r="C91" s="38">
        <v>26</v>
      </c>
      <c r="D91" s="38">
        <v>44</v>
      </c>
      <c r="E91" s="38">
        <f t="shared" si="1"/>
        <v>18</v>
      </c>
      <c r="F91" s="39" t="str">
        <f>IF(E91="","",IF(E91&lt;=30,"Pass","Fail"))</f>
        <v>Pass</v>
      </c>
      <c r="G91" s="42">
        <v>1335</v>
      </c>
      <c r="H91" s="67" t="s">
        <v>55</v>
      </c>
      <c r="I91" s="70">
        <v>30</v>
      </c>
      <c r="J91" s="93"/>
    </row>
    <row r="92" spans="1:256" ht="12.75" customHeight="1" x14ac:dyDescent="0.3">
      <c r="A92" s="37">
        <v>42894</v>
      </c>
      <c r="B92" s="38" t="s">
        <v>47</v>
      </c>
      <c r="C92" s="38">
        <v>14</v>
      </c>
      <c r="D92" s="38">
        <v>14</v>
      </c>
      <c r="E92" s="38">
        <f t="shared" si="1"/>
        <v>0</v>
      </c>
      <c r="F92" s="39" t="str">
        <f>IF(E92="","",IF(E92&lt;=20,"Pass","Fail"))</f>
        <v>Pass</v>
      </c>
      <c r="G92" s="42">
        <v>121</v>
      </c>
      <c r="H92" s="67" t="s">
        <v>55</v>
      </c>
      <c r="I92" s="70">
        <v>20</v>
      </c>
      <c r="J92" s="93"/>
    </row>
    <row r="93" spans="1:256" ht="12.75" customHeight="1" x14ac:dyDescent="0.3">
      <c r="A93" s="37">
        <v>42894</v>
      </c>
      <c r="B93" s="38" t="s">
        <v>49</v>
      </c>
      <c r="C93" s="38">
        <v>31</v>
      </c>
      <c r="D93" s="38">
        <v>81</v>
      </c>
      <c r="E93" s="38">
        <f t="shared" si="1"/>
        <v>50</v>
      </c>
      <c r="F93" s="39" t="str">
        <f>IF(E93="","",IF(E93&lt;=30,"Pass","Fail"))</f>
        <v>Fail</v>
      </c>
      <c r="G93" s="42">
        <v>121</v>
      </c>
      <c r="H93" s="67" t="s">
        <v>55</v>
      </c>
      <c r="I93" s="70">
        <v>30</v>
      </c>
      <c r="J93" s="93"/>
    </row>
    <row r="94" spans="1:256" ht="12.75" customHeight="1" x14ac:dyDescent="0.3">
      <c r="A94" s="37">
        <v>42894</v>
      </c>
      <c r="B94" s="38" t="s">
        <v>49</v>
      </c>
      <c r="C94" s="38">
        <v>14</v>
      </c>
      <c r="D94" s="38">
        <v>21</v>
      </c>
      <c r="E94" s="38">
        <f>IF(((C94="")*AND(D94="")),"",D94-C94)</f>
        <v>7</v>
      </c>
      <c r="F94" s="39" t="str">
        <f>IF(E94="","",IF(E94&lt;=30,"Pass","Fail"))</f>
        <v>Pass</v>
      </c>
      <c r="G94" s="42">
        <v>121</v>
      </c>
      <c r="H94" s="67" t="s">
        <v>55</v>
      </c>
      <c r="I94" s="70">
        <v>30</v>
      </c>
      <c r="J94" s="93"/>
    </row>
    <row r="95" spans="1:256" ht="12.75" customHeight="1" x14ac:dyDescent="0.3">
      <c r="A95" s="37">
        <v>42899</v>
      </c>
      <c r="B95" s="38" t="s">
        <v>47</v>
      </c>
      <c r="C95" s="38">
        <v>29</v>
      </c>
      <c r="D95" s="38">
        <v>43</v>
      </c>
      <c r="E95" s="38">
        <f t="shared" si="1"/>
        <v>14</v>
      </c>
      <c r="F95" s="39" t="str">
        <f>IF(E95="","",IF(E95&lt;=20,"Pass","Fail"))</f>
        <v>Pass</v>
      </c>
      <c r="G95" s="42">
        <v>1428</v>
      </c>
      <c r="H95" s="67"/>
      <c r="I95" s="70">
        <v>20</v>
      </c>
      <c r="J95" s="93"/>
    </row>
    <row r="96" spans="1:256" ht="12.75" customHeight="1" x14ac:dyDescent="0.3">
      <c r="A96" s="37">
        <v>42899</v>
      </c>
      <c r="B96" s="38" t="s">
        <v>49</v>
      </c>
      <c r="C96" s="38">
        <v>49</v>
      </c>
      <c r="D96" s="38">
        <v>77</v>
      </c>
      <c r="E96" s="38">
        <f t="shared" si="1"/>
        <v>28</v>
      </c>
      <c r="F96" s="39" t="str">
        <f>IF(E96="","",IF(E96&lt;=30,"Pass","Fail"))</f>
        <v>Pass</v>
      </c>
      <c r="G96" s="42">
        <v>1428</v>
      </c>
      <c r="H96" s="67"/>
      <c r="I96" s="70">
        <v>30</v>
      </c>
      <c r="J96" s="93"/>
    </row>
    <row r="97" spans="1:10" ht="12.75" customHeight="1" x14ac:dyDescent="0.3">
      <c r="A97" s="37">
        <v>42901</v>
      </c>
      <c r="B97" s="38" t="s">
        <v>47</v>
      </c>
      <c r="C97" s="38">
        <v>44</v>
      </c>
      <c r="D97" s="38">
        <v>57</v>
      </c>
      <c r="E97" s="38">
        <f t="shared" si="1"/>
        <v>13</v>
      </c>
      <c r="F97" s="39" t="str">
        <f>IF(E97="","",IF(E97&lt;=20,"Pass","Fail"))</f>
        <v>Pass</v>
      </c>
      <c r="G97" s="42">
        <v>1428</v>
      </c>
      <c r="H97" s="67"/>
      <c r="I97" s="70">
        <v>20</v>
      </c>
      <c r="J97" s="93"/>
    </row>
    <row r="98" spans="1:10" ht="12.75" customHeight="1" x14ac:dyDescent="0.3">
      <c r="A98" s="37">
        <v>42901</v>
      </c>
      <c r="B98" s="38" t="s">
        <v>49</v>
      </c>
      <c r="C98" s="38">
        <v>57</v>
      </c>
      <c r="D98" s="38">
        <v>79</v>
      </c>
      <c r="E98" s="38">
        <f t="shared" si="1"/>
        <v>22</v>
      </c>
      <c r="F98" s="39" t="str">
        <f>IF(E98="","",IF(E98&lt;=30,"Pass","Fail"))</f>
        <v>Pass</v>
      </c>
      <c r="G98" s="42">
        <v>1428</v>
      </c>
      <c r="H98" s="67"/>
      <c r="I98" s="70">
        <v>30</v>
      </c>
      <c r="J98" s="93"/>
    </row>
    <row r="99" spans="1:10" ht="12.75" customHeight="1" x14ac:dyDescent="0.3">
      <c r="A99" s="37">
        <v>42905</v>
      </c>
      <c r="B99" s="38" t="s">
        <v>47</v>
      </c>
      <c r="C99" s="38">
        <v>23</v>
      </c>
      <c r="D99" s="38">
        <v>42</v>
      </c>
      <c r="E99" s="38">
        <f t="shared" si="1"/>
        <v>19</v>
      </c>
      <c r="F99" s="39" t="str">
        <f>IF(E99="","",IF(E99&lt;=20,"Pass","Fail"))</f>
        <v>Pass</v>
      </c>
      <c r="G99" s="42">
        <v>1159</v>
      </c>
      <c r="H99" s="67" t="s">
        <v>53</v>
      </c>
      <c r="I99" s="70">
        <v>20</v>
      </c>
      <c r="J99" s="93"/>
    </row>
    <row r="100" spans="1:10" ht="12.75" customHeight="1" x14ac:dyDescent="0.3">
      <c r="A100" s="37">
        <v>42905</v>
      </c>
      <c r="B100" s="38" t="s">
        <v>49</v>
      </c>
      <c r="C100" s="38">
        <v>45</v>
      </c>
      <c r="D100" s="38">
        <v>51</v>
      </c>
      <c r="E100" s="38">
        <f t="shared" si="1"/>
        <v>6</v>
      </c>
      <c r="F100" s="39" t="str">
        <f>IF(E100="","",IF(E100&lt;=30,"Pass","Fail"))</f>
        <v>Pass</v>
      </c>
      <c r="G100" s="42">
        <v>1159</v>
      </c>
      <c r="H100" s="67" t="s">
        <v>53</v>
      </c>
      <c r="I100" s="70">
        <v>30</v>
      </c>
      <c r="J100" s="93"/>
    </row>
    <row r="101" spans="1:10" ht="12.75" customHeight="1" x14ac:dyDescent="0.3">
      <c r="A101" s="37">
        <v>42908</v>
      </c>
      <c r="B101" s="38" t="s">
        <v>47</v>
      </c>
      <c r="C101" s="38">
        <v>21</v>
      </c>
      <c r="D101" s="38">
        <v>49</v>
      </c>
      <c r="E101" s="38">
        <f t="shared" si="1"/>
        <v>28</v>
      </c>
      <c r="F101" s="39" t="str">
        <f>IF(E101="","",IF(E101&lt;=20,"Pass","Fail"))</f>
        <v>Fail</v>
      </c>
      <c r="G101" s="42">
        <v>1159</v>
      </c>
      <c r="H101" s="67" t="s">
        <v>55</v>
      </c>
      <c r="I101" s="70">
        <v>20</v>
      </c>
      <c r="J101" s="93"/>
    </row>
    <row r="102" spans="1:10" ht="12.75" customHeight="1" x14ac:dyDescent="0.3">
      <c r="A102" s="37">
        <v>42908</v>
      </c>
      <c r="B102" s="38" t="s">
        <v>49</v>
      </c>
      <c r="C102" s="38">
        <v>36</v>
      </c>
      <c r="D102" s="38">
        <v>63</v>
      </c>
      <c r="E102" s="38">
        <f t="shared" si="1"/>
        <v>27</v>
      </c>
      <c r="F102" s="39" t="str">
        <f>IF(E102="","",IF(E102&lt;=30,"Pass","Fail"))</f>
        <v>Pass</v>
      </c>
      <c r="G102" s="42">
        <v>1159</v>
      </c>
      <c r="H102" s="67" t="s">
        <v>55</v>
      </c>
      <c r="I102" s="70">
        <v>30</v>
      </c>
      <c r="J102" s="93"/>
    </row>
    <row r="103" spans="1:10" ht="12.75" customHeight="1" x14ac:dyDescent="0.3">
      <c r="A103" s="37">
        <v>42908</v>
      </c>
      <c r="B103" s="38" t="s">
        <v>47</v>
      </c>
      <c r="C103" s="38">
        <v>5</v>
      </c>
      <c r="D103" s="38">
        <v>8</v>
      </c>
      <c r="E103" s="38">
        <f t="shared" si="1"/>
        <v>3</v>
      </c>
      <c r="F103" s="39" t="str">
        <f>IF(E103="","",IF(E103&lt;=20,"Pass","Fail"))</f>
        <v>Pass</v>
      </c>
      <c r="G103" s="42">
        <v>1159</v>
      </c>
      <c r="H103" s="67" t="s">
        <v>55</v>
      </c>
      <c r="I103" s="70">
        <v>20</v>
      </c>
      <c r="J103" s="93"/>
    </row>
    <row r="104" spans="1:10" ht="12.75" customHeight="1" x14ac:dyDescent="0.3">
      <c r="A104" s="37">
        <v>42912</v>
      </c>
      <c r="B104" s="38" t="s">
        <v>47</v>
      </c>
      <c r="C104" s="38">
        <v>13</v>
      </c>
      <c r="D104" s="38">
        <v>12</v>
      </c>
      <c r="E104" s="38">
        <f t="shared" si="1"/>
        <v>-1</v>
      </c>
      <c r="F104" s="39" t="str">
        <f>IF(E104="","",IF(E104&lt;=20,"Pass","Fail"))</f>
        <v>Pass</v>
      </c>
      <c r="G104" s="42">
        <v>1159</v>
      </c>
      <c r="H104" s="67" t="s">
        <v>55</v>
      </c>
      <c r="I104" s="70">
        <v>20</v>
      </c>
      <c r="J104" s="93"/>
    </row>
    <row r="105" spans="1:10" ht="12.75" customHeight="1" x14ac:dyDescent="0.3">
      <c r="A105" s="37">
        <v>42912</v>
      </c>
      <c r="B105" s="38" t="s">
        <v>49</v>
      </c>
      <c r="C105" s="38">
        <v>11</v>
      </c>
      <c r="D105" s="38">
        <v>25</v>
      </c>
      <c r="E105" s="38">
        <f t="shared" si="1"/>
        <v>14</v>
      </c>
      <c r="F105" s="39" t="str">
        <f>IF(E105="","",IF(E105&lt;=30,"Pass","Fail"))</f>
        <v>Pass</v>
      </c>
      <c r="G105" s="42">
        <v>1159</v>
      </c>
      <c r="H105" s="67" t="s">
        <v>55</v>
      </c>
      <c r="I105" s="70">
        <v>30</v>
      </c>
      <c r="J105" s="93"/>
    </row>
    <row r="106" spans="1:10" ht="12.75" customHeight="1" x14ac:dyDescent="0.3">
      <c r="A106" s="37">
        <v>42915</v>
      </c>
      <c r="B106" s="38" t="s">
        <v>47</v>
      </c>
      <c r="C106" s="38">
        <v>25</v>
      </c>
      <c r="D106" s="38">
        <v>29</v>
      </c>
      <c r="E106" s="38">
        <f t="shared" si="1"/>
        <v>4</v>
      </c>
      <c r="F106" s="39" t="str">
        <f>IF(E106="","",IF(E106&lt;=20,"Pass","Fail"))</f>
        <v>Pass</v>
      </c>
      <c r="G106" s="42">
        <v>102</v>
      </c>
      <c r="H106" s="67" t="s">
        <v>55</v>
      </c>
      <c r="I106" s="70">
        <v>20</v>
      </c>
      <c r="J106" s="93"/>
    </row>
    <row r="107" spans="1:10" ht="12.75" customHeight="1" x14ac:dyDescent="0.3">
      <c r="A107" s="37">
        <v>42915</v>
      </c>
      <c r="B107" s="38" t="s">
        <v>49</v>
      </c>
      <c r="C107" s="38">
        <v>10</v>
      </c>
      <c r="D107" s="38">
        <v>30</v>
      </c>
      <c r="E107" s="38">
        <f t="shared" si="1"/>
        <v>20</v>
      </c>
      <c r="F107" s="39" t="str">
        <f>IF(E107="","",IF(E107&lt;=30,"Pass","Fail"))</f>
        <v>Pass</v>
      </c>
      <c r="G107" s="42">
        <v>102</v>
      </c>
      <c r="H107" s="67" t="s">
        <v>55</v>
      </c>
      <c r="I107" s="70">
        <v>30</v>
      </c>
      <c r="J107" s="93"/>
    </row>
    <row r="108" spans="1:10" ht="12.75" customHeight="1" x14ac:dyDescent="0.3">
      <c r="A108" s="37">
        <v>42921</v>
      </c>
      <c r="B108" s="38" t="s">
        <v>47</v>
      </c>
      <c r="C108" s="38">
        <v>36</v>
      </c>
      <c r="D108" s="38">
        <v>33</v>
      </c>
      <c r="E108" s="38">
        <f t="shared" si="1"/>
        <v>-3</v>
      </c>
      <c r="F108" s="39" t="str">
        <f>IF(E108="","",IF(E108&lt;=20,"Pass","Fail"))</f>
        <v>Pass</v>
      </c>
      <c r="G108" s="42">
        <v>121</v>
      </c>
      <c r="H108" s="67" t="s">
        <v>56</v>
      </c>
      <c r="I108" s="70">
        <v>20</v>
      </c>
      <c r="J108" s="93"/>
    </row>
    <row r="109" spans="1:10" ht="12.75" customHeight="1" x14ac:dyDescent="0.3">
      <c r="A109" s="37">
        <v>42921</v>
      </c>
      <c r="B109" s="38" t="s">
        <v>49</v>
      </c>
      <c r="C109" s="38">
        <v>34</v>
      </c>
      <c r="D109" s="38">
        <v>51</v>
      </c>
      <c r="E109" s="38">
        <f t="shared" ref="E109:E172" si="2">IF(((C109="")*AND(D109="")),"",D109-C109)</f>
        <v>17</v>
      </c>
      <c r="F109" s="39" t="str">
        <f>IF(E109="","",IF(E109&lt;=30,"Pass","Fail"))</f>
        <v>Pass</v>
      </c>
      <c r="G109" s="42">
        <v>121</v>
      </c>
      <c r="H109" s="67" t="s">
        <v>56</v>
      </c>
      <c r="I109" s="70">
        <v>30</v>
      </c>
      <c r="J109" s="93"/>
    </row>
    <row r="110" spans="1:10" ht="12.75" customHeight="1" x14ac:dyDescent="0.3">
      <c r="A110" s="37">
        <v>42926</v>
      </c>
      <c r="B110" s="38" t="s">
        <v>47</v>
      </c>
      <c r="C110" s="38">
        <v>13</v>
      </c>
      <c r="D110" s="38">
        <v>15</v>
      </c>
      <c r="E110" s="38">
        <f t="shared" si="2"/>
        <v>2</v>
      </c>
      <c r="F110" s="39" t="str">
        <f>IF(E110="","",IF(E110&lt;=20,"Pass","Fail"))</f>
        <v>Pass</v>
      </c>
      <c r="G110" s="42">
        <v>1159</v>
      </c>
      <c r="H110" s="67" t="s">
        <v>54</v>
      </c>
      <c r="I110" s="70">
        <v>20</v>
      </c>
      <c r="J110" s="93"/>
    </row>
    <row r="111" spans="1:10" ht="12.75" customHeight="1" x14ac:dyDescent="0.3">
      <c r="A111" s="37">
        <v>42926</v>
      </c>
      <c r="B111" s="38" t="s">
        <v>49</v>
      </c>
      <c r="C111" s="38">
        <v>9</v>
      </c>
      <c r="D111" s="38">
        <v>25</v>
      </c>
      <c r="E111" s="38">
        <f t="shared" si="2"/>
        <v>16</v>
      </c>
      <c r="F111" s="39" t="str">
        <f>IF(E111="","",IF(E111&lt;=30,"Pass","Fail"))</f>
        <v>Pass</v>
      </c>
      <c r="G111" s="42">
        <v>1159</v>
      </c>
      <c r="H111" s="67" t="s">
        <v>54</v>
      </c>
      <c r="I111" s="70">
        <v>30</v>
      </c>
      <c r="J111" s="93"/>
    </row>
    <row r="112" spans="1:10" ht="12.75" customHeight="1" x14ac:dyDescent="0.3">
      <c r="A112" s="37">
        <v>42929</v>
      </c>
      <c r="B112" s="38" t="s">
        <v>47</v>
      </c>
      <c r="C112" s="38">
        <v>21</v>
      </c>
      <c r="D112" s="38">
        <v>21</v>
      </c>
      <c r="E112" s="38">
        <f t="shared" si="2"/>
        <v>0</v>
      </c>
      <c r="F112" s="39" t="str">
        <f>IF(E112="","",IF(E112&lt;=20,"Pass","Fail"))</f>
        <v>Pass</v>
      </c>
      <c r="G112" s="42">
        <v>1159</v>
      </c>
      <c r="H112" s="67" t="s">
        <v>55</v>
      </c>
      <c r="I112" s="70">
        <v>20</v>
      </c>
      <c r="J112" s="93"/>
    </row>
    <row r="113" spans="1:10" ht="12.75" customHeight="1" x14ac:dyDescent="0.3">
      <c r="A113" s="37">
        <v>42929</v>
      </c>
      <c r="B113" s="38" t="s">
        <v>49</v>
      </c>
      <c r="C113" s="38">
        <v>19</v>
      </c>
      <c r="D113" s="38">
        <v>40</v>
      </c>
      <c r="E113" s="38">
        <f t="shared" si="2"/>
        <v>21</v>
      </c>
      <c r="F113" s="39" t="str">
        <f>IF(E113="","",IF(E113&lt;=30,"Pass","Fail"))</f>
        <v>Pass</v>
      </c>
      <c r="G113" s="42">
        <v>1159</v>
      </c>
      <c r="H113" s="67" t="s">
        <v>55</v>
      </c>
      <c r="I113" s="70">
        <v>30</v>
      </c>
      <c r="J113" s="93"/>
    </row>
    <row r="114" spans="1:10" ht="12.75" customHeight="1" x14ac:dyDescent="0.3">
      <c r="A114" s="37">
        <v>42933</v>
      </c>
      <c r="B114" s="38" t="s">
        <v>47</v>
      </c>
      <c r="C114" s="38">
        <v>43</v>
      </c>
      <c r="D114" s="38">
        <v>45</v>
      </c>
      <c r="E114" s="38">
        <f t="shared" si="2"/>
        <v>2</v>
      </c>
      <c r="F114" s="39" t="str">
        <f>IF(E114="","",IF(E114&lt;=20,"Pass","Fail"))</f>
        <v>Pass</v>
      </c>
      <c r="G114" s="42">
        <v>1428</v>
      </c>
      <c r="H114" s="67" t="s">
        <v>55</v>
      </c>
      <c r="I114" s="70">
        <v>20</v>
      </c>
      <c r="J114" s="93"/>
    </row>
    <row r="115" spans="1:10" ht="12.75" customHeight="1" x14ac:dyDescent="0.3">
      <c r="A115" s="37">
        <v>42933</v>
      </c>
      <c r="B115" s="38" t="s">
        <v>49</v>
      </c>
      <c r="C115" s="38">
        <v>66</v>
      </c>
      <c r="D115" s="38">
        <v>82</v>
      </c>
      <c r="E115" s="38">
        <f t="shared" si="2"/>
        <v>16</v>
      </c>
      <c r="F115" s="39" t="str">
        <f>IF(E115="","",IF(E115&lt;=30,"Pass","Fail"))</f>
        <v>Pass</v>
      </c>
      <c r="G115" s="42">
        <v>1428</v>
      </c>
      <c r="H115" s="67" t="s">
        <v>55</v>
      </c>
      <c r="I115" s="70">
        <v>30</v>
      </c>
      <c r="J115" s="93"/>
    </row>
    <row r="116" spans="1:10" ht="12.75" customHeight="1" x14ac:dyDescent="0.3">
      <c r="A116" s="37">
        <v>42937</v>
      </c>
      <c r="B116" s="38" t="s">
        <v>47</v>
      </c>
      <c r="C116" s="38">
        <v>34</v>
      </c>
      <c r="D116" s="38">
        <v>54</v>
      </c>
      <c r="E116" s="38">
        <f t="shared" si="2"/>
        <v>20</v>
      </c>
      <c r="F116" s="39" t="str">
        <f>IF(E116="","",IF(E116&lt;=20,"Pass","Fail"))</f>
        <v>Pass</v>
      </c>
      <c r="G116" s="42">
        <v>1335</v>
      </c>
      <c r="H116" s="67" t="s">
        <v>55</v>
      </c>
      <c r="I116" s="70">
        <v>20</v>
      </c>
      <c r="J116" s="93"/>
    </row>
    <row r="117" spans="1:10" ht="12.75" customHeight="1" x14ac:dyDescent="0.3">
      <c r="A117" s="37">
        <v>42937</v>
      </c>
      <c r="B117" s="38" t="s">
        <v>49</v>
      </c>
      <c r="C117" s="38">
        <v>50</v>
      </c>
      <c r="D117" s="38">
        <v>72</v>
      </c>
      <c r="E117" s="38">
        <f t="shared" si="2"/>
        <v>22</v>
      </c>
      <c r="F117" s="39" t="str">
        <f>IF(E117="","",IF(E117&lt;=30,"Pass","Fail"))</f>
        <v>Pass</v>
      </c>
      <c r="G117" s="42">
        <v>1335</v>
      </c>
      <c r="H117" s="67" t="s">
        <v>55</v>
      </c>
      <c r="I117" s="70">
        <v>30</v>
      </c>
      <c r="J117" s="93"/>
    </row>
    <row r="118" spans="1:10" ht="12.75" customHeight="1" x14ac:dyDescent="0.3">
      <c r="A118" s="37">
        <v>42944</v>
      </c>
      <c r="B118" s="38" t="s">
        <v>47</v>
      </c>
      <c r="C118" s="38">
        <v>22</v>
      </c>
      <c r="D118" s="38">
        <v>37</v>
      </c>
      <c r="E118" s="38">
        <f t="shared" si="2"/>
        <v>15</v>
      </c>
      <c r="F118" s="39" t="str">
        <f>IF(E118="","",IF(E118&lt;=20,"Pass","Fail"))</f>
        <v>Pass</v>
      </c>
      <c r="G118" s="42">
        <v>121</v>
      </c>
      <c r="H118" s="67" t="s">
        <v>55</v>
      </c>
      <c r="I118" s="70">
        <v>20</v>
      </c>
      <c r="J118" s="93"/>
    </row>
    <row r="119" spans="1:10" ht="12.75" customHeight="1" x14ac:dyDescent="0.3">
      <c r="A119" s="37">
        <v>42944</v>
      </c>
      <c r="B119" s="38" t="s">
        <v>49</v>
      </c>
      <c r="C119" s="38">
        <v>7</v>
      </c>
      <c r="D119" s="38">
        <v>30</v>
      </c>
      <c r="E119" s="38">
        <f t="shared" si="2"/>
        <v>23</v>
      </c>
      <c r="F119" s="39" t="str">
        <f>IF(E119="","",IF(E119&lt;=30,"Pass","Fail"))</f>
        <v>Pass</v>
      </c>
      <c r="G119" s="42">
        <v>121</v>
      </c>
      <c r="H119" s="67" t="s">
        <v>55</v>
      </c>
      <c r="I119" s="70">
        <v>30</v>
      </c>
      <c r="J119" s="93"/>
    </row>
    <row r="120" spans="1:10" ht="12.75" customHeight="1" x14ac:dyDescent="0.3">
      <c r="A120" s="37">
        <v>42947</v>
      </c>
      <c r="B120" s="38" t="s">
        <v>47</v>
      </c>
      <c r="C120" s="38">
        <v>12</v>
      </c>
      <c r="D120" s="38">
        <v>29</v>
      </c>
      <c r="E120" s="38">
        <f t="shared" si="2"/>
        <v>17</v>
      </c>
      <c r="F120" s="39" t="str">
        <f>IF(E120="","",IF(E120&lt;=20,"Pass","Fail"))</f>
        <v>Pass</v>
      </c>
      <c r="G120" s="42">
        <v>1335</v>
      </c>
      <c r="H120" s="67" t="s">
        <v>55</v>
      </c>
      <c r="I120" s="70">
        <v>20</v>
      </c>
      <c r="J120" s="93"/>
    </row>
    <row r="121" spans="1:10" ht="12.75" customHeight="1" x14ac:dyDescent="0.3">
      <c r="A121" s="37">
        <v>42944</v>
      </c>
      <c r="B121" s="38" t="s">
        <v>49</v>
      </c>
      <c r="C121" s="38">
        <v>12</v>
      </c>
      <c r="D121" s="38">
        <v>30</v>
      </c>
      <c r="E121" s="38">
        <f t="shared" si="2"/>
        <v>18</v>
      </c>
      <c r="F121" s="39" t="str">
        <f>IF(E121="","",IF(E121&lt;=30,"Pass","Fail"))</f>
        <v>Pass</v>
      </c>
      <c r="G121" s="42">
        <v>1335</v>
      </c>
      <c r="H121" s="67" t="s">
        <v>55</v>
      </c>
      <c r="I121" s="70">
        <v>30</v>
      </c>
      <c r="J121" s="93"/>
    </row>
    <row r="122" spans="1:10" ht="12.75" customHeight="1" x14ac:dyDescent="0.3">
      <c r="A122" s="37"/>
      <c r="B122" s="38" t="s">
        <v>47</v>
      </c>
      <c r="C122" s="38"/>
      <c r="D122" s="38"/>
      <c r="E122" s="38" t="str">
        <f t="shared" si="2"/>
        <v/>
      </c>
      <c r="F122" s="39" t="str">
        <f>IF(E122="","",IF(E122&lt;=20,"Pass","Fail"))</f>
        <v/>
      </c>
      <c r="G122" s="42"/>
      <c r="H122" s="67" t="s">
        <v>55</v>
      </c>
      <c r="I122" s="70">
        <v>20</v>
      </c>
      <c r="J122" s="93"/>
    </row>
    <row r="123" spans="1:10" ht="12.75" customHeight="1" x14ac:dyDescent="0.3">
      <c r="A123" s="37">
        <v>42951</v>
      </c>
      <c r="B123" s="38" t="s">
        <v>49</v>
      </c>
      <c r="C123" s="38">
        <v>10</v>
      </c>
      <c r="D123" s="38">
        <v>20</v>
      </c>
      <c r="E123" s="38">
        <f t="shared" si="2"/>
        <v>10</v>
      </c>
      <c r="F123" s="39" t="str">
        <f>IF(E123="","",IF(E123&lt;=30,"Pass","Fail"))</f>
        <v>Pass</v>
      </c>
      <c r="G123" s="42">
        <v>1335</v>
      </c>
      <c r="H123" s="67" t="s">
        <v>55</v>
      </c>
      <c r="I123" s="70">
        <v>30</v>
      </c>
      <c r="J123" s="93"/>
    </row>
    <row r="124" spans="1:10" ht="12.75" customHeight="1" x14ac:dyDescent="0.3">
      <c r="A124" s="37">
        <v>42951</v>
      </c>
      <c r="B124" s="38" t="s">
        <v>47</v>
      </c>
      <c r="C124" s="38">
        <v>7</v>
      </c>
      <c r="D124" s="38">
        <v>26</v>
      </c>
      <c r="E124" s="38">
        <f t="shared" si="2"/>
        <v>19</v>
      </c>
      <c r="F124" s="39" t="str">
        <f>IF(E124="","",IF(E124&lt;=20,"Pass","Fail"))</f>
        <v>Pass</v>
      </c>
      <c r="G124" s="42">
        <v>1335</v>
      </c>
      <c r="H124" s="67" t="s">
        <v>55</v>
      </c>
      <c r="I124" s="70">
        <v>20</v>
      </c>
      <c r="J124" s="93"/>
    </row>
    <row r="125" spans="1:10" ht="12.75" customHeight="1" x14ac:dyDescent="0.3">
      <c r="A125" s="37">
        <v>42954</v>
      </c>
      <c r="B125" s="38" t="s">
        <v>49</v>
      </c>
      <c r="C125" s="38">
        <v>62</v>
      </c>
      <c r="D125" s="38">
        <v>87</v>
      </c>
      <c r="E125" s="38">
        <f t="shared" si="2"/>
        <v>25</v>
      </c>
      <c r="F125" s="39" t="str">
        <f>IF(E125="","",IF(E125&lt;=30,"Pass","Fail"))</f>
        <v>Pass</v>
      </c>
      <c r="G125" s="42">
        <v>1428</v>
      </c>
      <c r="H125" s="67" t="s">
        <v>55</v>
      </c>
      <c r="I125" s="70">
        <v>30</v>
      </c>
      <c r="J125" s="93"/>
    </row>
    <row r="126" spans="1:10" ht="12.75" customHeight="1" x14ac:dyDescent="0.3">
      <c r="A126" s="37">
        <v>42954</v>
      </c>
      <c r="B126" s="38" t="s">
        <v>47</v>
      </c>
      <c r="C126" s="38">
        <v>46</v>
      </c>
      <c r="D126" s="38">
        <v>59</v>
      </c>
      <c r="E126" s="38">
        <f t="shared" si="2"/>
        <v>13</v>
      </c>
      <c r="F126" s="39" t="str">
        <f>IF(E126="","",IF(E126&lt;=20,"Pass","Fail"))</f>
        <v>Pass</v>
      </c>
      <c r="G126" s="42">
        <v>1428</v>
      </c>
      <c r="H126" s="67" t="s">
        <v>55</v>
      </c>
      <c r="I126" s="70">
        <v>20</v>
      </c>
      <c r="J126" s="93"/>
    </row>
    <row r="127" spans="1:10" ht="12.75" customHeight="1" x14ac:dyDescent="0.3">
      <c r="A127" s="37">
        <v>42957</v>
      </c>
      <c r="B127" s="38" t="s">
        <v>49</v>
      </c>
      <c r="C127" s="38">
        <v>15</v>
      </c>
      <c r="D127" s="38">
        <v>19</v>
      </c>
      <c r="E127" s="38">
        <f t="shared" si="2"/>
        <v>4</v>
      </c>
      <c r="F127" s="39" t="str">
        <f>IF(E127="","",IF(E127&lt;=30,"Pass","Fail"))</f>
        <v>Pass</v>
      </c>
      <c r="G127" s="42">
        <v>1428</v>
      </c>
      <c r="H127" s="67" t="s">
        <v>55</v>
      </c>
      <c r="I127" s="70">
        <v>30</v>
      </c>
      <c r="J127" s="93"/>
    </row>
    <row r="128" spans="1:10" ht="12.75" customHeight="1" x14ac:dyDescent="0.3">
      <c r="A128" s="37">
        <v>42957</v>
      </c>
      <c r="B128" s="38" t="s">
        <v>47</v>
      </c>
      <c r="C128" s="38">
        <v>14</v>
      </c>
      <c r="D128" s="38">
        <v>24</v>
      </c>
      <c r="E128" s="38">
        <f t="shared" si="2"/>
        <v>10</v>
      </c>
      <c r="F128" s="39" t="str">
        <f>IF(E128="","",IF(E128&lt;=20,"Pass","Fail"))</f>
        <v>Pass</v>
      </c>
      <c r="G128" s="42">
        <v>1428</v>
      </c>
      <c r="H128" s="67" t="s">
        <v>55</v>
      </c>
      <c r="I128" s="70">
        <v>20</v>
      </c>
      <c r="J128" s="93"/>
    </row>
    <row r="129" spans="1:10" ht="12.75" customHeight="1" x14ac:dyDescent="0.3">
      <c r="A129" s="37">
        <v>42960</v>
      </c>
      <c r="B129" s="38" t="s">
        <v>47</v>
      </c>
      <c r="C129" s="38">
        <v>17</v>
      </c>
      <c r="D129" s="38">
        <v>24</v>
      </c>
      <c r="E129" s="38">
        <f>IF(((C129="")*AND(D129="")),"",D129-C129)</f>
        <v>7</v>
      </c>
      <c r="F129" s="39" t="str">
        <f>IF(E129="","",IF(E129&lt;=20,"Pass","Fail"))</f>
        <v>Pass</v>
      </c>
      <c r="G129" s="42">
        <v>1159</v>
      </c>
      <c r="H129" s="67" t="s">
        <v>55</v>
      </c>
      <c r="I129" s="70">
        <v>20</v>
      </c>
      <c r="J129" s="93"/>
    </row>
    <row r="130" spans="1:10" ht="12.75" customHeight="1" x14ac:dyDescent="0.3">
      <c r="A130" s="37">
        <v>42960</v>
      </c>
      <c r="B130" s="38" t="s">
        <v>49</v>
      </c>
      <c r="C130" s="38">
        <v>22</v>
      </c>
      <c r="D130" s="38">
        <v>56</v>
      </c>
      <c r="E130" s="38">
        <f>IF(((C130="")*AND(D130="")),"",D130-C130)</f>
        <v>34</v>
      </c>
      <c r="F130" s="39" t="str">
        <f>IF(E130="","",IF(E130&lt;=30,"Pass","Fail"))</f>
        <v>Fail</v>
      </c>
      <c r="G130" s="42">
        <v>1159</v>
      </c>
      <c r="H130" s="67" t="s">
        <v>55</v>
      </c>
      <c r="I130" s="70">
        <v>30</v>
      </c>
      <c r="J130" s="93"/>
    </row>
    <row r="131" spans="1:10" ht="12.75" customHeight="1" x14ac:dyDescent="0.3">
      <c r="A131" s="37">
        <v>42960</v>
      </c>
      <c r="B131" s="38" t="s">
        <v>49</v>
      </c>
      <c r="C131" s="38">
        <v>24</v>
      </c>
      <c r="D131" s="38">
        <v>33</v>
      </c>
      <c r="E131" s="38">
        <f t="shared" si="2"/>
        <v>9</v>
      </c>
      <c r="F131" s="39" t="str">
        <f>IF(E131="","",IF(E131&lt;=30,"Pass","Fail"))</f>
        <v>Pass</v>
      </c>
      <c r="G131" s="42">
        <v>1159</v>
      </c>
      <c r="H131" s="67" t="s">
        <v>55</v>
      </c>
      <c r="I131" s="70">
        <v>30</v>
      </c>
      <c r="J131" s="93"/>
    </row>
    <row r="132" spans="1:10" ht="12.75" customHeight="1" x14ac:dyDescent="0.3">
      <c r="A132" s="37">
        <v>42963</v>
      </c>
      <c r="B132" s="38" t="s">
        <v>47</v>
      </c>
      <c r="C132" s="38">
        <v>18</v>
      </c>
      <c r="D132" s="38">
        <v>50</v>
      </c>
      <c r="E132" s="38">
        <f t="shared" si="2"/>
        <v>32</v>
      </c>
      <c r="F132" s="39" t="str">
        <f>IF(E132="","",IF(E132&lt;=20,"Pass","Fail"))</f>
        <v>Fail</v>
      </c>
      <c r="G132" s="42">
        <v>121</v>
      </c>
      <c r="H132" s="67" t="s">
        <v>55</v>
      </c>
      <c r="I132" s="70">
        <v>20</v>
      </c>
      <c r="J132" s="93"/>
    </row>
    <row r="133" spans="1:10" ht="12.75" customHeight="1" x14ac:dyDescent="0.3">
      <c r="A133" s="37">
        <v>42963</v>
      </c>
      <c r="B133" s="38" t="s">
        <v>49</v>
      </c>
      <c r="C133" s="38">
        <v>25</v>
      </c>
      <c r="D133" s="38">
        <v>36</v>
      </c>
      <c r="E133" s="38">
        <f t="shared" si="2"/>
        <v>11</v>
      </c>
      <c r="F133" s="39" t="str">
        <f>IF(E133="","",IF(E133&lt;=30,"Pass","Fail"))</f>
        <v>Pass</v>
      </c>
      <c r="G133" s="42">
        <v>121</v>
      </c>
      <c r="H133" s="67" t="s">
        <v>55</v>
      </c>
      <c r="I133" s="70">
        <v>30</v>
      </c>
      <c r="J133" s="93"/>
    </row>
    <row r="134" spans="1:10" ht="12.75" customHeight="1" x14ac:dyDescent="0.3">
      <c r="A134" s="37">
        <v>42963</v>
      </c>
      <c r="B134" s="38" t="s">
        <v>47</v>
      </c>
      <c r="C134" s="38">
        <v>49</v>
      </c>
      <c r="D134" s="38">
        <v>54</v>
      </c>
      <c r="E134" s="38">
        <f t="shared" si="2"/>
        <v>5</v>
      </c>
      <c r="F134" s="39" t="str">
        <f>IF(E134="","",IF(E134&lt;=20,"Pass","Fail"))</f>
        <v>Pass</v>
      </c>
      <c r="G134" s="42">
        <v>121</v>
      </c>
      <c r="H134" s="67" t="s">
        <v>55</v>
      </c>
      <c r="I134" s="70">
        <v>20</v>
      </c>
      <c r="J134" s="93"/>
    </row>
    <row r="135" spans="1:10" ht="12.75" customHeight="1" x14ac:dyDescent="0.3">
      <c r="A135" s="37">
        <v>42966</v>
      </c>
      <c r="B135" s="38" t="s">
        <v>49</v>
      </c>
      <c r="C135" s="38">
        <v>23</v>
      </c>
      <c r="D135" s="38">
        <v>24</v>
      </c>
      <c r="E135" s="38">
        <f t="shared" si="2"/>
        <v>1</v>
      </c>
      <c r="F135" s="39" t="str">
        <f>IF(E135="","",IF(E135&lt;=30,"Pass","Fail"))</f>
        <v>Pass</v>
      </c>
      <c r="G135" s="42">
        <v>121</v>
      </c>
      <c r="H135" s="67" t="s">
        <v>55</v>
      </c>
      <c r="I135" s="70">
        <v>30</v>
      </c>
      <c r="J135" s="93"/>
    </row>
    <row r="136" spans="1:10" ht="12.75" customHeight="1" x14ac:dyDescent="0.3">
      <c r="A136" s="37">
        <v>42966</v>
      </c>
      <c r="B136" s="38" t="s">
        <v>47</v>
      </c>
      <c r="C136" s="38">
        <v>27</v>
      </c>
      <c r="D136" s="38">
        <v>47</v>
      </c>
      <c r="E136" s="38">
        <f t="shared" si="2"/>
        <v>20</v>
      </c>
      <c r="F136" s="39" t="str">
        <f>IF(E136="","",IF(E136&lt;=20,"Pass","Fail"))</f>
        <v>Pass</v>
      </c>
      <c r="G136" s="42">
        <v>121</v>
      </c>
      <c r="H136" s="67" t="s">
        <v>55</v>
      </c>
      <c r="I136" s="70">
        <v>20</v>
      </c>
      <c r="J136" s="93"/>
    </row>
    <row r="137" spans="1:10" ht="12.75" customHeight="1" x14ac:dyDescent="0.3">
      <c r="A137" s="37">
        <v>42969</v>
      </c>
      <c r="B137" s="38" t="s">
        <v>49</v>
      </c>
      <c r="C137" s="38">
        <v>52</v>
      </c>
      <c r="D137" s="38">
        <v>135</v>
      </c>
      <c r="E137" s="38">
        <f t="shared" si="2"/>
        <v>83</v>
      </c>
      <c r="F137" s="39" t="str">
        <f>IF(E137="","",IF(E137&lt;=30,"Pass","Fail"))</f>
        <v>Fail</v>
      </c>
      <c r="G137" s="42">
        <v>1428</v>
      </c>
      <c r="H137" s="67" t="s">
        <v>55</v>
      </c>
      <c r="I137" s="70">
        <v>30</v>
      </c>
      <c r="J137" s="93"/>
    </row>
    <row r="138" spans="1:10" ht="12.75" customHeight="1" x14ac:dyDescent="0.3">
      <c r="A138" s="37">
        <v>42969</v>
      </c>
      <c r="B138" s="38" t="s">
        <v>47</v>
      </c>
      <c r="C138" s="38">
        <v>38</v>
      </c>
      <c r="D138" s="38">
        <v>59</v>
      </c>
      <c r="E138" s="38">
        <f t="shared" si="2"/>
        <v>21</v>
      </c>
      <c r="F138" s="39" t="str">
        <f>IF(E138="","",IF(E138&lt;=20,"Pass","Fail"))</f>
        <v>Fail</v>
      </c>
      <c r="G138" s="42">
        <v>1428</v>
      </c>
      <c r="H138" s="67" t="s">
        <v>55</v>
      </c>
      <c r="I138" s="70">
        <v>20</v>
      </c>
      <c r="J138" s="93"/>
    </row>
    <row r="139" spans="1:10" ht="12.75" customHeight="1" x14ac:dyDescent="0.3">
      <c r="A139" s="37">
        <v>42969</v>
      </c>
      <c r="B139" s="38" t="s">
        <v>49</v>
      </c>
      <c r="C139" s="38">
        <v>16</v>
      </c>
      <c r="D139" s="38">
        <v>24</v>
      </c>
      <c r="E139" s="38">
        <f t="shared" si="2"/>
        <v>8</v>
      </c>
      <c r="F139" s="39" t="str">
        <f>IF(E139="","",IF(E139&lt;=30,"Pass","Fail"))</f>
        <v>Pass</v>
      </c>
      <c r="G139" s="42">
        <v>1428</v>
      </c>
      <c r="H139" s="67" t="s">
        <v>55</v>
      </c>
      <c r="I139" s="70">
        <v>30</v>
      </c>
      <c r="J139" s="93"/>
    </row>
    <row r="140" spans="1:10" ht="12.75" customHeight="1" x14ac:dyDescent="0.3">
      <c r="A140" s="37">
        <v>42969</v>
      </c>
      <c r="B140" s="38" t="s">
        <v>47</v>
      </c>
      <c r="C140" s="38">
        <v>9</v>
      </c>
      <c r="D140" s="38">
        <v>11</v>
      </c>
      <c r="E140" s="38">
        <f t="shared" si="2"/>
        <v>2</v>
      </c>
      <c r="F140" s="39" t="str">
        <f>IF(E140="","",IF(E140&lt;=20,"Pass","Fail"))</f>
        <v>Pass</v>
      </c>
      <c r="G140" s="42">
        <v>1428</v>
      </c>
      <c r="H140" s="67" t="s">
        <v>55</v>
      </c>
      <c r="I140" s="70">
        <v>20</v>
      </c>
      <c r="J140" s="93"/>
    </row>
    <row r="141" spans="1:10" ht="12.75" customHeight="1" x14ac:dyDescent="0.3">
      <c r="A141" s="37">
        <v>42974</v>
      </c>
      <c r="B141" s="38" t="s">
        <v>49</v>
      </c>
      <c r="C141" s="38">
        <v>13</v>
      </c>
      <c r="D141" s="38">
        <v>54</v>
      </c>
      <c r="E141" s="38">
        <f t="shared" si="2"/>
        <v>41</v>
      </c>
      <c r="F141" s="39" t="str">
        <f>IF(E141="","",IF(E141&lt;=30,"Pass","Fail"))</f>
        <v>Fail</v>
      </c>
      <c r="G141" s="42">
        <v>121</v>
      </c>
      <c r="H141" s="67" t="s">
        <v>55</v>
      </c>
      <c r="I141" s="70">
        <v>30</v>
      </c>
      <c r="J141" s="93"/>
    </row>
    <row r="142" spans="1:10" ht="12.75" customHeight="1" x14ac:dyDescent="0.3">
      <c r="A142" s="37">
        <v>42974</v>
      </c>
      <c r="B142" s="38" t="s">
        <v>47</v>
      </c>
      <c r="C142" s="38">
        <v>26</v>
      </c>
      <c r="D142" s="38">
        <v>31</v>
      </c>
      <c r="E142" s="38">
        <f t="shared" si="2"/>
        <v>5</v>
      </c>
      <c r="F142" s="39" t="str">
        <f>IF(E142="","",IF(E142&lt;=20,"Pass","Fail"))</f>
        <v>Pass</v>
      </c>
      <c r="G142" s="42">
        <v>121</v>
      </c>
      <c r="H142" s="67" t="s">
        <v>55</v>
      </c>
      <c r="I142" s="70">
        <v>20</v>
      </c>
      <c r="J142" s="93"/>
    </row>
    <row r="143" spans="1:10" ht="12.75" customHeight="1" x14ac:dyDescent="0.3">
      <c r="A143" s="37">
        <v>42974</v>
      </c>
      <c r="B143" s="38" t="s">
        <v>49</v>
      </c>
      <c r="C143" s="38">
        <v>13</v>
      </c>
      <c r="D143" s="38">
        <v>27</v>
      </c>
      <c r="E143" s="38">
        <f t="shared" si="2"/>
        <v>14</v>
      </c>
      <c r="F143" s="39" t="str">
        <f>IF(E143="","",IF(E143&lt;=30,"Pass","Fail"))</f>
        <v>Pass</v>
      </c>
      <c r="G143" s="42">
        <v>121</v>
      </c>
      <c r="H143" s="67" t="s">
        <v>55</v>
      </c>
      <c r="I143" s="70">
        <v>30</v>
      </c>
      <c r="J143" s="93"/>
    </row>
    <row r="144" spans="1:10" ht="12.75" customHeight="1" x14ac:dyDescent="0.3">
      <c r="A144" s="37">
        <v>42977</v>
      </c>
      <c r="B144" s="38" t="s">
        <v>47</v>
      </c>
      <c r="C144" s="38">
        <v>47</v>
      </c>
      <c r="D144" s="38">
        <v>54</v>
      </c>
      <c r="E144" s="38">
        <f t="shared" si="2"/>
        <v>7</v>
      </c>
      <c r="F144" s="39" t="str">
        <f>IF(E144="","",IF(E144&lt;=20,"Pass","Fail"))</f>
        <v>Pass</v>
      </c>
      <c r="G144" s="42">
        <v>1428</v>
      </c>
      <c r="H144" s="67" t="s">
        <v>55</v>
      </c>
      <c r="I144" s="70">
        <v>20</v>
      </c>
      <c r="J144" s="93"/>
    </row>
    <row r="145" spans="1:10" ht="12.75" customHeight="1" x14ac:dyDescent="0.3">
      <c r="A145" s="37">
        <v>42977</v>
      </c>
      <c r="B145" s="38" t="s">
        <v>49</v>
      </c>
      <c r="C145" s="38">
        <v>80</v>
      </c>
      <c r="D145" s="38">
        <v>105</v>
      </c>
      <c r="E145" s="38">
        <f t="shared" si="2"/>
        <v>25</v>
      </c>
      <c r="F145" s="39" t="str">
        <f>IF(E145="","",IF(E145&lt;=30,"Pass","Fail"))</f>
        <v>Pass</v>
      </c>
      <c r="G145" s="42">
        <v>1428</v>
      </c>
      <c r="H145" s="67" t="s">
        <v>55</v>
      </c>
      <c r="I145" s="70">
        <v>30</v>
      </c>
      <c r="J145" s="93"/>
    </row>
    <row r="146" spans="1:10" ht="12.75" customHeight="1" x14ac:dyDescent="0.3">
      <c r="A146" s="37">
        <v>42981</v>
      </c>
      <c r="B146" s="38" t="s">
        <v>47</v>
      </c>
      <c r="C146" s="38">
        <v>28</v>
      </c>
      <c r="D146" s="38">
        <v>48</v>
      </c>
      <c r="E146" s="38">
        <f t="shared" si="2"/>
        <v>20</v>
      </c>
      <c r="F146" s="39" t="str">
        <f>IF(E146="","",IF(E146&lt;=20,"Pass","Fail"))</f>
        <v>Pass</v>
      </c>
      <c r="G146" s="42">
        <v>1335</v>
      </c>
      <c r="H146" s="67" t="s">
        <v>55</v>
      </c>
      <c r="I146" s="70">
        <v>20</v>
      </c>
      <c r="J146" s="93"/>
    </row>
    <row r="147" spans="1:10" ht="12.75" customHeight="1" x14ac:dyDescent="0.3">
      <c r="A147" s="37">
        <v>42981</v>
      </c>
      <c r="B147" s="38" t="s">
        <v>49</v>
      </c>
      <c r="C147" s="38">
        <v>15</v>
      </c>
      <c r="D147" s="38">
        <v>24</v>
      </c>
      <c r="E147" s="38">
        <f t="shared" si="2"/>
        <v>9</v>
      </c>
      <c r="F147" s="39" t="str">
        <f>IF(E147="","",IF(E147&lt;=30,"Pass","Fail"))</f>
        <v>Pass</v>
      </c>
      <c r="G147" s="42">
        <v>1335</v>
      </c>
      <c r="H147" s="67" t="s">
        <v>55</v>
      </c>
      <c r="I147" s="70">
        <v>30</v>
      </c>
      <c r="J147" s="93"/>
    </row>
    <row r="148" spans="1:10" ht="12.75" customHeight="1" x14ac:dyDescent="0.3">
      <c r="A148" s="37">
        <v>42989</v>
      </c>
      <c r="B148" s="38" t="s">
        <v>47</v>
      </c>
      <c r="C148" s="38">
        <v>47</v>
      </c>
      <c r="D148" s="38">
        <v>65</v>
      </c>
      <c r="E148" s="38">
        <f t="shared" si="2"/>
        <v>18</v>
      </c>
      <c r="F148" s="39" t="str">
        <f>IF(E148="","",IF(E148&lt;=20,"Pass","Fail"))</f>
        <v>Pass</v>
      </c>
      <c r="G148" s="42">
        <v>1534</v>
      </c>
      <c r="H148" s="67" t="s">
        <v>55</v>
      </c>
      <c r="I148" s="70">
        <v>20</v>
      </c>
      <c r="J148" s="93"/>
    </row>
    <row r="149" spans="1:10" ht="12.75" customHeight="1" x14ac:dyDescent="0.3">
      <c r="A149" s="37">
        <v>42989</v>
      </c>
      <c r="B149" s="38" t="s">
        <v>49</v>
      </c>
      <c r="C149" s="38">
        <v>47</v>
      </c>
      <c r="D149" s="38">
        <v>62</v>
      </c>
      <c r="E149" s="38">
        <f t="shared" si="2"/>
        <v>15</v>
      </c>
      <c r="F149" s="39" t="str">
        <f>IF(E149="","",IF(E149&lt;=30,"Pass","Fail"))</f>
        <v>Pass</v>
      </c>
      <c r="G149" s="42">
        <v>1534</v>
      </c>
      <c r="H149" s="67" t="s">
        <v>55</v>
      </c>
      <c r="I149" s="70">
        <v>30</v>
      </c>
      <c r="J149" s="93"/>
    </row>
    <row r="150" spans="1:10" ht="12.75" customHeight="1" x14ac:dyDescent="0.3">
      <c r="A150" s="37">
        <v>42994</v>
      </c>
      <c r="B150" s="38" t="s">
        <v>47</v>
      </c>
      <c r="C150" s="38">
        <v>9</v>
      </c>
      <c r="D150" s="38">
        <v>20</v>
      </c>
      <c r="E150" s="38">
        <f t="shared" si="2"/>
        <v>11</v>
      </c>
      <c r="F150" s="39" t="str">
        <f t="shared" ref="F150:F158" si="3">IF(E150="","",IF(E150&lt;=20,"Pass","Fail"))</f>
        <v>Pass</v>
      </c>
      <c r="G150" s="42">
        <v>1159</v>
      </c>
      <c r="H150" s="67" t="s">
        <v>55</v>
      </c>
      <c r="I150" s="70">
        <v>20</v>
      </c>
      <c r="J150" s="93"/>
    </row>
    <row r="151" spans="1:10" ht="12.75" customHeight="1" x14ac:dyDescent="0.3">
      <c r="A151" s="37">
        <v>42994</v>
      </c>
      <c r="B151" s="38" t="s">
        <v>49</v>
      </c>
      <c r="C151" s="38">
        <v>14</v>
      </c>
      <c r="D151" s="38">
        <v>17</v>
      </c>
      <c r="E151" s="38">
        <f t="shared" si="2"/>
        <v>3</v>
      </c>
      <c r="F151" s="39" t="str">
        <f>IF(E151="","",IF(E151&lt;=30,"Pass","Fail"))</f>
        <v>Pass</v>
      </c>
      <c r="G151" s="42">
        <v>1159</v>
      </c>
      <c r="H151" s="67" t="s">
        <v>55</v>
      </c>
      <c r="I151" s="70">
        <v>30</v>
      </c>
      <c r="J151" s="93"/>
    </row>
    <row r="152" spans="1:10" ht="12.75" customHeight="1" x14ac:dyDescent="0.3">
      <c r="A152" s="37">
        <v>42997</v>
      </c>
      <c r="B152" s="38" t="s">
        <v>47</v>
      </c>
      <c r="C152" s="38">
        <v>32</v>
      </c>
      <c r="D152" s="38">
        <v>46</v>
      </c>
      <c r="E152" s="38">
        <f t="shared" si="2"/>
        <v>14</v>
      </c>
      <c r="F152" s="39" t="str">
        <f t="shared" si="3"/>
        <v>Pass</v>
      </c>
      <c r="G152" s="42">
        <v>1428</v>
      </c>
      <c r="H152" s="67" t="s">
        <v>55</v>
      </c>
      <c r="I152" s="70">
        <v>20</v>
      </c>
      <c r="J152" s="93"/>
    </row>
    <row r="153" spans="1:10" ht="12.75" customHeight="1" x14ac:dyDescent="0.3">
      <c r="A153" s="37">
        <v>42997</v>
      </c>
      <c r="B153" s="38" t="s">
        <v>49</v>
      </c>
      <c r="C153" s="38">
        <v>32</v>
      </c>
      <c r="D153" s="38">
        <v>43</v>
      </c>
      <c r="E153" s="38">
        <f t="shared" si="2"/>
        <v>11</v>
      </c>
      <c r="F153" s="39" t="str">
        <f>IF(E153="","",IF(E153&lt;=30,"Pass","Fail"))</f>
        <v>Pass</v>
      </c>
      <c r="G153" s="42">
        <v>1428</v>
      </c>
      <c r="H153" s="67" t="s">
        <v>55</v>
      </c>
      <c r="I153" s="70">
        <v>30</v>
      </c>
      <c r="J153" s="93"/>
    </row>
    <row r="154" spans="1:10" ht="12.75" customHeight="1" x14ac:dyDescent="0.3">
      <c r="A154" s="37">
        <v>43000</v>
      </c>
      <c r="B154" s="38" t="s">
        <v>47</v>
      </c>
      <c r="C154" s="38">
        <v>32</v>
      </c>
      <c r="D154" s="38">
        <v>51</v>
      </c>
      <c r="E154" s="38">
        <f t="shared" si="2"/>
        <v>19</v>
      </c>
      <c r="F154" s="39" t="str">
        <f t="shared" si="3"/>
        <v>Pass</v>
      </c>
      <c r="G154" s="42">
        <v>1428</v>
      </c>
      <c r="H154" s="67" t="s">
        <v>55</v>
      </c>
      <c r="I154" s="70">
        <v>20</v>
      </c>
      <c r="J154" s="93"/>
    </row>
    <row r="155" spans="1:10" ht="12.75" customHeight="1" x14ac:dyDescent="0.3">
      <c r="A155" s="37">
        <v>43000</v>
      </c>
      <c r="B155" s="38" t="s">
        <v>49</v>
      </c>
      <c r="C155" s="38">
        <v>31</v>
      </c>
      <c r="D155" s="38">
        <v>43</v>
      </c>
      <c r="E155" s="38">
        <f t="shared" si="2"/>
        <v>12</v>
      </c>
      <c r="F155" s="39" t="str">
        <f>IF(E155="","",IF(E155&lt;=30,"Pass","Fail"))</f>
        <v>Pass</v>
      </c>
      <c r="G155" s="42">
        <v>1428</v>
      </c>
      <c r="H155" s="67" t="s">
        <v>55</v>
      </c>
      <c r="I155" s="70">
        <v>30</v>
      </c>
      <c r="J155" s="93"/>
    </row>
    <row r="156" spans="1:10" ht="12.75" customHeight="1" x14ac:dyDescent="0.3">
      <c r="A156" s="37">
        <v>43003</v>
      </c>
      <c r="B156" s="38" t="s">
        <v>47</v>
      </c>
      <c r="C156" s="38">
        <v>39</v>
      </c>
      <c r="D156" s="38">
        <v>43</v>
      </c>
      <c r="E156" s="38">
        <f t="shared" si="2"/>
        <v>4</v>
      </c>
      <c r="F156" s="39" t="str">
        <f t="shared" si="3"/>
        <v>Pass</v>
      </c>
      <c r="G156" s="42">
        <v>1159</v>
      </c>
      <c r="H156" s="67" t="s">
        <v>51</v>
      </c>
      <c r="I156" s="70">
        <v>20</v>
      </c>
      <c r="J156" s="93"/>
    </row>
    <row r="157" spans="1:10" ht="12.75" customHeight="1" x14ac:dyDescent="0.3">
      <c r="A157" s="37">
        <v>43003</v>
      </c>
      <c r="B157" s="38" t="s">
        <v>49</v>
      </c>
      <c r="C157" s="38">
        <v>24</v>
      </c>
      <c r="D157" s="38">
        <v>28</v>
      </c>
      <c r="E157" s="38">
        <f t="shared" si="2"/>
        <v>4</v>
      </c>
      <c r="F157" s="39" t="str">
        <f>IF(E157="","",IF(E157&lt;=30,"Pass","Fail"))</f>
        <v>Pass</v>
      </c>
      <c r="G157" s="42">
        <v>1159</v>
      </c>
      <c r="H157" s="67" t="s">
        <v>51</v>
      </c>
      <c r="I157" s="70">
        <v>30</v>
      </c>
      <c r="J157" s="93"/>
    </row>
    <row r="158" spans="1:10" ht="12.75" customHeight="1" x14ac:dyDescent="0.3">
      <c r="A158" s="37">
        <v>43007</v>
      </c>
      <c r="B158" s="38" t="s">
        <v>47</v>
      </c>
      <c r="C158" s="38">
        <v>10</v>
      </c>
      <c r="D158" s="38">
        <v>28</v>
      </c>
      <c r="E158" s="38">
        <f t="shared" si="2"/>
        <v>18</v>
      </c>
      <c r="F158" s="39" t="str">
        <f t="shared" si="3"/>
        <v>Pass</v>
      </c>
      <c r="G158" s="42">
        <v>1428</v>
      </c>
      <c r="H158" s="67" t="s">
        <v>51</v>
      </c>
      <c r="I158" s="70">
        <v>20</v>
      </c>
      <c r="J158" s="93"/>
    </row>
    <row r="159" spans="1:10" ht="12.75" customHeight="1" x14ac:dyDescent="0.3">
      <c r="A159" s="37">
        <v>43007</v>
      </c>
      <c r="B159" s="38" t="s">
        <v>49</v>
      </c>
      <c r="C159" s="38">
        <v>13</v>
      </c>
      <c r="D159" s="38">
        <v>90</v>
      </c>
      <c r="E159" s="38">
        <f t="shared" si="2"/>
        <v>77</v>
      </c>
      <c r="F159" s="39" t="str">
        <f>IF(E159="","",IF(E159&lt;=30,"Pass","Fail"))</f>
        <v>Fail</v>
      </c>
      <c r="G159" s="42">
        <v>1428</v>
      </c>
      <c r="H159" s="67" t="s">
        <v>51</v>
      </c>
      <c r="I159" s="70">
        <v>30</v>
      </c>
      <c r="J159" s="93"/>
    </row>
    <row r="160" spans="1:10" ht="12.75" customHeight="1" x14ac:dyDescent="0.3">
      <c r="A160" s="37">
        <v>43007</v>
      </c>
      <c r="B160" s="38" t="s">
        <v>49</v>
      </c>
      <c r="C160" s="38">
        <v>28</v>
      </c>
      <c r="D160" s="38">
        <v>33</v>
      </c>
      <c r="E160" s="38">
        <f t="shared" si="2"/>
        <v>5</v>
      </c>
      <c r="F160" s="39" t="str">
        <f>IF(E160="","",IF(E160&lt;=30,"Pass","Fail"))</f>
        <v>Pass</v>
      </c>
      <c r="G160" s="42">
        <v>1428</v>
      </c>
      <c r="H160" s="67" t="s">
        <v>51</v>
      </c>
      <c r="I160" s="70">
        <v>30</v>
      </c>
      <c r="J160" s="93"/>
    </row>
    <row r="161" spans="1:10" ht="12.75" customHeight="1" x14ac:dyDescent="0.3">
      <c r="A161" s="37">
        <v>43011</v>
      </c>
      <c r="B161" s="38" t="s">
        <v>47</v>
      </c>
      <c r="C161" s="38">
        <v>11</v>
      </c>
      <c r="D161" s="38">
        <v>64</v>
      </c>
      <c r="E161" s="38">
        <f t="shared" si="2"/>
        <v>53</v>
      </c>
      <c r="F161" s="39" t="str">
        <f>IF(E161="","",IF(E161&lt;=20,"Pass","Fail"))</f>
        <v>Fail</v>
      </c>
      <c r="G161" s="42">
        <v>1159</v>
      </c>
      <c r="H161" s="67" t="s">
        <v>51</v>
      </c>
      <c r="I161" s="70">
        <v>20</v>
      </c>
      <c r="J161" s="93"/>
    </row>
    <row r="162" spans="1:10" ht="12.75" customHeight="1" x14ac:dyDescent="0.3">
      <c r="A162" s="37">
        <v>43011</v>
      </c>
      <c r="B162" s="38" t="s">
        <v>49</v>
      </c>
      <c r="C162" s="38">
        <v>17</v>
      </c>
      <c r="D162" s="38">
        <v>25</v>
      </c>
      <c r="E162" s="38">
        <f t="shared" si="2"/>
        <v>8</v>
      </c>
      <c r="F162" s="39" t="str">
        <f>IF(E162="","",IF(E162&lt;=30,"Pass","Fail"))</f>
        <v>Pass</v>
      </c>
      <c r="G162" s="42">
        <v>1159</v>
      </c>
      <c r="H162" s="67" t="s">
        <v>51</v>
      </c>
      <c r="I162" s="70">
        <v>30</v>
      </c>
      <c r="J162" s="93"/>
    </row>
    <row r="163" spans="1:10" ht="12.75" customHeight="1" x14ac:dyDescent="0.3">
      <c r="A163" s="37">
        <v>43011</v>
      </c>
      <c r="B163" s="38" t="s">
        <v>47</v>
      </c>
      <c r="C163" s="38">
        <v>17</v>
      </c>
      <c r="D163" s="38">
        <v>14</v>
      </c>
      <c r="E163" s="38">
        <f t="shared" si="2"/>
        <v>-3</v>
      </c>
      <c r="F163" s="39" t="str">
        <f>IF(E163="","",IF(E163&lt;=20,"Pass","Fail"))</f>
        <v>Pass</v>
      </c>
      <c r="G163" s="42">
        <v>1159</v>
      </c>
      <c r="H163" s="67" t="s">
        <v>51</v>
      </c>
      <c r="I163" s="70">
        <v>20</v>
      </c>
      <c r="J163" s="93"/>
    </row>
    <row r="164" spans="1:10" ht="12.75" customHeight="1" x14ac:dyDescent="0.3">
      <c r="A164" s="74">
        <v>43017</v>
      </c>
      <c r="B164" s="38" t="s">
        <v>49</v>
      </c>
      <c r="C164" s="73">
        <v>36</v>
      </c>
      <c r="D164" s="73">
        <v>52</v>
      </c>
      <c r="E164" s="73">
        <f t="shared" si="2"/>
        <v>16</v>
      </c>
      <c r="F164" s="39" t="str">
        <f>IF(E164="","",IF(E164&lt;=30,"Pass","Fail"))</f>
        <v>Pass</v>
      </c>
      <c r="G164" s="43">
        <v>1428</v>
      </c>
      <c r="H164" s="67" t="s">
        <v>51</v>
      </c>
      <c r="I164" s="70">
        <v>30</v>
      </c>
      <c r="J164" s="93"/>
    </row>
    <row r="165" spans="1:10" ht="12.75" customHeight="1" x14ac:dyDescent="0.3">
      <c r="A165" s="74">
        <v>43017</v>
      </c>
      <c r="B165" s="38" t="s">
        <v>47</v>
      </c>
      <c r="C165" s="73">
        <v>27</v>
      </c>
      <c r="D165" s="73">
        <v>33</v>
      </c>
      <c r="E165" s="73">
        <f t="shared" si="2"/>
        <v>6</v>
      </c>
      <c r="F165" s="39" t="str">
        <f>IF(E165="","",IF(E165&lt;=20,"Pass","Fail"))</f>
        <v>Pass</v>
      </c>
      <c r="G165" s="43">
        <v>1428</v>
      </c>
      <c r="H165" s="67" t="s">
        <v>51</v>
      </c>
      <c r="I165" s="70">
        <v>20</v>
      </c>
      <c r="J165" s="93"/>
    </row>
    <row r="166" spans="1:10" ht="12.75" customHeight="1" x14ac:dyDescent="0.3">
      <c r="A166" s="74">
        <v>43020</v>
      </c>
      <c r="B166" s="40" t="s">
        <v>49</v>
      </c>
      <c r="C166" s="73">
        <v>57</v>
      </c>
      <c r="D166" s="73">
        <v>78</v>
      </c>
      <c r="E166" s="73">
        <f t="shared" si="2"/>
        <v>21</v>
      </c>
      <c r="F166" s="39" t="str">
        <f>IF(E166="","",IF(E166&lt;=30,"Pass","Fail"))</f>
        <v>Pass</v>
      </c>
      <c r="G166" s="43">
        <v>1428</v>
      </c>
      <c r="H166" s="67" t="s">
        <v>51</v>
      </c>
      <c r="I166" s="70">
        <v>30</v>
      </c>
      <c r="J166" s="93"/>
    </row>
    <row r="167" spans="1:10" ht="12.75" customHeight="1" x14ac:dyDescent="0.3">
      <c r="A167" s="74">
        <v>43020</v>
      </c>
      <c r="B167" s="40" t="s">
        <v>47</v>
      </c>
      <c r="C167" s="73">
        <v>34</v>
      </c>
      <c r="D167" s="73">
        <v>47</v>
      </c>
      <c r="E167" s="73">
        <f t="shared" si="2"/>
        <v>13</v>
      </c>
      <c r="F167" s="39" t="str">
        <f>IF(E167="","",IF(E167&lt;=20,"Pass","Fail"))</f>
        <v>Pass</v>
      </c>
      <c r="G167" s="43">
        <v>1428</v>
      </c>
      <c r="H167" s="67" t="s">
        <v>51</v>
      </c>
      <c r="I167" s="70">
        <v>20</v>
      </c>
      <c r="J167" s="93"/>
    </row>
    <row r="168" spans="1:10" ht="12.75" customHeight="1" x14ac:dyDescent="0.3">
      <c r="A168" s="74">
        <v>43024</v>
      </c>
      <c r="B168" s="40" t="s">
        <v>49</v>
      </c>
      <c r="C168" s="73">
        <v>7</v>
      </c>
      <c r="D168" s="73">
        <v>88</v>
      </c>
      <c r="E168" s="73">
        <f t="shared" si="2"/>
        <v>81</v>
      </c>
      <c r="F168" s="39" t="str">
        <f>IF(E168="","",IF(E168&lt;=30,"Pass","Fail"))</f>
        <v>Fail</v>
      </c>
      <c r="G168" s="43">
        <v>1335</v>
      </c>
      <c r="H168" s="67" t="s">
        <v>51</v>
      </c>
      <c r="I168" s="70">
        <v>30</v>
      </c>
      <c r="J168" s="93"/>
    </row>
    <row r="169" spans="1:10" ht="12.75" customHeight="1" x14ac:dyDescent="0.3">
      <c r="A169" s="74">
        <v>43024</v>
      </c>
      <c r="B169" s="40" t="s">
        <v>47</v>
      </c>
      <c r="C169" s="73">
        <v>8</v>
      </c>
      <c r="D169" s="73">
        <v>12</v>
      </c>
      <c r="E169" s="73">
        <f t="shared" si="2"/>
        <v>4</v>
      </c>
      <c r="F169" s="39" t="str">
        <f>IF(E169="","",IF(E169&lt;=20,"Pass","Fail"))</f>
        <v>Pass</v>
      </c>
      <c r="G169" s="43">
        <v>1335</v>
      </c>
      <c r="H169" s="67" t="s">
        <v>51</v>
      </c>
      <c r="I169" s="70">
        <v>20</v>
      </c>
      <c r="J169" s="93"/>
    </row>
    <row r="170" spans="1:10" ht="12.75" customHeight="1" x14ac:dyDescent="0.3">
      <c r="A170" s="74">
        <v>43024</v>
      </c>
      <c r="B170" s="40" t="s">
        <v>49</v>
      </c>
      <c r="C170" s="73">
        <v>8</v>
      </c>
      <c r="D170" s="73">
        <v>28</v>
      </c>
      <c r="E170" s="73">
        <f t="shared" si="2"/>
        <v>20</v>
      </c>
      <c r="F170" s="39" t="str">
        <f>IF(E170="","",IF(E170&lt;=30,"Pass","Fail"))</f>
        <v>Pass</v>
      </c>
      <c r="G170" s="43">
        <v>1335</v>
      </c>
      <c r="H170" s="67" t="s">
        <v>51</v>
      </c>
      <c r="I170" s="70">
        <v>30</v>
      </c>
      <c r="J170" s="93"/>
    </row>
    <row r="171" spans="1:10" ht="12.75" customHeight="1" x14ac:dyDescent="0.3">
      <c r="A171" s="74">
        <v>43028</v>
      </c>
      <c r="B171" s="40" t="s">
        <v>47</v>
      </c>
      <c r="C171" s="73">
        <v>8</v>
      </c>
      <c r="D171" s="73">
        <v>12</v>
      </c>
      <c r="E171" s="73">
        <f t="shared" si="2"/>
        <v>4</v>
      </c>
      <c r="F171" s="41" t="str">
        <f>IF(E171="","",IF(E171&lt;=20,"Pass","Fail"))</f>
        <v>Pass</v>
      </c>
      <c r="G171" s="43">
        <v>1335</v>
      </c>
      <c r="H171" s="67" t="s">
        <v>51</v>
      </c>
      <c r="I171" s="70">
        <v>20</v>
      </c>
      <c r="J171" s="93"/>
    </row>
    <row r="172" spans="1:10" ht="12.75" customHeight="1" x14ac:dyDescent="0.3">
      <c r="A172" s="74">
        <v>43028</v>
      </c>
      <c r="B172" s="40" t="s">
        <v>49</v>
      </c>
      <c r="C172" s="73">
        <v>7</v>
      </c>
      <c r="D172" s="73">
        <v>23</v>
      </c>
      <c r="E172" s="73">
        <f t="shared" si="2"/>
        <v>16</v>
      </c>
      <c r="F172" s="39" t="str">
        <f>IF(E172="","",IF(E172&lt;=30,"Pass","Fail"))</f>
        <v>Pass</v>
      </c>
      <c r="G172" s="43">
        <v>1335</v>
      </c>
      <c r="H172" s="67" t="s">
        <v>51</v>
      </c>
      <c r="I172" s="70">
        <v>30</v>
      </c>
      <c r="J172" s="93"/>
    </row>
    <row r="173" spans="1:10" ht="12.75" customHeight="1" x14ac:dyDescent="0.3">
      <c r="A173" s="37">
        <v>43032</v>
      </c>
      <c r="B173" s="38" t="s">
        <v>47</v>
      </c>
      <c r="C173" s="38">
        <v>12</v>
      </c>
      <c r="D173" s="38">
        <v>130</v>
      </c>
      <c r="E173" s="73">
        <f t="shared" ref="E173:E175" si="4">IF(((C173="")*AND(D173="")),"",D173-C173)</f>
        <v>118</v>
      </c>
      <c r="F173" s="41" t="str">
        <f>IF(E173="","",IF(E173&lt;=20,"Pass","Fail"))</f>
        <v>Fail</v>
      </c>
      <c r="G173" s="42">
        <v>1159</v>
      </c>
      <c r="H173" s="67" t="s">
        <v>51</v>
      </c>
      <c r="I173" s="70">
        <v>20</v>
      </c>
      <c r="J173" s="93"/>
    </row>
    <row r="174" spans="1:10" ht="12.75" customHeight="1" x14ac:dyDescent="0.3">
      <c r="A174" s="37">
        <v>43032</v>
      </c>
      <c r="B174" s="38" t="s">
        <v>47</v>
      </c>
      <c r="C174" s="38">
        <v>4</v>
      </c>
      <c r="D174" s="38">
        <v>23</v>
      </c>
      <c r="E174" s="73">
        <f t="shared" si="4"/>
        <v>19</v>
      </c>
      <c r="F174" s="41" t="str">
        <f>IF(E174="","",IF(E174&lt;=20,"Pass","Fail"))</f>
        <v>Pass</v>
      </c>
      <c r="G174" s="42">
        <v>1159</v>
      </c>
      <c r="H174" s="67" t="s">
        <v>51</v>
      </c>
      <c r="I174" s="70">
        <v>20</v>
      </c>
      <c r="J174" s="93"/>
    </row>
    <row r="175" spans="1:10" ht="12.75" customHeight="1" x14ac:dyDescent="0.3">
      <c r="A175" s="37">
        <v>43032</v>
      </c>
      <c r="B175" s="38" t="s">
        <v>49</v>
      </c>
      <c r="C175" s="38">
        <v>23</v>
      </c>
      <c r="D175" s="38">
        <v>33</v>
      </c>
      <c r="E175" s="73">
        <f t="shared" si="4"/>
        <v>10</v>
      </c>
      <c r="F175" s="39" t="str">
        <f>IF(E175="","",IF(E175&lt;=30,"Pass","Fail"))</f>
        <v>Pass</v>
      </c>
      <c r="G175" s="42">
        <v>1159</v>
      </c>
      <c r="H175" s="67" t="s">
        <v>51</v>
      </c>
      <c r="I175" s="70">
        <v>30</v>
      </c>
      <c r="J175" s="93"/>
    </row>
    <row r="176" spans="1:10" ht="12.75" customHeight="1" x14ac:dyDescent="0.3">
      <c r="A176" s="37">
        <v>43035</v>
      </c>
      <c r="B176" s="38" t="s">
        <v>47</v>
      </c>
      <c r="C176" s="38">
        <v>8</v>
      </c>
      <c r="D176" s="38">
        <v>94</v>
      </c>
      <c r="E176" s="73">
        <f>IF(((C176="")*AND(D176="")),"",D176-C176)</f>
        <v>86</v>
      </c>
      <c r="F176" s="41" t="str">
        <f>IF(E176="","",IF(E176&lt;=20,"Pass","Fail"))</f>
        <v>Fail</v>
      </c>
      <c r="G176" s="42">
        <v>102</v>
      </c>
      <c r="H176" s="67" t="s">
        <v>51</v>
      </c>
      <c r="I176" s="70">
        <v>20</v>
      </c>
      <c r="J176" s="93"/>
    </row>
    <row r="177" spans="1:10" ht="12.75" customHeight="1" x14ac:dyDescent="0.3">
      <c r="A177" s="37">
        <v>43035</v>
      </c>
      <c r="B177" s="38" t="s">
        <v>49</v>
      </c>
      <c r="C177" s="38">
        <v>13</v>
      </c>
      <c r="D177" s="38">
        <v>82</v>
      </c>
      <c r="E177" s="73">
        <f>IF(((C177="")*AND(D177="")),"",D177-C177)</f>
        <v>69</v>
      </c>
      <c r="F177" s="39" t="str">
        <f>IF(E177="","",IF(E177&lt;=30,"Pass","Fail"))</f>
        <v>Fail</v>
      </c>
      <c r="G177" s="42">
        <v>102</v>
      </c>
      <c r="H177" s="67" t="s">
        <v>51</v>
      </c>
      <c r="I177" s="70">
        <v>30</v>
      </c>
      <c r="J177" s="93"/>
    </row>
    <row r="178" spans="1:10" ht="12.75" customHeight="1" x14ac:dyDescent="0.3">
      <c r="A178" s="37">
        <v>43035</v>
      </c>
      <c r="B178" s="38" t="s">
        <v>47</v>
      </c>
      <c r="C178" s="38">
        <v>21</v>
      </c>
      <c r="D178" s="38">
        <v>60</v>
      </c>
      <c r="E178" s="73">
        <f>IF(((C178="")*AND(D178="")),"",D178-C178)</f>
        <v>39</v>
      </c>
      <c r="F178" s="41" t="str">
        <f>IF(E178="","",IF(E178&lt;=20,"Pass","Fail"))</f>
        <v>Fail</v>
      </c>
      <c r="G178" s="42">
        <v>102</v>
      </c>
      <c r="H178" s="67" t="s">
        <v>51</v>
      </c>
      <c r="I178" s="70">
        <v>20</v>
      </c>
      <c r="J178" s="93" t="s">
        <v>57</v>
      </c>
    </row>
    <row r="179" spans="1:10" ht="12.75" customHeight="1" x14ac:dyDescent="0.3">
      <c r="A179" s="37">
        <v>43035</v>
      </c>
      <c r="B179" s="38" t="s">
        <v>49</v>
      </c>
      <c r="C179" s="38">
        <v>17</v>
      </c>
      <c r="D179" s="38">
        <v>28</v>
      </c>
      <c r="E179" s="73">
        <f>IF(((C179="")*AND(D179="")),"",D179-C179)</f>
        <v>11</v>
      </c>
      <c r="F179" s="39" t="str">
        <f>IF(E179="","",IF(E179&lt;=30,"Pass","Fail"))</f>
        <v>Pass</v>
      </c>
      <c r="G179" s="42">
        <v>102</v>
      </c>
      <c r="H179" s="67" t="s">
        <v>51</v>
      </c>
      <c r="I179" s="70">
        <v>30</v>
      </c>
      <c r="J179" s="93" t="s">
        <v>57</v>
      </c>
    </row>
    <row r="180" spans="1:10" ht="12.75" customHeight="1" x14ac:dyDescent="0.3">
      <c r="A180" s="37">
        <v>43035</v>
      </c>
      <c r="B180" s="38" t="s">
        <v>47</v>
      </c>
      <c r="C180" s="38">
        <v>14</v>
      </c>
      <c r="D180" s="38">
        <v>22</v>
      </c>
      <c r="E180" s="73">
        <f t="shared" ref="E180:E207" si="5">IF(((C180="")*AND(D180="")),"",D180-C180)</f>
        <v>8</v>
      </c>
      <c r="F180" s="41" t="str">
        <f t="shared" ref="F180:F191" si="6">IF(E180="","",IF(E180&lt;=20,"Pass","Fail"))</f>
        <v>Pass</v>
      </c>
      <c r="G180" s="42">
        <v>102</v>
      </c>
      <c r="H180" s="67" t="s">
        <v>51</v>
      </c>
      <c r="I180" s="70">
        <v>20</v>
      </c>
      <c r="J180" s="93" t="s">
        <v>58</v>
      </c>
    </row>
    <row r="181" spans="1:10" ht="12.75" customHeight="1" x14ac:dyDescent="0.3">
      <c r="A181" s="37">
        <v>43038</v>
      </c>
      <c r="B181" s="38" t="s">
        <v>47</v>
      </c>
      <c r="C181" s="38">
        <v>10</v>
      </c>
      <c r="D181" s="38">
        <v>14</v>
      </c>
      <c r="E181" s="73">
        <f t="shared" si="5"/>
        <v>4</v>
      </c>
      <c r="F181" s="41" t="str">
        <f t="shared" si="6"/>
        <v>Pass</v>
      </c>
      <c r="G181" s="42">
        <v>102</v>
      </c>
      <c r="H181" s="67" t="s">
        <v>51</v>
      </c>
      <c r="I181" s="70">
        <v>20</v>
      </c>
      <c r="J181" s="93"/>
    </row>
    <row r="182" spans="1:10" ht="12.75" customHeight="1" x14ac:dyDescent="0.3">
      <c r="A182" s="37">
        <v>43038</v>
      </c>
      <c r="B182" s="38" t="s">
        <v>49</v>
      </c>
      <c r="C182" s="38">
        <v>14</v>
      </c>
      <c r="D182" s="38">
        <v>16</v>
      </c>
      <c r="E182" s="73">
        <f t="shared" si="5"/>
        <v>2</v>
      </c>
      <c r="F182" s="39" t="str">
        <f>IF(E182="","",IF(E182&lt;=30,"Pass","Fail"))</f>
        <v>Pass</v>
      </c>
      <c r="G182" s="42">
        <v>102</v>
      </c>
      <c r="H182" s="67" t="s">
        <v>51</v>
      </c>
      <c r="I182" s="70">
        <v>30</v>
      </c>
      <c r="J182" s="93"/>
    </row>
    <row r="183" spans="1:10" ht="12.75" customHeight="1" x14ac:dyDescent="0.3">
      <c r="A183" s="37">
        <v>43041</v>
      </c>
      <c r="B183" s="38" t="s">
        <v>47</v>
      </c>
      <c r="C183" s="38">
        <v>12</v>
      </c>
      <c r="D183" s="38">
        <v>17</v>
      </c>
      <c r="E183" s="73">
        <f t="shared" si="5"/>
        <v>5</v>
      </c>
      <c r="F183" s="41" t="str">
        <f t="shared" si="6"/>
        <v>Pass</v>
      </c>
      <c r="G183" s="42">
        <v>1428</v>
      </c>
      <c r="H183" s="67" t="s">
        <v>51</v>
      </c>
      <c r="I183" s="70">
        <v>20</v>
      </c>
      <c r="J183" s="93"/>
    </row>
    <row r="184" spans="1:10" ht="12.75" customHeight="1" x14ac:dyDescent="0.3">
      <c r="A184" s="37">
        <v>43041</v>
      </c>
      <c r="B184" s="38" t="s">
        <v>49</v>
      </c>
      <c r="C184" s="38">
        <v>5</v>
      </c>
      <c r="D184" s="38">
        <v>24</v>
      </c>
      <c r="E184" s="73">
        <f t="shared" si="5"/>
        <v>19</v>
      </c>
      <c r="F184" s="39" t="str">
        <f>IF(E184="","",IF(E184&lt;=30,"Pass","Fail"))</f>
        <v>Pass</v>
      </c>
      <c r="G184" s="42">
        <v>1428</v>
      </c>
      <c r="H184" s="67" t="s">
        <v>51</v>
      </c>
      <c r="I184" s="70">
        <v>30</v>
      </c>
      <c r="J184" s="93"/>
    </row>
    <row r="185" spans="1:10" ht="12.75" customHeight="1" x14ac:dyDescent="0.3">
      <c r="A185" s="37">
        <v>43045</v>
      </c>
      <c r="B185" s="38" t="s">
        <v>47</v>
      </c>
      <c r="C185" s="38">
        <v>13</v>
      </c>
      <c r="D185" s="38">
        <v>12</v>
      </c>
      <c r="E185" s="73">
        <f t="shared" si="5"/>
        <v>-1</v>
      </c>
      <c r="F185" s="41" t="str">
        <f t="shared" si="6"/>
        <v>Pass</v>
      </c>
      <c r="G185" s="42">
        <v>102</v>
      </c>
      <c r="H185" s="67" t="s">
        <v>51</v>
      </c>
      <c r="I185" s="70">
        <v>20</v>
      </c>
      <c r="J185" s="93"/>
    </row>
    <row r="186" spans="1:10" ht="12.75" customHeight="1" x14ac:dyDescent="0.3">
      <c r="A186" s="37">
        <v>43045</v>
      </c>
      <c r="B186" s="38" t="s">
        <v>49</v>
      </c>
      <c r="C186" s="38">
        <v>24</v>
      </c>
      <c r="D186" s="38">
        <v>39</v>
      </c>
      <c r="E186" s="73">
        <f t="shared" si="5"/>
        <v>15</v>
      </c>
      <c r="F186" s="41" t="str">
        <f t="shared" si="6"/>
        <v>Pass</v>
      </c>
      <c r="G186" s="42">
        <v>102</v>
      </c>
      <c r="H186" s="67" t="s">
        <v>51</v>
      </c>
      <c r="I186" s="70">
        <v>30</v>
      </c>
      <c r="J186" s="93"/>
    </row>
    <row r="187" spans="1:10" ht="12.75" customHeight="1" x14ac:dyDescent="0.3">
      <c r="A187" s="37">
        <v>43048</v>
      </c>
      <c r="B187" s="38" t="s">
        <v>47</v>
      </c>
      <c r="C187" s="38">
        <v>11</v>
      </c>
      <c r="D187" s="38">
        <v>16</v>
      </c>
      <c r="E187" s="73">
        <f t="shared" si="5"/>
        <v>5</v>
      </c>
      <c r="F187" s="41" t="str">
        <f t="shared" si="6"/>
        <v>Pass</v>
      </c>
      <c r="G187" s="42">
        <v>1159</v>
      </c>
      <c r="H187" s="67" t="s">
        <v>51</v>
      </c>
      <c r="I187" s="70">
        <v>20</v>
      </c>
      <c r="J187" s="93"/>
    </row>
    <row r="188" spans="1:10" ht="12.75" customHeight="1" x14ac:dyDescent="0.3">
      <c r="A188" s="37">
        <v>43048</v>
      </c>
      <c r="B188" s="38" t="s">
        <v>49</v>
      </c>
      <c r="C188" s="38">
        <v>12</v>
      </c>
      <c r="D188" s="38">
        <v>19</v>
      </c>
      <c r="E188" s="73">
        <f t="shared" si="5"/>
        <v>7</v>
      </c>
      <c r="F188" s="41" t="str">
        <f t="shared" si="6"/>
        <v>Pass</v>
      </c>
      <c r="G188" s="42">
        <v>1159</v>
      </c>
      <c r="H188" s="67" t="s">
        <v>51</v>
      </c>
      <c r="I188" s="70">
        <v>30</v>
      </c>
      <c r="J188" s="93"/>
    </row>
    <row r="189" spans="1:10" ht="12.75" customHeight="1" x14ac:dyDescent="0.3">
      <c r="A189" s="37">
        <v>43052</v>
      </c>
      <c r="B189" s="38" t="s">
        <v>47</v>
      </c>
      <c r="C189" s="38">
        <v>16</v>
      </c>
      <c r="D189" s="38">
        <v>29</v>
      </c>
      <c r="E189" s="73">
        <f t="shared" si="5"/>
        <v>13</v>
      </c>
      <c r="F189" s="41" t="str">
        <f t="shared" si="6"/>
        <v>Pass</v>
      </c>
      <c r="G189" s="42">
        <v>1335</v>
      </c>
      <c r="H189" s="67" t="s">
        <v>51</v>
      </c>
      <c r="I189" s="70">
        <v>20</v>
      </c>
      <c r="J189" s="93"/>
    </row>
    <row r="190" spans="1:10" ht="12.75" customHeight="1" x14ac:dyDescent="0.3">
      <c r="A190" s="37">
        <v>43052</v>
      </c>
      <c r="B190" s="38" t="s">
        <v>49</v>
      </c>
      <c r="C190" s="38">
        <v>23</v>
      </c>
      <c r="D190" s="38">
        <v>29</v>
      </c>
      <c r="E190" s="73">
        <f t="shared" si="5"/>
        <v>6</v>
      </c>
      <c r="F190" s="41" t="str">
        <f t="shared" si="6"/>
        <v>Pass</v>
      </c>
      <c r="G190" s="42">
        <v>1335</v>
      </c>
      <c r="H190" s="67" t="s">
        <v>51</v>
      </c>
      <c r="I190" s="70">
        <v>30</v>
      </c>
      <c r="J190" s="93"/>
    </row>
    <row r="191" spans="1:10" ht="12.75" customHeight="1" x14ac:dyDescent="0.3">
      <c r="A191" s="37">
        <v>43055</v>
      </c>
      <c r="B191" s="38" t="s">
        <v>47</v>
      </c>
      <c r="C191" s="38">
        <v>29</v>
      </c>
      <c r="D191" s="38">
        <v>44</v>
      </c>
      <c r="E191" s="73">
        <f t="shared" si="5"/>
        <v>15</v>
      </c>
      <c r="F191" s="41" t="str">
        <f t="shared" si="6"/>
        <v>Pass</v>
      </c>
      <c r="G191" s="42">
        <v>102</v>
      </c>
      <c r="H191" s="67" t="s">
        <v>51</v>
      </c>
      <c r="I191" s="70">
        <v>20</v>
      </c>
      <c r="J191" s="93"/>
    </row>
    <row r="192" spans="1:10" ht="12.75" customHeight="1" x14ac:dyDescent="0.3">
      <c r="A192" s="37">
        <v>43055</v>
      </c>
      <c r="B192" s="38" t="s">
        <v>49</v>
      </c>
      <c r="C192" s="38">
        <v>32</v>
      </c>
      <c r="D192" s="38">
        <v>81</v>
      </c>
      <c r="E192" s="73">
        <f t="shared" si="5"/>
        <v>49</v>
      </c>
      <c r="F192" s="39" t="str">
        <f t="shared" ref="F192:F207" si="7">IF(E192="","",IF(E192&lt;=30,"Pass","Fail"))</f>
        <v>Fail</v>
      </c>
      <c r="G192" s="42">
        <v>102</v>
      </c>
      <c r="H192" s="67" t="s">
        <v>51</v>
      </c>
      <c r="I192" s="70">
        <v>30</v>
      </c>
      <c r="J192" s="93"/>
    </row>
    <row r="193" spans="1:10" ht="12.75" customHeight="1" x14ac:dyDescent="0.3">
      <c r="A193" s="37">
        <v>43055</v>
      </c>
      <c r="B193" s="38" t="s">
        <v>49</v>
      </c>
      <c r="C193" s="38">
        <v>19</v>
      </c>
      <c r="D193" s="38">
        <v>22</v>
      </c>
      <c r="E193" s="73">
        <f t="shared" si="5"/>
        <v>3</v>
      </c>
      <c r="F193" s="39" t="str">
        <f t="shared" si="7"/>
        <v>Pass</v>
      </c>
      <c r="G193" s="42">
        <v>102</v>
      </c>
      <c r="H193" s="67" t="s">
        <v>51</v>
      </c>
      <c r="I193" s="70">
        <v>30</v>
      </c>
      <c r="J193" s="93"/>
    </row>
    <row r="194" spans="1:10" ht="12.75" customHeight="1" x14ac:dyDescent="0.3">
      <c r="A194" s="37">
        <v>43060</v>
      </c>
      <c r="B194" s="38" t="s">
        <v>47</v>
      </c>
      <c r="C194" s="38">
        <v>11</v>
      </c>
      <c r="D194" s="38">
        <v>23</v>
      </c>
      <c r="E194" s="73">
        <f t="shared" si="5"/>
        <v>12</v>
      </c>
      <c r="F194" s="39" t="str">
        <f t="shared" si="7"/>
        <v>Pass</v>
      </c>
      <c r="G194" s="42">
        <v>121</v>
      </c>
      <c r="H194" s="67" t="s">
        <v>51</v>
      </c>
      <c r="I194" s="70">
        <v>20</v>
      </c>
      <c r="J194" s="93"/>
    </row>
    <row r="195" spans="1:10" ht="12.75" customHeight="1" x14ac:dyDescent="0.3">
      <c r="A195" s="37">
        <v>43060</v>
      </c>
      <c r="B195" s="38" t="s">
        <v>49</v>
      </c>
      <c r="C195" s="38">
        <v>49</v>
      </c>
      <c r="D195" s="38">
        <v>70</v>
      </c>
      <c r="E195" s="73">
        <f t="shared" si="5"/>
        <v>21</v>
      </c>
      <c r="F195" s="39" t="str">
        <f t="shared" si="7"/>
        <v>Pass</v>
      </c>
      <c r="G195" s="42">
        <v>121</v>
      </c>
      <c r="H195" s="67" t="s">
        <v>51</v>
      </c>
      <c r="I195" s="70">
        <v>30</v>
      </c>
      <c r="J195" s="93"/>
    </row>
    <row r="196" spans="1:10" ht="12.75" customHeight="1" x14ac:dyDescent="0.3">
      <c r="A196" s="37">
        <v>43063</v>
      </c>
      <c r="B196" s="38" t="s">
        <v>47</v>
      </c>
      <c r="C196" s="38">
        <v>23</v>
      </c>
      <c r="D196" s="38">
        <v>41</v>
      </c>
      <c r="E196" s="73">
        <f t="shared" si="5"/>
        <v>18</v>
      </c>
      <c r="F196" s="39" t="str">
        <f t="shared" si="7"/>
        <v>Pass</v>
      </c>
      <c r="G196" s="42">
        <v>1335</v>
      </c>
      <c r="H196" s="67" t="s">
        <v>51</v>
      </c>
      <c r="I196" s="70">
        <v>20</v>
      </c>
      <c r="J196" s="93"/>
    </row>
    <row r="197" spans="1:10" ht="12.75" customHeight="1" x14ac:dyDescent="0.3">
      <c r="A197" s="37">
        <v>43063</v>
      </c>
      <c r="B197" s="38" t="s">
        <v>49</v>
      </c>
      <c r="C197" s="38">
        <v>5</v>
      </c>
      <c r="D197" s="38">
        <v>65</v>
      </c>
      <c r="E197" s="73">
        <f>IF(((C197="")*AND(D197="")),"",D197-C197)</f>
        <v>60</v>
      </c>
      <c r="F197" s="39" t="str">
        <f t="shared" si="7"/>
        <v>Fail</v>
      </c>
      <c r="G197" s="42">
        <v>1335</v>
      </c>
      <c r="H197" s="67" t="s">
        <v>51</v>
      </c>
      <c r="I197" s="70">
        <v>30</v>
      </c>
      <c r="J197" s="93"/>
    </row>
    <row r="198" spans="1:10" ht="12.75" customHeight="1" x14ac:dyDescent="0.3">
      <c r="A198" s="37">
        <v>43063</v>
      </c>
      <c r="B198" s="38" t="s">
        <v>49</v>
      </c>
      <c r="C198" s="38">
        <v>12</v>
      </c>
      <c r="D198" s="38">
        <v>42</v>
      </c>
      <c r="E198" s="73">
        <f>IF(((C198="")*AND(D198="")),"",D198-C198)</f>
        <v>30</v>
      </c>
      <c r="F198" s="39" t="str">
        <f t="shared" si="7"/>
        <v>Pass</v>
      </c>
      <c r="G198" s="42">
        <v>121</v>
      </c>
      <c r="H198" s="67" t="s">
        <v>51</v>
      </c>
      <c r="I198" s="70">
        <v>30</v>
      </c>
      <c r="J198" s="93"/>
    </row>
    <row r="199" spans="1:10" ht="12.75" customHeight="1" x14ac:dyDescent="0.3">
      <c r="A199" s="37">
        <v>43066</v>
      </c>
      <c r="B199" s="38" t="s">
        <v>47</v>
      </c>
      <c r="C199" s="38">
        <v>27</v>
      </c>
      <c r="D199" s="38">
        <v>42</v>
      </c>
      <c r="E199" s="73">
        <f t="shared" si="5"/>
        <v>15</v>
      </c>
      <c r="F199" s="39" t="str">
        <f t="shared" si="7"/>
        <v>Pass</v>
      </c>
      <c r="G199" s="42">
        <v>102</v>
      </c>
      <c r="H199" s="67" t="s">
        <v>51</v>
      </c>
      <c r="I199" s="70">
        <v>20</v>
      </c>
      <c r="J199" s="93"/>
    </row>
    <row r="200" spans="1:10" ht="12.75" customHeight="1" x14ac:dyDescent="0.3">
      <c r="A200" s="37">
        <v>43066</v>
      </c>
      <c r="B200" s="38" t="s">
        <v>49</v>
      </c>
      <c r="C200" s="38">
        <v>31</v>
      </c>
      <c r="D200" s="38">
        <v>67</v>
      </c>
      <c r="E200" s="73">
        <f t="shared" si="5"/>
        <v>36</v>
      </c>
      <c r="F200" s="39" t="str">
        <f t="shared" si="7"/>
        <v>Fail</v>
      </c>
      <c r="G200" s="42">
        <v>102</v>
      </c>
      <c r="H200" s="67" t="s">
        <v>51</v>
      </c>
      <c r="I200" s="70">
        <v>30</v>
      </c>
      <c r="J200" s="93"/>
    </row>
    <row r="201" spans="1:10" ht="12.75" customHeight="1" x14ac:dyDescent="0.3">
      <c r="A201" s="37">
        <v>43066</v>
      </c>
      <c r="B201" s="38" t="s">
        <v>49</v>
      </c>
      <c r="C201" s="38">
        <v>26</v>
      </c>
      <c r="D201" s="38">
        <v>28</v>
      </c>
      <c r="E201" s="73">
        <f t="shared" si="5"/>
        <v>2</v>
      </c>
      <c r="F201" s="39" t="str">
        <f t="shared" si="7"/>
        <v>Pass</v>
      </c>
      <c r="G201" s="42">
        <v>1159</v>
      </c>
      <c r="H201" s="67" t="s">
        <v>51</v>
      </c>
      <c r="I201" s="70">
        <v>30</v>
      </c>
      <c r="J201" s="93"/>
    </row>
    <row r="202" spans="1:10" ht="12.75" customHeight="1" x14ac:dyDescent="0.3">
      <c r="A202" s="37">
        <v>43069</v>
      </c>
      <c r="B202" s="38" t="s">
        <v>47</v>
      </c>
      <c r="C202" s="38">
        <v>8</v>
      </c>
      <c r="D202" s="38">
        <v>20</v>
      </c>
      <c r="E202" s="73">
        <f t="shared" si="5"/>
        <v>12</v>
      </c>
      <c r="F202" s="39" t="str">
        <f t="shared" si="7"/>
        <v>Pass</v>
      </c>
      <c r="G202" s="42">
        <v>1159</v>
      </c>
      <c r="H202" s="67" t="s">
        <v>51</v>
      </c>
      <c r="I202" s="70">
        <v>20</v>
      </c>
      <c r="J202" s="93"/>
    </row>
    <row r="203" spans="1:10" ht="12.75" customHeight="1" x14ac:dyDescent="0.3">
      <c r="A203" s="37">
        <v>43069</v>
      </c>
      <c r="B203" s="38" t="s">
        <v>49</v>
      </c>
      <c r="C203" s="38">
        <v>7</v>
      </c>
      <c r="D203" s="38">
        <v>27</v>
      </c>
      <c r="E203" s="73">
        <f t="shared" si="5"/>
        <v>20</v>
      </c>
      <c r="F203" s="39" t="str">
        <f t="shared" si="7"/>
        <v>Pass</v>
      </c>
      <c r="G203" s="42">
        <v>1159</v>
      </c>
      <c r="H203" s="67" t="s">
        <v>51</v>
      </c>
      <c r="I203" s="70">
        <v>30</v>
      </c>
      <c r="J203" s="93"/>
    </row>
    <row r="204" spans="1:10" ht="12.75" customHeight="1" x14ac:dyDescent="0.3">
      <c r="A204" s="37">
        <v>43073</v>
      </c>
      <c r="B204" s="38" t="s">
        <v>47</v>
      </c>
      <c r="C204" s="38">
        <v>42</v>
      </c>
      <c r="D204" s="38">
        <v>56</v>
      </c>
      <c r="E204" s="73">
        <f t="shared" si="5"/>
        <v>14</v>
      </c>
      <c r="F204" s="39" t="str">
        <f t="shared" si="7"/>
        <v>Pass</v>
      </c>
      <c r="G204" s="42">
        <v>1428</v>
      </c>
      <c r="H204" s="67" t="s">
        <v>51</v>
      </c>
      <c r="I204" s="70">
        <v>20</v>
      </c>
      <c r="J204" s="93"/>
    </row>
    <row r="205" spans="1:10" ht="12.75" customHeight="1" x14ac:dyDescent="0.3">
      <c r="A205" s="37">
        <v>43073</v>
      </c>
      <c r="B205" s="38" t="s">
        <v>49</v>
      </c>
      <c r="C205" s="38">
        <v>39</v>
      </c>
      <c r="D205" s="38">
        <v>58</v>
      </c>
      <c r="E205" s="73">
        <f t="shared" si="5"/>
        <v>19</v>
      </c>
      <c r="F205" s="39" t="str">
        <f t="shared" si="7"/>
        <v>Pass</v>
      </c>
      <c r="G205" s="42">
        <v>1428</v>
      </c>
      <c r="H205" s="67" t="s">
        <v>51</v>
      </c>
      <c r="I205" s="70">
        <v>30</v>
      </c>
      <c r="J205" s="93"/>
    </row>
    <row r="206" spans="1:10" ht="12.75" customHeight="1" x14ac:dyDescent="0.3">
      <c r="A206" s="37">
        <v>43077</v>
      </c>
      <c r="B206" s="38" t="s">
        <v>47</v>
      </c>
      <c r="C206" s="38">
        <v>17</v>
      </c>
      <c r="D206" s="38">
        <v>18</v>
      </c>
      <c r="E206" s="73">
        <f t="shared" si="5"/>
        <v>1</v>
      </c>
      <c r="F206" s="39" t="str">
        <f t="shared" si="7"/>
        <v>Pass</v>
      </c>
      <c r="G206" s="42">
        <v>102</v>
      </c>
      <c r="H206" s="67" t="s">
        <v>51</v>
      </c>
      <c r="I206" s="70">
        <v>20</v>
      </c>
      <c r="J206" s="93"/>
    </row>
    <row r="207" spans="1:10" ht="12.75" customHeight="1" x14ac:dyDescent="0.3">
      <c r="A207" s="37">
        <v>43077</v>
      </c>
      <c r="B207" s="38" t="s">
        <v>49</v>
      </c>
      <c r="C207" s="38">
        <v>25</v>
      </c>
      <c r="D207" s="38">
        <v>34</v>
      </c>
      <c r="E207" s="73">
        <f t="shared" si="5"/>
        <v>9</v>
      </c>
      <c r="F207" s="39" t="str">
        <f t="shared" si="7"/>
        <v>Pass</v>
      </c>
      <c r="G207" s="42">
        <v>102</v>
      </c>
      <c r="H207" s="67" t="s">
        <v>51</v>
      </c>
      <c r="I207" s="70">
        <v>30</v>
      </c>
      <c r="J207" s="93"/>
    </row>
    <row r="208" spans="1:10" ht="12.75" customHeight="1" x14ac:dyDescent="0.3">
      <c r="A208" s="37">
        <v>43080</v>
      </c>
      <c r="B208" s="38" t="s">
        <v>47</v>
      </c>
      <c r="C208" s="38">
        <v>22</v>
      </c>
      <c r="D208" s="38">
        <v>25</v>
      </c>
      <c r="E208" s="73">
        <f>IF(((C208="")*AND(D208="")),"",D208-C208)</f>
        <v>3</v>
      </c>
      <c r="F208" s="39" t="str">
        <f>IF(E208="","",IF(E208&lt;=30,"Pass","Fail"))</f>
        <v>Pass</v>
      </c>
      <c r="G208" s="42">
        <v>1335</v>
      </c>
      <c r="H208" s="67" t="s">
        <v>51</v>
      </c>
      <c r="I208" s="70">
        <v>20</v>
      </c>
      <c r="J208" s="93"/>
    </row>
    <row r="209" spans="1:10" ht="12.75" customHeight="1" x14ac:dyDescent="0.3">
      <c r="A209" s="37">
        <v>43080</v>
      </c>
      <c r="B209" s="38" t="s">
        <v>49</v>
      </c>
      <c r="C209" s="38">
        <v>20</v>
      </c>
      <c r="D209" s="38">
        <v>200</v>
      </c>
      <c r="E209" s="73">
        <f>IF(((C209="")*AND(D209="")),"",D209-C209)</f>
        <v>180</v>
      </c>
      <c r="F209" s="39" t="str">
        <f>IF(E209="","",IF(E209&lt;=30,"Pass","Fail"))</f>
        <v>Fail</v>
      </c>
      <c r="G209" s="42">
        <v>1335</v>
      </c>
      <c r="H209" s="67" t="s">
        <v>51</v>
      </c>
      <c r="I209" s="70">
        <v>30</v>
      </c>
      <c r="J209" s="93"/>
    </row>
    <row r="210" spans="1:10" ht="12.75" customHeight="1" x14ac:dyDescent="0.3">
      <c r="A210" s="37">
        <v>43081</v>
      </c>
      <c r="B210" s="38" t="s">
        <v>49</v>
      </c>
      <c r="C210" s="38">
        <v>35</v>
      </c>
      <c r="D210" s="38">
        <v>41</v>
      </c>
      <c r="E210" s="73">
        <f t="shared" ref="E210:E224" si="8">IF(((C210="")*AND(D210="")),"",D210-C210)</f>
        <v>6</v>
      </c>
      <c r="F210" s="39" t="str">
        <f t="shared" ref="F210:F224" si="9">IF(E210="","",IF(E210&lt;=30,"Pass","Fail"))</f>
        <v>Pass</v>
      </c>
      <c r="G210" s="42">
        <v>1335</v>
      </c>
      <c r="H210" s="67" t="s">
        <v>51</v>
      </c>
      <c r="I210" s="70">
        <v>30</v>
      </c>
      <c r="J210" s="93"/>
    </row>
    <row r="211" spans="1:10" ht="12.75" customHeight="1" x14ac:dyDescent="0.3">
      <c r="A211" s="37">
        <v>43084</v>
      </c>
      <c r="B211" s="38" t="s">
        <v>47</v>
      </c>
      <c r="C211" s="38">
        <v>6</v>
      </c>
      <c r="D211" s="38">
        <v>25</v>
      </c>
      <c r="E211" s="73">
        <f t="shared" si="8"/>
        <v>19</v>
      </c>
      <c r="F211" s="39" t="str">
        <f>IF(E211="","",IF(E211&lt;=20,"Pass","Fail"))</f>
        <v>Pass</v>
      </c>
      <c r="G211" s="42">
        <v>1335</v>
      </c>
      <c r="H211" s="67" t="s">
        <v>51</v>
      </c>
      <c r="I211" s="70">
        <v>20</v>
      </c>
      <c r="J211" s="93"/>
    </row>
    <row r="212" spans="1:10" ht="12.75" customHeight="1" x14ac:dyDescent="0.3">
      <c r="A212" s="37">
        <v>43084</v>
      </c>
      <c r="B212" s="38" t="s">
        <v>49</v>
      </c>
      <c r="C212" s="38">
        <v>26</v>
      </c>
      <c r="D212" s="38">
        <v>37</v>
      </c>
      <c r="E212" s="73">
        <f t="shared" si="8"/>
        <v>11</v>
      </c>
      <c r="F212" s="39" t="str">
        <f t="shared" si="9"/>
        <v>Pass</v>
      </c>
      <c r="G212" s="42">
        <v>1335</v>
      </c>
      <c r="H212" s="67" t="s">
        <v>51</v>
      </c>
      <c r="I212" s="70">
        <v>30</v>
      </c>
      <c r="J212" s="93"/>
    </row>
    <row r="213" spans="1:10" ht="12.75" customHeight="1" x14ac:dyDescent="0.3">
      <c r="A213" s="37">
        <v>43088</v>
      </c>
      <c r="B213" s="38" t="s">
        <v>47</v>
      </c>
      <c r="C213" s="38">
        <v>2</v>
      </c>
      <c r="D213" s="38">
        <v>8</v>
      </c>
      <c r="E213" s="73">
        <f t="shared" si="8"/>
        <v>6</v>
      </c>
      <c r="F213" s="39" t="str">
        <f>IF(E213="","",IF(E213&lt;=20,"Pass","Fail"))</f>
        <v>Pass</v>
      </c>
      <c r="G213" s="42">
        <v>1335</v>
      </c>
      <c r="H213" s="67" t="s">
        <v>51</v>
      </c>
      <c r="I213" s="70">
        <v>20</v>
      </c>
      <c r="J213" s="93"/>
    </row>
    <row r="214" spans="1:10" ht="12.75" customHeight="1" x14ac:dyDescent="0.3">
      <c r="A214" s="37">
        <v>43088</v>
      </c>
      <c r="B214" s="38" t="s">
        <v>49</v>
      </c>
      <c r="C214" s="38">
        <v>14</v>
      </c>
      <c r="D214" s="38">
        <v>31</v>
      </c>
      <c r="E214" s="73">
        <f t="shared" si="8"/>
        <v>17</v>
      </c>
      <c r="F214" s="39" t="str">
        <f t="shared" si="9"/>
        <v>Pass</v>
      </c>
      <c r="G214" s="42">
        <v>1335</v>
      </c>
      <c r="H214" s="67" t="s">
        <v>51</v>
      </c>
      <c r="I214" s="70">
        <v>30</v>
      </c>
      <c r="J214" s="93"/>
    </row>
    <row r="215" spans="1:10" ht="12.75" customHeight="1" x14ac:dyDescent="0.3">
      <c r="A215" s="37">
        <v>43091</v>
      </c>
      <c r="B215" s="38" t="s">
        <v>47</v>
      </c>
      <c r="C215" s="38">
        <v>23</v>
      </c>
      <c r="D215" s="38">
        <v>34</v>
      </c>
      <c r="E215" s="73">
        <f t="shared" si="8"/>
        <v>11</v>
      </c>
      <c r="F215" s="39" t="str">
        <f>IF(E215="","",IF(E215&lt;=20,"Pass","Fail"))</f>
        <v>Pass</v>
      </c>
      <c r="G215" s="42">
        <v>121</v>
      </c>
      <c r="H215" s="67" t="s">
        <v>51</v>
      </c>
      <c r="I215" s="70">
        <v>20</v>
      </c>
      <c r="J215" s="93"/>
    </row>
    <row r="216" spans="1:10" ht="12.75" customHeight="1" x14ac:dyDescent="0.3">
      <c r="A216" s="37">
        <v>43091</v>
      </c>
      <c r="B216" s="38" t="s">
        <v>49</v>
      </c>
      <c r="C216" s="38">
        <v>16</v>
      </c>
      <c r="D216" s="38">
        <v>37</v>
      </c>
      <c r="E216" s="73">
        <f t="shared" si="8"/>
        <v>21</v>
      </c>
      <c r="F216" s="39" t="str">
        <f t="shared" si="9"/>
        <v>Pass</v>
      </c>
      <c r="G216" s="42">
        <v>121</v>
      </c>
      <c r="H216" s="67" t="s">
        <v>51</v>
      </c>
      <c r="I216" s="70">
        <v>30</v>
      </c>
      <c r="J216" s="93"/>
    </row>
    <row r="217" spans="1:10" ht="12.75" customHeight="1" x14ac:dyDescent="0.3">
      <c r="A217" s="37">
        <v>43095</v>
      </c>
      <c r="B217" s="38" t="s">
        <v>47</v>
      </c>
      <c r="C217" s="38">
        <v>11</v>
      </c>
      <c r="D217" s="38">
        <v>31</v>
      </c>
      <c r="E217" s="73">
        <f t="shared" si="8"/>
        <v>20</v>
      </c>
      <c r="F217" s="39" t="str">
        <f>IF(E217="","",IF(E217&lt;=20,"Pass","Fail"))</f>
        <v>Pass</v>
      </c>
      <c r="G217" s="42">
        <v>64</v>
      </c>
      <c r="H217" s="67" t="s">
        <v>51</v>
      </c>
      <c r="I217" s="70">
        <v>20</v>
      </c>
      <c r="J217" s="93"/>
    </row>
    <row r="218" spans="1:10" ht="12.75" customHeight="1" x14ac:dyDescent="0.3">
      <c r="A218" s="37">
        <v>43095</v>
      </c>
      <c r="B218" s="38" t="s">
        <v>49</v>
      </c>
      <c r="C218" s="38">
        <v>6</v>
      </c>
      <c r="D218" s="38">
        <v>11</v>
      </c>
      <c r="E218" s="73">
        <f t="shared" si="8"/>
        <v>5</v>
      </c>
      <c r="F218" s="39" t="str">
        <f t="shared" si="9"/>
        <v>Pass</v>
      </c>
      <c r="G218" s="42">
        <v>64</v>
      </c>
      <c r="H218" s="67" t="s">
        <v>51</v>
      </c>
      <c r="I218" s="70">
        <v>30</v>
      </c>
      <c r="J218" s="93"/>
    </row>
    <row r="219" spans="1:10" ht="12.75" customHeight="1" x14ac:dyDescent="0.3">
      <c r="A219" s="37">
        <v>43098</v>
      </c>
      <c r="B219" s="38" t="s">
        <v>47</v>
      </c>
      <c r="C219" s="38">
        <v>4</v>
      </c>
      <c r="D219" s="38">
        <v>23</v>
      </c>
      <c r="E219" s="73">
        <f t="shared" si="8"/>
        <v>19</v>
      </c>
      <c r="F219" s="39" t="str">
        <f>IF(E219="","",IF(E219&lt;=20,"Pass","Fail"))</f>
        <v>Pass</v>
      </c>
      <c r="G219" s="42">
        <v>64</v>
      </c>
      <c r="H219" s="67" t="s">
        <v>51</v>
      </c>
      <c r="I219" s="70">
        <v>20</v>
      </c>
      <c r="J219" s="93"/>
    </row>
    <row r="220" spans="1:10" ht="12.75" customHeight="1" x14ac:dyDescent="0.3">
      <c r="A220" s="37">
        <v>43098</v>
      </c>
      <c r="B220" s="38" t="s">
        <v>49</v>
      </c>
      <c r="C220" s="38">
        <v>1</v>
      </c>
      <c r="D220" s="38">
        <v>29</v>
      </c>
      <c r="E220" s="73">
        <f t="shared" si="8"/>
        <v>28</v>
      </c>
      <c r="F220" s="39" t="str">
        <f t="shared" si="9"/>
        <v>Pass</v>
      </c>
      <c r="G220" s="42">
        <v>64</v>
      </c>
      <c r="H220" s="67" t="s">
        <v>51</v>
      </c>
      <c r="I220" s="70">
        <v>30</v>
      </c>
      <c r="J220" s="93"/>
    </row>
    <row r="221" spans="1:10" ht="12.75" customHeight="1" x14ac:dyDescent="0.3">
      <c r="A221" s="37">
        <v>42736</v>
      </c>
      <c r="B221" s="38" t="s">
        <v>47</v>
      </c>
      <c r="C221" s="38">
        <v>34</v>
      </c>
      <c r="D221" s="38">
        <v>34</v>
      </c>
      <c r="E221" s="73">
        <f t="shared" si="8"/>
        <v>0</v>
      </c>
      <c r="F221" s="39" t="str">
        <f>IF(E221="","",IF(E221&lt;=20,"Pass","Fail"))</f>
        <v>Pass</v>
      </c>
      <c r="G221" s="42">
        <v>1428</v>
      </c>
      <c r="H221" s="67" t="s">
        <v>51</v>
      </c>
      <c r="I221" s="70">
        <v>20</v>
      </c>
      <c r="J221" s="93"/>
    </row>
    <row r="222" spans="1:10" ht="12.75" customHeight="1" x14ac:dyDescent="0.3">
      <c r="A222" s="37">
        <v>42736</v>
      </c>
      <c r="B222" s="38" t="s">
        <v>49</v>
      </c>
      <c r="C222" s="38">
        <v>29</v>
      </c>
      <c r="D222" s="38">
        <v>56</v>
      </c>
      <c r="E222" s="73">
        <f t="shared" si="8"/>
        <v>27</v>
      </c>
      <c r="F222" s="39" t="str">
        <f t="shared" si="9"/>
        <v>Pass</v>
      </c>
      <c r="G222" s="42">
        <v>1428</v>
      </c>
      <c r="H222" s="67" t="s">
        <v>51</v>
      </c>
      <c r="I222" s="70">
        <v>30</v>
      </c>
      <c r="J222" s="93"/>
    </row>
    <row r="223" spans="1:10" ht="12.75" customHeight="1" x14ac:dyDescent="0.3">
      <c r="A223" s="37">
        <v>42739</v>
      </c>
      <c r="B223" s="38" t="s">
        <v>47</v>
      </c>
      <c r="C223" s="73">
        <v>25</v>
      </c>
      <c r="D223" s="73">
        <v>38</v>
      </c>
      <c r="E223" s="73">
        <f t="shared" si="8"/>
        <v>13</v>
      </c>
      <c r="F223" s="39" t="str">
        <f>IF(E223="","",IF(E223&lt;=20,"Pass","Fail"))</f>
        <v>Pass</v>
      </c>
      <c r="G223" s="43">
        <v>1335</v>
      </c>
      <c r="H223" s="67" t="s">
        <v>51</v>
      </c>
      <c r="I223" s="70">
        <v>20</v>
      </c>
      <c r="J223" s="93"/>
    </row>
    <row r="224" spans="1:10" ht="12.75" customHeight="1" x14ac:dyDescent="0.3">
      <c r="A224" s="37">
        <v>42739</v>
      </c>
      <c r="B224" s="38" t="s">
        <v>49</v>
      </c>
      <c r="C224" s="73">
        <v>8</v>
      </c>
      <c r="D224" s="73">
        <v>46</v>
      </c>
      <c r="E224" s="73">
        <f t="shared" si="8"/>
        <v>38</v>
      </c>
      <c r="F224" s="39" t="str">
        <f t="shared" si="9"/>
        <v>Fail</v>
      </c>
      <c r="G224" s="43">
        <v>1335</v>
      </c>
      <c r="H224" s="67" t="s">
        <v>51</v>
      </c>
      <c r="I224" s="70">
        <v>30</v>
      </c>
      <c r="J224" s="93"/>
    </row>
    <row r="225" spans="1:10" ht="12.75" customHeight="1" x14ac:dyDescent="0.3">
      <c r="A225" s="37">
        <v>42739</v>
      </c>
      <c r="B225" s="38" t="s">
        <v>49</v>
      </c>
      <c r="C225" s="73">
        <v>16</v>
      </c>
      <c r="D225" s="73">
        <v>24</v>
      </c>
      <c r="E225" s="73">
        <f>IF(((C225="")*AND(D225="")),"",D225-C225)</f>
        <v>8</v>
      </c>
      <c r="F225" s="39" t="str">
        <f>IF(E225="","",IF(E225&lt;=20,"Pass","Fail"))</f>
        <v>Pass</v>
      </c>
      <c r="G225" s="43">
        <v>102</v>
      </c>
      <c r="H225" s="67" t="s">
        <v>51</v>
      </c>
      <c r="I225" s="70">
        <v>30</v>
      </c>
      <c r="J225" s="93" t="s">
        <v>59</v>
      </c>
    </row>
    <row r="226" spans="1:10" ht="12.75" customHeight="1" x14ac:dyDescent="0.3">
      <c r="A226" s="37">
        <v>42743</v>
      </c>
      <c r="B226" s="38" t="s">
        <v>47</v>
      </c>
      <c r="C226" s="73">
        <v>5</v>
      </c>
      <c r="D226" s="73">
        <v>23</v>
      </c>
      <c r="E226" s="73">
        <f>IF(((C226="")*AND(D226="")),"",D226-C226)</f>
        <v>18</v>
      </c>
      <c r="F226" s="39" t="str">
        <f>IF(E226="","",IF(E226&lt;=20,"Pass","Fail"))</f>
        <v>Pass</v>
      </c>
      <c r="G226" s="43">
        <v>1335</v>
      </c>
      <c r="H226" s="67" t="s">
        <v>51</v>
      </c>
      <c r="I226" s="70">
        <v>20</v>
      </c>
      <c r="J226" s="93"/>
    </row>
    <row r="227" spans="1:10" ht="12.75" customHeight="1" x14ac:dyDescent="0.3">
      <c r="A227" s="37">
        <v>42743</v>
      </c>
      <c r="B227" s="38" t="s">
        <v>49</v>
      </c>
      <c r="C227" s="73">
        <v>12</v>
      </c>
      <c r="D227" s="73">
        <v>42</v>
      </c>
      <c r="E227" s="73">
        <f>IF(((C227="")*AND(D227="")),"",D227-C227)</f>
        <v>30</v>
      </c>
      <c r="F227" s="39" t="str">
        <f>IF(E227="","",IF(E227&lt;=30,"Pass","Fail"))</f>
        <v>Pass</v>
      </c>
      <c r="G227" s="43">
        <v>1335</v>
      </c>
      <c r="H227" s="67" t="s">
        <v>51</v>
      </c>
      <c r="I227" s="70">
        <v>30</v>
      </c>
      <c r="J227" s="93"/>
    </row>
    <row r="228" spans="1:10" ht="12.75" customHeight="1" x14ac:dyDescent="0.3">
      <c r="A228" s="37">
        <v>43111</v>
      </c>
      <c r="B228" s="38" t="s">
        <v>47</v>
      </c>
      <c r="C228" s="73">
        <v>9</v>
      </c>
      <c r="D228" s="73">
        <v>71</v>
      </c>
      <c r="E228" s="73">
        <f t="shared" ref="E228:E288" si="10">IF(((C228="")*AND(D228="")),"",D228-C228)</f>
        <v>62</v>
      </c>
      <c r="F228" s="39" t="str">
        <f>IF(E228="","",IF(E228&lt;=20,"Pass","Fail"))</f>
        <v>Fail</v>
      </c>
      <c r="G228" s="43">
        <v>1159</v>
      </c>
      <c r="H228" s="67" t="s">
        <v>51</v>
      </c>
      <c r="I228" s="70">
        <v>20</v>
      </c>
      <c r="J228" s="93"/>
    </row>
    <row r="229" spans="1:10" ht="12.75" customHeight="1" x14ac:dyDescent="0.3">
      <c r="A229" s="37">
        <v>43111</v>
      </c>
      <c r="B229" s="38" t="s">
        <v>49</v>
      </c>
      <c r="C229" s="73">
        <v>6</v>
      </c>
      <c r="D229" s="73">
        <v>21</v>
      </c>
      <c r="E229" s="73">
        <f t="shared" si="10"/>
        <v>15</v>
      </c>
      <c r="F229" s="39" t="str">
        <f>IF(E229="","",IF(E229&lt;=30,"Pass","Fail"))</f>
        <v>Pass</v>
      </c>
      <c r="G229" s="43">
        <v>1159</v>
      </c>
      <c r="H229" s="67" t="s">
        <v>51</v>
      </c>
      <c r="I229" s="70">
        <v>30</v>
      </c>
      <c r="J229" s="93"/>
    </row>
    <row r="230" spans="1:10" ht="12.75" customHeight="1" x14ac:dyDescent="0.3">
      <c r="A230" s="37">
        <v>43111</v>
      </c>
      <c r="B230" s="38" t="s">
        <v>47</v>
      </c>
      <c r="C230" s="73">
        <v>4</v>
      </c>
      <c r="D230" s="73">
        <v>8</v>
      </c>
      <c r="E230" s="73">
        <f t="shared" si="10"/>
        <v>4</v>
      </c>
      <c r="F230" s="39" t="str">
        <f>IF(E230="","",IF(E230&lt;=20,"Pass","Fail"))</f>
        <v>Pass</v>
      </c>
      <c r="G230" s="43">
        <v>1159</v>
      </c>
      <c r="H230" s="67" t="s">
        <v>51</v>
      </c>
      <c r="I230" s="70">
        <v>20</v>
      </c>
      <c r="J230" s="93"/>
    </row>
    <row r="231" spans="1:10" ht="12.75" customHeight="1" x14ac:dyDescent="0.3">
      <c r="A231" s="37">
        <v>43118</v>
      </c>
      <c r="B231" s="38" t="s">
        <v>47</v>
      </c>
      <c r="C231" s="73">
        <v>5</v>
      </c>
      <c r="D231" s="73">
        <v>10</v>
      </c>
      <c r="E231" s="73">
        <f t="shared" si="10"/>
        <v>5</v>
      </c>
      <c r="F231" s="39" t="str">
        <f>IF(E231="","",IF(E231&lt;=20,"Pass","Fail"))</f>
        <v>Pass</v>
      </c>
      <c r="G231" s="43">
        <v>121</v>
      </c>
      <c r="H231" s="67" t="s">
        <v>51</v>
      </c>
      <c r="I231" s="70">
        <v>20</v>
      </c>
      <c r="J231" s="93"/>
    </row>
    <row r="232" spans="1:10" ht="12.75" customHeight="1" x14ac:dyDescent="0.3">
      <c r="A232" s="37">
        <v>43118</v>
      </c>
      <c r="B232" s="38" t="s">
        <v>49</v>
      </c>
      <c r="C232" s="73">
        <v>11</v>
      </c>
      <c r="D232" s="73">
        <v>38</v>
      </c>
      <c r="E232" s="73">
        <f t="shared" si="10"/>
        <v>27</v>
      </c>
      <c r="F232" s="39" t="str">
        <f>IF(E232="","",IF(E232&lt;=30,"Pass","Fail"))</f>
        <v>Pass</v>
      </c>
      <c r="G232" s="43">
        <v>121</v>
      </c>
      <c r="H232" s="67" t="s">
        <v>51</v>
      </c>
      <c r="I232" s="70">
        <v>30</v>
      </c>
      <c r="J232" s="93"/>
    </row>
    <row r="233" spans="1:10" ht="12.75" customHeight="1" x14ac:dyDescent="0.3">
      <c r="A233" s="37">
        <v>43122</v>
      </c>
      <c r="B233" s="38" t="s">
        <v>47</v>
      </c>
      <c r="C233" s="73">
        <v>20</v>
      </c>
      <c r="D233" s="73">
        <v>19</v>
      </c>
      <c r="E233" s="73">
        <f t="shared" si="10"/>
        <v>-1</v>
      </c>
      <c r="F233" s="39" t="str">
        <f>IF(E233="","",IF(E233&lt;=20,"Pass","Fail"))</f>
        <v>Pass</v>
      </c>
      <c r="G233" s="43">
        <v>1428</v>
      </c>
      <c r="H233" s="67" t="s">
        <v>51</v>
      </c>
      <c r="I233" s="70">
        <v>20</v>
      </c>
      <c r="J233" s="93"/>
    </row>
    <row r="234" spans="1:10" ht="12.75" customHeight="1" x14ac:dyDescent="0.3">
      <c r="A234" s="37">
        <v>43122</v>
      </c>
      <c r="B234" s="38" t="s">
        <v>49</v>
      </c>
      <c r="C234" s="73">
        <v>19</v>
      </c>
      <c r="D234" s="73">
        <v>40</v>
      </c>
      <c r="E234" s="73">
        <f t="shared" si="10"/>
        <v>21</v>
      </c>
      <c r="F234" s="39" t="str">
        <f>IF(E234="","",IF(E234&lt;=30,"Pass","Fail"))</f>
        <v>Pass</v>
      </c>
      <c r="G234" s="43">
        <v>1428</v>
      </c>
      <c r="H234" s="67" t="s">
        <v>51</v>
      </c>
      <c r="I234" s="70">
        <v>30</v>
      </c>
      <c r="J234" s="93"/>
    </row>
    <row r="235" spans="1:10" ht="12.75" customHeight="1" x14ac:dyDescent="0.3">
      <c r="A235" s="37">
        <v>43125</v>
      </c>
      <c r="B235" s="38" t="s">
        <v>47</v>
      </c>
      <c r="C235" s="73">
        <v>8</v>
      </c>
      <c r="D235" s="73">
        <v>15</v>
      </c>
      <c r="E235" s="73">
        <f t="shared" si="10"/>
        <v>7</v>
      </c>
      <c r="F235" s="39" t="str">
        <f>IF(E235="","",IF(E235&lt;=20,"Pass","Fail"))</f>
        <v>Pass</v>
      </c>
      <c r="G235" s="43">
        <v>1428</v>
      </c>
      <c r="H235" s="67" t="s">
        <v>51</v>
      </c>
      <c r="I235" s="70">
        <v>20</v>
      </c>
      <c r="J235" s="93"/>
    </row>
    <row r="236" spans="1:10" ht="12.75" customHeight="1" x14ac:dyDescent="0.3">
      <c r="A236" s="37">
        <v>43125</v>
      </c>
      <c r="B236" s="38" t="s">
        <v>49</v>
      </c>
      <c r="C236" s="73">
        <v>23</v>
      </c>
      <c r="D236" s="73">
        <v>35</v>
      </c>
      <c r="E236" s="73">
        <f t="shared" si="10"/>
        <v>12</v>
      </c>
      <c r="F236" s="39" t="str">
        <f>IF(E236="","",IF(E236&lt;=30,"Pass","Fail"))</f>
        <v>Pass</v>
      </c>
      <c r="G236" s="43">
        <v>1428</v>
      </c>
      <c r="H236" s="67" t="s">
        <v>51</v>
      </c>
      <c r="I236" s="70">
        <v>30</v>
      </c>
      <c r="J236" s="93"/>
    </row>
    <row r="237" spans="1:10" ht="12.75" customHeight="1" x14ac:dyDescent="0.3">
      <c r="A237" s="37">
        <v>43128</v>
      </c>
      <c r="B237" s="38" t="s">
        <v>47</v>
      </c>
      <c r="C237" s="73">
        <v>17</v>
      </c>
      <c r="D237" s="73">
        <v>22</v>
      </c>
      <c r="E237" s="73">
        <f t="shared" si="10"/>
        <v>5</v>
      </c>
      <c r="F237" s="39" t="str">
        <f>IF(E237="","",IF(E237&lt;=20,"Pass","Fail"))</f>
        <v>Pass</v>
      </c>
      <c r="G237" s="43">
        <v>1519</v>
      </c>
      <c r="H237" s="67" t="s">
        <v>51</v>
      </c>
      <c r="I237" s="70">
        <v>20</v>
      </c>
      <c r="J237" s="93"/>
    </row>
    <row r="238" spans="1:10" ht="12.75" customHeight="1" x14ac:dyDescent="0.3">
      <c r="A238" s="37">
        <v>43128</v>
      </c>
      <c r="B238" s="38" t="s">
        <v>49</v>
      </c>
      <c r="C238" s="73">
        <v>36</v>
      </c>
      <c r="D238" s="73">
        <v>53</v>
      </c>
      <c r="E238" s="73">
        <f t="shared" si="10"/>
        <v>17</v>
      </c>
      <c r="F238" s="39" t="str">
        <f>IF(E238="","",IF(E238&lt;=30,"Pass","Fail"))</f>
        <v>Pass</v>
      </c>
      <c r="G238" s="43">
        <v>1519</v>
      </c>
      <c r="H238" s="67" t="s">
        <v>51</v>
      </c>
      <c r="I238" s="70">
        <v>30</v>
      </c>
      <c r="J238" s="93"/>
    </row>
    <row r="239" spans="1:10" ht="12.75" customHeight="1" x14ac:dyDescent="0.3">
      <c r="A239" s="37">
        <v>43131</v>
      </c>
      <c r="B239" s="38" t="s">
        <v>47</v>
      </c>
      <c r="C239" s="73">
        <v>11</v>
      </c>
      <c r="D239" s="73">
        <v>19</v>
      </c>
      <c r="E239" s="73">
        <f t="shared" si="10"/>
        <v>8</v>
      </c>
      <c r="F239" s="39" t="str">
        <f>IF(E239="","",IF(E239&lt;=20,"Pass","Fail"))</f>
        <v>Pass</v>
      </c>
      <c r="G239" s="43">
        <v>1335</v>
      </c>
      <c r="H239" s="67" t="s">
        <v>51</v>
      </c>
      <c r="I239" s="70">
        <v>20</v>
      </c>
      <c r="J239" s="93"/>
    </row>
    <row r="240" spans="1:10" ht="12.75" customHeight="1" x14ac:dyDescent="0.3">
      <c r="A240" s="37">
        <v>43131</v>
      </c>
      <c r="B240" s="38" t="s">
        <v>49</v>
      </c>
      <c r="C240" s="73">
        <v>19</v>
      </c>
      <c r="D240" s="73">
        <v>47</v>
      </c>
      <c r="E240" s="73">
        <f t="shared" si="10"/>
        <v>28</v>
      </c>
      <c r="F240" s="39" t="str">
        <f>IF(E240="","",IF(E240&lt;=30,"Pass","Fail"))</f>
        <v>Pass</v>
      </c>
      <c r="G240" s="43">
        <v>1335</v>
      </c>
      <c r="H240" s="67" t="s">
        <v>51</v>
      </c>
      <c r="I240" s="70">
        <v>30</v>
      </c>
      <c r="J240" s="93"/>
    </row>
    <row r="241" spans="1:10" ht="12.75" customHeight="1" x14ac:dyDescent="0.3">
      <c r="A241" s="37">
        <v>43134</v>
      </c>
      <c r="B241" s="38" t="s">
        <v>47</v>
      </c>
      <c r="C241" s="73">
        <v>7</v>
      </c>
      <c r="D241" s="73">
        <v>20</v>
      </c>
      <c r="E241" s="73">
        <f t="shared" si="10"/>
        <v>13</v>
      </c>
      <c r="F241" s="39" t="str">
        <f>IF(E241="","",IF(E241&lt;=20,"Pass","Fail"))</f>
        <v>Pass</v>
      </c>
      <c r="G241" s="43">
        <v>1335</v>
      </c>
      <c r="H241" s="67" t="s">
        <v>51</v>
      </c>
      <c r="I241" s="70">
        <v>20</v>
      </c>
      <c r="J241" s="93"/>
    </row>
    <row r="242" spans="1:10" ht="12.75" customHeight="1" x14ac:dyDescent="0.3">
      <c r="A242" s="37">
        <v>43134</v>
      </c>
      <c r="B242" s="38" t="s">
        <v>49</v>
      </c>
      <c r="C242" s="73">
        <v>17</v>
      </c>
      <c r="D242" s="73">
        <v>246</v>
      </c>
      <c r="E242" s="73">
        <f t="shared" si="10"/>
        <v>229</v>
      </c>
      <c r="F242" s="39" t="str">
        <f>IF(E242="","",IF(E242&lt;=30,"Pass","Fail"))</f>
        <v>Fail</v>
      </c>
      <c r="G242" s="43">
        <v>1335</v>
      </c>
      <c r="H242" s="67" t="s">
        <v>51</v>
      </c>
      <c r="I242" s="70">
        <v>30</v>
      </c>
      <c r="J242" s="93"/>
    </row>
    <row r="243" spans="1:10" ht="12.75" customHeight="1" x14ac:dyDescent="0.3">
      <c r="A243" s="37">
        <v>43134</v>
      </c>
      <c r="B243" s="38" t="s">
        <v>49</v>
      </c>
      <c r="C243" s="73">
        <v>18</v>
      </c>
      <c r="D243" s="73">
        <v>31</v>
      </c>
      <c r="E243" s="73">
        <f t="shared" si="10"/>
        <v>13</v>
      </c>
      <c r="F243" s="39" t="str">
        <f>IF(E243="","",IF(E243&lt;=20,"Pass","Fail"))</f>
        <v>Pass</v>
      </c>
      <c r="G243" s="43">
        <v>1335</v>
      </c>
      <c r="H243" s="67" t="s">
        <v>51</v>
      </c>
      <c r="I243" s="70">
        <v>30</v>
      </c>
      <c r="J243" s="93"/>
    </row>
    <row r="244" spans="1:10" ht="12.75" customHeight="1" x14ac:dyDescent="0.3">
      <c r="A244" s="37">
        <v>43137</v>
      </c>
      <c r="B244" s="38" t="s">
        <v>47</v>
      </c>
      <c r="C244" s="73">
        <v>32</v>
      </c>
      <c r="D244" s="73">
        <v>39</v>
      </c>
      <c r="E244" s="73">
        <f t="shared" si="10"/>
        <v>7</v>
      </c>
      <c r="F244" s="39" t="str">
        <f>IF(E244="","",IF(E244&lt;=20,"Pass","Fail"))</f>
        <v>Pass</v>
      </c>
      <c r="G244" s="43">
        <v>102</v>
      </c>
      <c r="H244" s="67" t="s">
        <v>51</v>
      </c>
      <c r="I244" s="70">
        <v>20</v>
      </c>
      <c r="J244" s="93"/>
    </row>
    <row r="245" spans="1:10" ht="12.75" customHeight="1" x14ac:dyDescent="0.3">
      <c r="A245" s="37">
        <v>43137</v>
      </c>
      <c r="B245" s="38" t="s">
        <v>49</v>
      </c>
      <c r="C245" s="73">
        <v>7</v>
      </c>
      <c r="D245" s="73">
        <v>23</v>
      </c>
      <c r="E245" s="73">
        <f t="shared" si="10"/>
        <v>16</v>
      </c>
      <c r="F245" s="39" t="str">
        <f>IF(E245="","",IF(E245&lt;=30,"Pass","Fail"))</f>
        <v>Pass</v>
      </c>
      <c r="G245" s="43">
        <v>102</v>
      </c>
      <c r="H245" s="67" t="s">
        <v>51</v>
      </c>
      <c r="I245" s="70">
        <v>30</v>
      </c>
      <c r="J245" s="93"/>
    </row>
    <row r="246" spans="1:10" ht="12.75" customHeight="1" x14ac:dyDescent="0.3">
      <c r="A246" s="37">
        <v>43140</v>
      </c>
      <c r="B246" s="38" t="s">
        <v>47</v>
      </c>
      <c r="C246" s="73">
        <v>12</v>
      </c>
      <c r="D246" s="73">
        <v>19</v>
      </c>
      <c r="E246" s="73">
        <f t="shared" si="10"/>
        <v>7</v>
      </c>
      <c r="F246" s="39" t="str">
        <f>IF(E246="","",IF(E246&lt;=20,"Pass","Fail"))</f>
        <v>Pass</v>
      </c>
      <c r="G246" s="43">
        <v>121</v>
      </c>
      <c r="H246" s="67" t="s">
        <v>51</v>
      </c>
      <c r="I246" s="70">
        <v>20</v>
      </c>
      <c r="J246" s="93"/>
    </row>
    <row r="247" spans="1:10" ht="12.75" customHeight="1" x14ac:dyDescent="0.3">
      <c r="A247" s="37">
        <v>43140</v>
      </c>
      <c r="B247" s="38" t="s">
        <v>49</v>
      </c>
      <c r="C247" s="73">
        <v>11</v>
      </c>
      <c r="D247" s="73">
        <v>28</v>
      </c>
      <c r="E247" s="73">
        <f t="shared" si="10"/>
        <v>17</v>
      </c>
      <c r="F247" s="39" t="str">
        <f>IF(E247="","",IF(E247&lt;=30,"Pass","Fail"))</f>
        <v>Pass</v>
      </c>
      <c r="G247" s="43">
        <v>121</v>
      </c>
      <c r="H247" s="67" t="s">
        <v>51</v>
      </c>
      <c r="I247" s="70">
        <v>30</v>
      </c>
      <c r="J247" s="93"/>
    </row>
    <row r="248" spans="1:10" ht="12.75" customHeight="1" x14ac:dyDescent="0.3">
      <c r="A248" s="37">
        <v>43143</v>
      </c>
      <c r="B248" s="38" t="s">
        <v>47</v>
      </c>
      <c r="C248" s="73">
        <v>34</v>
      </c>
      <c r="D248" s="73">
        <v>42</v>
      </c>
      <c r="E248" s="73">
        <f t="shared" si="10"/>
        <v>8</v>
      </c>
      <c r="F248" s="39" t="str">
        <f>IF(E248="","",IF(E248&lt;=20,"Pass","Fail"))</f>
        <v>Pass</v>
      </c>
      <c r="G248" s="43">
        <v>121</v>
      </c>
      <c r="H248" s="67" t="s">
        <v>51</v>
      </c>
      <c r="I248" s="70">
        <v>20</v>
      </c>
      <c r="J248" s="93"/>
    </row>
    <row r="249" spans="1:10" ht="12.75" customHeight="1" x14ac:dyDescent="0.3">
      <c r="A249" s="37">
        <v>43143</v>
      </c>
      <c r="B249" s="38" t="s">
        <v>49</v>
      </c>
      <c r="C249" s="73">
        <v>36</v>
      </c>
      <c r="D249" s="73">
        <v>48</v>
      </c>
      <c r="E249" s="73">
        <f t="shared" si="10"/>
        <v>12</v>
      </c>
      <c r="F249" s="39" t="str">
        <f>IF(E249="","",IF(E249&lt;=30,"Pass","Fail"))</f>
        <v>Pass</v>
      </c>
      <c r="G249" s="43">
        <v>121</v>
      </c>
      <c r="H249" s="67" t="s">
        <v>51</v>
      </c>
      <c r="I249" s="70">
        <v>30</v>
      </c>
      <c r="J249" s="93"/>
    </row>
    <row r="250" spans="1:10" ht="12.75" customHeight="1" x14ac:dyDescent="0.3">
      <c r="A250" s="37">
        <v>43146</v>
      </c>
      <c r="B250" s="38" t="s">
        <v>47</v>
      </c>
      <c r="C250" s="73">
        <v>42</v>
      </c>
      <c r="D250" s="73">
        <v>50</v>
      </c>
      <c r="E250" s="73">
        <f>IF(((C250="")*AND(D250="")),"",D250-C250)</f>
        <v>8</v>
      </c>
      <c r="F250" s="39" t="str">
        <f>IF(E250="","",IF(E250&lt;=20,"Pass","Fail"))</f>
        <v>Pass</v>
      </c>
      <c r="G250" s="43">
        <v>102</v>
      </c>
      <c r="H250" s="67" t="s">
        <v>51</v>
      </c>
      <c r="I250" s="70">
        <v>20</v>
      </c>
      <c r="J250" s="93"/>
    </row>
    <row r="251" spans="1:10" ht="12.75" customHeight="1" x14ac:dyDescent="0.3">
      <c r="A251" s="37">
        <v>43146</v>
      </c>
      <c r="B251" s="38" t="s">
        <v>49</v>
      </c>
      <c r="C251" s="73">
        <v>47</v>
      </c>
      <c r="D251" s="73">
        <v>62</v>
      </c>
      <c r="E251" s="73">
        <f>IF(((C251="")*AND(D251="")),"",D251-C251)</f>
        <v>15</v>
      </c>
      <c r="F251" s="39" t="str">
        <f>IF(E251="","",IF(E251&lt;=30,"Pass","Fail"))</f>
        <v>Pass</v>
      </c>
      <c r="G251" s="43">
        <v>102</v>
      </c>
      <c r="H251" s="67" t="s">
        <v>51</v>
      </c>
      <c r="I251" s="70">
        <v>30</v>
      </c>
      <c r="J251" s="93"/>
    </row>
    <row r="252" spans="1:10" ht="12.75" customHeight="1" x14ac:dyDescent="0.3">
      <c r="A252" s="37">
        <v>43150</v>
      </c>
      <c r="B252" s="38" t="s">
        <v>47</v>
      </c>
      <c r="C252" s="73">
        <v>9</v>
      </c>
      <c r="D252" s="73">
        <v>19</v>
      </c>
      <c r="E252" s="73">
        <f t="shared" si="10"/>
        <v>10</v>
      </c>
      <c r="F252" s="39" t="str">
        <f>IF(E252="","",IF(E252&lt;=20,"Pass","Fail"))</f>
        <v>Pass</v>
      </c>
      <c r="G252" s="43">
        <v>121</v>
      </c>
      <c r="H252" s="67" t="s">
        <v>51</v>
      </c>
      <c r="I252" s="70">
        <v>20</v>
      </c>
      <c r="J252" s="93"/>
    </row>
    <row r="253" spans="1:10" ht="12.75" customHeight="1" x14ac:dyDescent="0.3">
      <c r="A253" s="37">
        <v>43150</v>
      </c>
      <c r="B253" s="38" t="s">
        <v>49</v>
      </c>
      <c r="C253" s="73">
        <v>9</v>
      </c>
      <c r="D253" s="73">
        <v>28</v>
      </c>
      <c r="E253" s="73">
        <f t="shared" si="10"/>
        <v>19</v>
      </c>
      <c r="F253" s="39" t="str">
        <f>IF(E253="","",IF(E253&lt;=30,"Pass","Fail"))</f>
        <v>Pass</v>
      </c>
      <c r="G253" s="43">
        <v>121</v>
      </c>
      <c r="H253" s="67" t="s">
        <v>51</v>
      </c>
      <c r="I253" s="70">
        <v>30</v>
      </c>
      <c r="J253" s="93"/>
    </row>
    <row r="254" spans="1:10" ht="12.75" customHeight="1" x14ac:dyDescent="0.3">
      <c r="A254" s="37">
        <v>43157</v>
      </c>
      <c r="B254" s="38" t="s">
        <v>47</v>
      </c>
      <c r="C254" s="73">
        <v>7</v>
      </c>
      <c r="D254" s="73">
        <v>12</v>
      </c>
      <c r="E254" s="73">
        <f t="shared" si="10"/>
        <v>5</v>
      </c>
      <c r="F254" s="39" t="str">
        <f>IF(E254="","",IF(E254&lt;=20,"Pass","Fail"))</f>
        <v>Pass</v>
      </c>
      <c r="G254" s="43">
        <v>1159</v>
      </c>
      <c r="H254" s="67" t="s">
        <v>51</v>
      </c>
      <c r="I254" s="70">
        <v>20</v>
      </c>
      <c r="J254" s="93"/>
    </row>
    <row r="255" spans="1:10" ht="12.75" customHeight="1" x14ac:dyDescent="0.3">
      <c r="A255" s="37">
        <v>43157</v>
      </c>
      <c r="B255" s="38" t="s">
        <v>49</v>
      </c>
      <c r="C255" s="73">
        <v>11</v>
      </c>
      <c r="D255" s="73">
        <v>24</v>
      </c>
      <c r="E255" s="73">
        <f t="shared" si="10"/>
        <v>13</v>
      </c>
      <c r="F255" s="39" t="str">
        <f>IF(E255="","",IF(E255&lt;=30,"Pass","Fail"))</f>
        <v>Pass</v>
      </c>
      <c r="G255" s="43">
        <v>1159</v>
      </c>
      <c r="H255" s="67" t="s">
        <v>51</v>
      </c>
      <c r="I255" s="70">
        <v>30</v>
      </c>
      <c r="J255" s="93"/>
    </row>
    <row r="256" spans="1:10" ht="12.75" customHeight="1" x14ac:dyDescent="0.3">
      <c r="A256" s="37">
        <v>43167</v>
      </c>
      <c r="B256" s="38" t="s">
        <v>47</v>
      </c>
      <c r="C256" s="73">
        <v>67</v>
      </c>
      <c r="D256" s="73">
        <v>83</v>
      </c>
      <c r="E256" s="73">
        <f t="shared" si="10"/>
        <v>16</v>
      </c>
      <c r="F256" s="39" t="str">
        <f>IF(E256="","",IF(E256&lt;=20,"Pass","Fail"))</f>
        <v>Pass</v>
      </c>
      <c r="G256" s="43">
        <v>1335</v>
      </c>
      <c r="H256" s="67" t="s">
        <v>51</v>
      </c>
      <c r="I256" s="70">
        <v>20</v>
      </c>
      <c r="J256" s="93"/>
    </row>
    <row r="257" spans="1:10" ht="12.75" customHeight="1" x14ac:dyDescent="0.3">
      <c r="A257" s="37">
        <v>43167</v>
      </c>
      <c r="B257" s="38" t="s">
        <v>49</v>
      </c>
      <c r="C257" s="73">
        <v>43</v>
      </c>
      <c r="D257" s="73">
        <v>54</v>
      </c>
      <c r="E257" s="73">
        <f t="shared" si="10"/>
        <v>11</v>
      </c>
      <c r="F257" s="39" t="str">
        <f>IF(E257="","",IF(E257&lt;=30,"Pass","Fail"))</f>
        <v>Pass</v>
      </c>
      <c r="G257" s="43">
        <v>1335</v>
      </c>
      <c r="H257" s="67" t="s">
        <v>51</v>
      </c>
      <c r="I257" s="70">
        <v>30</v>
      </c>
      <c r="J257" s="93"/>
    </row>
    <row r="258" spans="1:10" ht="12.75" customHeight="1" x14ac:dyDescent="0.3">
      <c r="A258" s="37">
        <v>43170</v>
      </c>
      <c r="B258" s="38" t="s">
        <v>47</v>
      </c>
      <c r="C258" s="73">
        <v>24</v>
      </c>
      <c r="D258" s="73">
        <v>31</v>
      </c>
      <c r="E258" s="73">
        <f t="shared" si="10"/>
        <v>7</v>
      </c>
      <c r="F258" s="39" t="str">
        <f>IF(E258="","",IF(E258&lt;=20,"Pass","Fail"))</f>
        <v>Pass</v>
      </c>
      <c r="G258" s="43">
        <v>1335</v>
      </c>
      <c r="H258" s="67" t="s">
        <v>51</v>
      </c>
      <c r="I258" s="70">
        <v>20</v>
      </c>
      <c r="J258" s="93"/>
    </row>
    <row r="259" spans="1:10" ht="12.75" customHeight="1" x14ac:dyDescent="0.3">
      <c r="A259" s="37">
        <v>43170</v>
      </c>
      <c r="B259" s="38" t="s">
        <v>49</v>
      </c>
      <c r="C259" s="73">
        <v>19</v>
      </c>
      <c r="D259" s="73">
        <v>30</v>
      </c>
      <c r="E259" s="73">
        <f t="shared" si="10"/>
        <v>11</v>
      </c>
      <c r="F259" s="39" t="str">
        <f>IF(E259="","",IF(E259&lt;=30,"Pass","Fail"))</f>
        <v>Pass</v>
      </c>
      <c r="G259" s="43">
        <v>1335</v>
      </c>
      <c r="H259" s="67" t="s">
        <v>51</v>
      </c>
      <c r="I259" s="70">
        <v>30</v>
      </c>
      <c r="J259" s="93"/>
    </row>
    <row r="260" spans="1:10" ht="12.75" customHeight="1" x14ac:dyDescent="0.3">
      <c r="A260" s="37">
        <v>43188</v>
      </c>
      <c r="B260" s="38" t="s">
        <v>47</v>
      </c>
      <c r="C260" s="73">
        <v>27</v>
      </c>
      <c r="D260" s="73">
        <v>69</v>
      </c>
      <c r="E260" s="73">
        <f t="shared" si="10"/>
        <v>42</v>
      </c>
      <c r="F260" s="39" t="str">
        <f>IF(E260="","",IF(E260&lt;=20,"Pass","Fail"))</f>
        <v>Fail</v>
      </c>
      <c r="G260" s="43">
        <v>1335</v>
      </c>
      <c r="H260" s="67" t="s">
        <v>51</v>
      </c>
      <c r="I260" s="70">
        <v>20</v>
      </c>
      <c r="J260" s="93"/>
    </row>
    <row r="261" spans="1:10" ht="12.75" customHeight="1" x14ac:dyDescent="0.3">
      <c r="A261" s="37">
        <v>43188</v>
      </c>
      <c r="B261" s="38" t="s">
        <v>49</v>
      </c>
      <c r="C261" s="73">
        <v>45</v>
      </c>
      <c r="D261" s="73">
        <v>45</v>
      </c>
      <c r="E261" s="73">
        <f t="shared" si="10"/>
        <v>0</v>
      </c>
      <c r="F261" s="39" t="str">
        <f>IF(E261="","",IF(E261&lt;=30,"Pass","Fail"))</f>
        <v>Pass</v>
      </c>
      <c r="G261" s="43">
        <v>1335</v>
      </c>
      <c r="H261" s="67" t="s">
        <v>51</v>
      </c>
      <c r="I261" s="70">
        <v>30</v>
      </c>
      <c r="J261" s="93"/>
    </row>
    <row r="262" spans="1:10" ht="12.75" customHeight="1" x14ac:dyDescent="0.3">
      <c r="A262" s="37">
        <v>43188</v>
      </c>
      <c r="B262" s="38" t="s">
        <v>47</v>
      </c>
      <c r="C262" s="73">
        <v>68</v>
      </c>
      <c r="D262" s="73">
        <v>1148</v>
      </c>
      <c r="E262" s="73">
        <f t="shared" si="10"/>
        <v>1080</v>
      </c>
      <c r="F262" s="39" t="str">
        <f>IF(E262="","",IF(E262&lt;=20,"Pass","Fail"))</f>
        <v>Fail</v>
      </c>
      <c r="G262" s="43">
        <v>1335</v>
      </c>
      <c r="H262" s="67" t="s">
        <v>51</v>
      </c>
      <c r="I262" s="70">
        <v>20</v>
      </c>
      <c r="J262" s="93"/>
    </row>
    <row r="263" spans="1:10" ht="12.75" customHeight="1" x14ac:dyDescent="0.3">
      <c r="A263" s="37">
        <v>43188</v>
      </c>
      <c r="B263" s="38" t="s">
        <v>47</v>
      </c>
      <c r="C263" s="73">
        <v>49</v>
      </c>
      <c r="D263" s="73">
        <v>63</v>
      </c>
      <c r="E263" s="73">
        <f t="shared" si="10"/>
        <v>14</v>
      </c>
      <c r="F263" s="39" t="str">
        <f>IF(E263="","",IF(E263&lt;=30,"Pass","Fail"))</f>
        <v>Pass</v>
      </c>
      <c r="G263" s="43">
        <v>1335</v>
      </c>
      <c r="H263" s="67" t="s">
        <v>51</v>
      </c>
      <c r="I263" s="70">
        <v>20</v>
      </c>
      <c r="J263" s="93"/>
    </row>
    <row r="264" spans="1:10" ht="12.75" customHeight="1" x14ac:dyDescent="0.3">
      <c r="A264" s="37">
        <v>43193</v>
      </c>
      <c r="B264" s="38" t="s">
        <v>47</v>
      </c>
      <c r="C264" s="73">
        <v>26</v>
      </c>
      <c r="D264" s="73">
        <v>33</v>
      </c>
      <c r="E264" s="73">
        <f t="shared" si="10"/>
        <v>7</v>
      </c>
      <c r="F264" s="39" t="str">
        <f>IF(E264="","",IF(E264&lt;=20,"Pass","Fail"))</f>
        <v>Pass</v>
      </c>
      <c r="G264" s="43">
        <v>1335</v>
      </c>
      <c r="H264" s="67" t="s">
        <v>51</v>
      </c>
      <c r="I264" s="70">
        <v>20</v>
      </c>
      <c r="J264" s="93"/>
    </row>
    <row r="265" spans="1:10" ht="12.75" customHeight="1" x14ac:dyDescent="0.3">
      <c r="A265" s="37">
        <v>43193</v>
      </c>
      <c r="B265" s="38" t="s">
        <v>49</v>
      </c>
      <c r="C265" s="73">
        <v>30</v>
      </c>
      <c r="D265" s="73">
        <v>53</v>
      </c>
      <c r="E265" s="73">
        <f t="shared" si="10"/>
        <v>23</v>
      </c>
      <c r="F265" s="39" t="str">
        <f>IF(E265="","",IF(E265&lt;=30,"Pass","Fail"))</f>
        <v>Pass</v>
      </c>
      <c r="G265" s="43">
        <v>1335</v>
      </c>
      <c r="H265" s="67" t="s">
        <v>51</v>
      </c>
      <c r="I265" s="70">
        <v>30</v>
      </c>
      <c r="J265" s="93"/>
    </row>
    <row r="266" spans="1:10" ht="12.75" customHeight="1" x14ac:dyDescent="0.3">
      <c r="A266" s="37">
        <v>43195</v>
      </c>
      <c r="B266" s="38" t="s">
        <v>47</v>
      </c>
      <c r="C266" s="73">
        <v>37</v>
      </c>
      <c r="D266" s="73">
        <v>40</v>
      </c>
      <c r="E266" s="73">
        <f>IF(((C266="")*AND(D266="")),"",D266-C266)</f>
        <v>3</v>
      </c>
      <c r="F266" s="39" t="str">
        <f>IF(E266="","",IF(E266&lt;=20,"Pass","Fail"))</f>
        <v>Pass</v>
      </c>
      <c r="G266" s="43">
        <v>102</v>
      </c>
      <c r="H266" s="67" t="s">
        <v>51</v>
      </c>
      <c r="I266" s="70">
        <v>20</v>
      </c>
      <c r="J266" s="93"/>
    </row>
    <row r="267" spans="1:10" ht="12.75" customHeight="1" x14ac:dyDescent="0.3">
      <c r="A267" s="37">
        <v>43195</v>
      </c>
      <c r="B267" s="38" t="s">
        <v>49</v>
      </c>
      <c r="C267" s="73">
        <v>54</v>
      </c>
      <c r="D267" s="73">
        <v>58</v>
      </c>
      <c r="E267" s="73">
        <f>IF(((C267="")*AND(D267="")),"",D267-C267)</f>
        <v>4</v>
      </c>
      <c r="F267" s="39" t="str">
        <f>IF(E267="","",IF(E267&lt;=30,"Pass","Fail"))</f>
        <v>Pass</v>
      </c>
      <c r="G267" s="43">
        <v>102</v>
      </c>
      <c r="H267" s="67" t="s">
        <v>51</v>
      </c>
      <c r="I267" s="70">
        <v>30</v>
      </c>
      <c r="J267" s="93"/>
    </row>
    <row r="268" spans="1:10" ht="12.75" customHeight="1" x14ac:dyDescent="0.3">
      <c r="A268" s="37">
        <v>43201</v>
      </c>
      <c r="B268" s="38" t="s">
        <v>47</v>
      </c>
      <c r="C268" s="73">
        <v>31</v>
      </c>
      <c r="D268" s="73">
        <v>39</v>
      </c>
      <c r="E268" s="73">
        <f t="shared" si="10"/>
        <v>8</v>
      </c>
      <c r="F268" s="39" t="str">
        <f>IF(E268="","",IF(E268&lt;=20,"Pass","Fail"))</f>
        <v>Pass</v>
      </c>
      <c r="G268" s="43">
        <v>74</v>
      </c>
      <c r="H268" s="67" t="s">
        <v>51</v>
      </c>
      <c r="I268" s="70">
        <v>20</v>
      </c>
      <c r="J268" s="93"/>
    </row>
    <row r="269" spans="1:10" ht="12.75" customHeight="1" x14ac:dyDescent="0.3">
      <c r="A269" s="37">
        <v>43201</v>
      </c>
      <c r="B269" s="38" t="s">
        <v>49</v>
      </c>
      <c r="C269" s="73">
        <v>33</v>
      </c>
      <c r="D269" s="73">
        <v>62</v>
      </c>
      <c r="E269" s="73">
        <f t="shared" si="10"/>
        <v>29</v>
      </c>
      <c r="F269" s="39" t="str">
        <f>IF(E269="","",IF(E269&lt;=30,"Pass","Fail"))</f>
        <v>Pass</v>
      </c>
      <c r="G269" s="43">
        <v>74</v>
      </c>
      <c r="H269" s="67" t="s">
        <v>51</v>
      </c>
      <c r="I269" s="70">
        <v>30</v>
      </c>
      <c r="J269" s="93"/>
    </row>
    <row r="270" spans="1:10" ht="12.75" customHeight="1" x14ac:dyDescent="0.3">
      <c r="A270" s="37">
        <v>43206</v>
      </c>
      <c r="B270" s="38" t="s">
        <v>47</v>
      </c>
      <c r="C270" s="73">
        <v>40</v>
      </c>
      <c r="D270" s="73">
        <v>53</v>
      </c>
      <c r="E270" s="73">
        <f t="shared" si="10"/>
        <v>13</v>
      </c>
      <c r="F270" s="39" t="str">
        <f>IF(E270="","",IF(E270&lt;=20,"Pass","Fail"))</f>
        <v>Pass</v>
      </c>
      <c r="G270" s="43">
        <v>1428</v>
      </c>
      <c r="H270" s="67" t="s">
        <v>51</v>
      </c>
      <c r="I270" s="70">
        <v>20</v>
      </c>
      <c r="J270" s="93"/>
    </row>
    <row r="271" spans="1:10" ht="12.75" customHeight="1" x14ac:dyDescent="0.3">
      <c r="A271" s="37">
        <v>43206</v>
      </c>
      <c r="B271" s="38" t="s">
        <v>49</v>
      </c>
      <c r="C271" s="73">
        <v>69</v>
      </c>
      <c r="D271" s="73">
        <v>84</v>
      </c>
      <c r="E271" s="73">
        <f t="shared" si="10"/>
        <v>15</v>
      </c>
      <c r="F271" s="39" t="str">
        <f>IF(E271="","",IF(E271&lt;=30,"Pass","Fail"))</f>
        <v>Pass</v>
      </c>
      <c r="G271" s="43">
        <v>1428</v>
      </c>
      <c r="H271" s="67" t="s">
        <v>51</v>
      </c>
      <c r="I271" s="70">
        <v>30</v>
      </c>
      <c r="J271" s="93"/>
    </row>
    <row r="272" spans="1:10" ht="12.75" customHeight="1" x14ac:dyDescent="0.3">
      <c r="A272" s="37">
        <v>43210</v>
      </c>
      <c r="B272" s="38" t="s">
        <v>47</v>
      </c>
      <c r="C272" s="73">
        <v>10</v>
      </c>
      <c r="D272" s="73">
        <v>24</v>
      </c>
      <c r="E272" s="73">
        <f>IF(((C272="")*AND(D272="")),"",D272-C272)</f>
        <v>14</v>
      </c>
      <c r="F272" s="39" t="str">
        <f>IF(E272="","",IF(E272&lt;=20,"Pass","Fail"))</f>
        <v>Pass</v>
      </c>
      <c r="G272" s="43">
        <v>102</v>
      </c>
      <c r="H272" s="67" t="s">
        <v>51</v>
      </c>
      <c r="I272" s="70">
        <v>20</v>
      </c>
      <c r="J272" s="93"/>
    </row>
    <row r="273" spans="1:10" ht="12.75" customHeight="1" x14ac:dyDescent="0.3">
      <c r="A273" s="37">
        <v>43210</v>
      </c>
      <c r="B273" s="38" t="s">
        <v>49</v>
      </c>
      <c r="C273" s="73">
        <v>6</v>
      </c>
      <c r="D273" s="73">
        <v>24</v>
      </c>
      <c r="E273" s="73">
        <f>IF(((C273="")*AND(D273="")),"",D273-C273)</f>
        <v>18</v>
      </c>
      <c r="F273" s="39" t="str">
        <f>IF(E273="","",IF(E273&lt;=30,"Pass","Fail"))</f>
        <v>Pass</v>
      </c>
      <c r="G273" s="43">
        <v>102</v>
      </c>
      <c r="H273" s="67" t="s">
        <v>51</v>
      </c>
      <c r="I273" s="70">
        <v>30</v>
      </c>
      <c r="J273" s="93"/>
    </row>
    <row r="274" spans="1:10" ht="12.75" customHeight="1" x14ac:dyDescent="0.3">
      <c r="A274" s="37">
        <v>43214</v>
      </c>
      <c r="B274" s="38" t="s">
        <v>47</v>
      </c>
      <c r="C274" s="73">
        <v>24</v>
      </c>
      <c r="D274" s="73">
        <v>35</v>
      </c>
      <c r="E274" s="73">
        <f>IF(((C274="")*AND(D274="")),"",D274-C274)</f>
        <v>11</v>
      </c>
      <c r="F274" s="39" t="str">
        <f>IF(E274="","",IF(E274&lt;=20,"Pass","Fail"))</f>
        <v>Pass</v>
      </c>
      <c r="G274" s="43">
        <v>102</v>
      </c>
      <c r="H274" s="67" t="s">
        <v>51</v>
      </c>
      <c r="I274" s="70">
        <v>20</v>
      </c>
      <c r="J274" s="93"/>
    </row>
    <row r="275" spans="1:10" ht="12.75" customHeight="1" x14ac:dyDescent="0.3">
      <c r="A275" s="37">
        <v>43214</v>
      </c>
      <c r="B275" s="38" t="s">
        <v>49</v>
      </c>
      <c r="C275" s="73">
        <v>38</v>
      </c>
      <c r="D275" s="73">
        <v>79</v>
      </c>
      <c r="E275" s="73">
        <f>IF(((C275="")*AND(D275="")),"",D275-C275)</f>
        <v>41</v>
      </c>
      <c r="F275" s="39" t="str">
        <f>IF(E275="","",IF(E275&lt;=30,"Pass","Fail"))</f>
        <v>Fail</v>
      </c>
      <c r="G275" s="43">
        <v>102</v>
      </c>
      <c r="H275" s="67" t="s">
        <v>51</v>
      </c>
      <c r="I275" s="70">
        <v>30</v>
      </c>
      <c r="J275" s="94" t="s">
        <v>60</v>
      </c>
    </row>
    <row r="276" spans="1:10" ht="12.75" customHeight="1" x14ac:dyDescent="0.3">
      <c r="A276" s="37">
        <v>43214</v>
      </c>
      <c r="B276" s="38" t="s">
        <v>49</v>
      </c>
      <c r="C276" s="73">
        <v>16</v>
      </c>
      <c r="D276" s="73">
        <v>21</v>
      </c>
      <c r="E276" s="73">
        <f>IF(((C276="")*AND(D276="")),"",D276-C276)</f>
        <v>5</v>
      </c>
      <c r="F276" s="39" t="str">
        <f>IF(E276="","",IF(E276&lt;=30,"Pass","Fail"))</f>
        <v>Pass</v>
      </c>
      <c r="G276" s="43">
        <v>102</v>
      </c>
      <c r="H276" s="67" t="s">
        <v>51</v>
      </c>
      <c r="I276" s="70">
        <v>30</v>
      </c>
      <c r="J276" s="93"/>
    </row>
    <row r="277" spans="1:10" ht="12.75" customHeight="1" x14ac:dyDescent="0.3">
      <c r="A277" s="37">
        <v>43220</v>
      </c>
      <c r="B277" s="38" t="s">
        <v>47</v>
      </c>
      <c r="C277" s="73">
        <v>44</v>
      </c>
      <c r="D277" s="73">
        <v>56</v>
      </c>
      <c r="E277" s="73">
        <f t="shared" si="10"/>
        <v>12</v>
      </c>
      <c r="F277" s="39" t="str">
        <f>IF(E277="","",IF(E277&lt;=20,"Pass","Fail"))</f>
        <v>Pass</v>
      </c>
      <c r="G277" s="43">
        <v>1519</v>
      </c>
      <c r="H277" s="67" t="s">
        <v>51</v>
      </c>
      <c r="I277" s="70">
        <v>20</v>
      </c>
      <c r="J277" s="93"/>
    </row>
    <row r="278" spans="1:10" ht="12.75" customHeight="1" x14ac:dyDescent="0.3">
      <c r="A278" s="37">
        <v>43220</v>
      </c>
      <c r="B278" s="38" t="s">
        <v>49</v>
      </c>
      <c r="C278" s="73">
        <v>29</v>
      </c>
      <c r="D278" s="73">
        <v>51</v>
      </c>
      <c r="E278" s="73">
        <f t="shared" si="10"/>
        <v>22</v>
      </c>
      <c r="F278" s="39" t="str">
        <f>IF(E278="","",IF(E278&lt;=30,"Pass","Fail"))</f>
        <v>Pass</v>
      </c>
      <c r="G278" s="43">
        <v>1519</v>
      </c>
      <c r="H278" s="67" t="s">
        <v>51</v>
      </c>
      <c r="I278" s="70">
        <v>30</v>
      </c>
      <c r="J278" s="93"/>
    </row>
    <row r="279" spans="1:10" ht="12.75" customHeight="1" x14ac:dyDescent="0.3">
      <c r="A279" s="37">
        <v>43223</v>
      </c>
      <c r="B279" s="38" t="s">
        <v>47</v>
      </c>
      <c r="C279" s="73">
        <v>33</v>
      </c>
      <c r="D279" s="73">
        <v>39</v>
      </c>
      <c r="E279" s="73">
        <f t="shared" si="10"/>
        <v>6</v>
      </c>
      <c r="F279" s="39" t="str">
        <f>IF(E279="","",IF(E279&lt;=20,"Pass","Fail"))</f>
        <v>Pass</v>
      </c>
      <c r="G279" s="43">
        <v>1159</v>
      </c>
      <c r="H279" s="67" t="s">
        <v>51</v>
      </c>
      <c r="I279" s="70">
        <v>20</v>
      </c>
      <c r="J279" s="93"/>
    </row>
    <row r="280" spans="1:10" ht="12.75" customHeight="1" x14ac:dyDescent="0.3">
      <c r="A280" s="37">
        <v>43223</v>
      </c>
      <c r="B280" s="38" t="s">
        <v>49</v>
      </c>
      <c r="C280" s="73">
        <v>22</v>
      </c>
      <c r="D280" s="73">
        <v>40</v>
      </c>
      <c r="E280" s="73">
        <f t="shared" si="10"/>
        <v>18</v>
      </c>
      <c r="F280" s="39" t="str">
        <f>IF(E280="","",IF(E280&lt;=30,"Pass","Fail"))</f>
        <v>Pass</v>
      </c>
      <c r="G280" s="43">
        <v>1159</v>
      </c>
      <c r="H280" s="67" t="s">
        <v>51</v>
      </c>
      <c r="I280" s="70">
        <v>30</v>
      </c>
      <c r="J280" s="93"/>
    </row>
    <row r="281" spans="1:10" ht="12.75" customHeight="1" x14ac:dyDescent="0.3">
      <c r="A281" s="37">
        <v>43226</v>
      </c>
      <c r="B281" s="38" t="s">
        <v>47</v>
      </c>
      <c r="C281" s="73">
        <v>10</v>
      </c>
      <c r="D281" s="73">
        <v>11</v>
      </c>
      <c r="E281" s="73">
        <f>IF(((C281="")*AND(D281="")),"",D281-C281)</f>
        <v>1</v>
      </c>
      <c r="F281" s="39" t="str">
        <f>IF(E281="","",IF(E281&lt;=20,"Pass","Fail"))</f>
        <v>Pass</v>
      </c>
      <c r="G281" s="43">
        <v>64</v>
      </c>
      <c r="H281" s="67" t="s">
        <v>51</v>
      </c>
      <c r="I281" s="70">
        <v>20</v>
      </c>
      <c r="J281" s="93"/>
    </row>
    <row r="282" spans="1:10" ht="12.75" customHeight="1" x14ac:dyDescent="0.3">
      <c r="A282" s="37">
        <v>43226</v>
      </c>
      <c r="B282" s="38" t="s">
        <v>49</v>
      </c>
      <c r="C282" s="73">
        <v>6</v>
      </c>
      <c r="D282" s="73">
        <v>15</v>
      </c>
      <c r="E282" s="73">
        <f>IF(((C282="")*AND(D282="")),"",D282-C282)</f>
        <v>9</v>
      </c>
      <c r="F282" s="39" t="str">
        <f>IF(E282="","",IF(E282&lt;=30,"Pass","Fail"))</f>
        <v>Pass</v>
      </c>
      <c r="G282" s="43">
        <v>64</v>
      </c>
      <c r="H282" s="67" t="s">
        <v>51</v>
      </c>
      <c r="I282" s="70">
        <v>30</v>
      </c>
      <c r="J282" s="93"/>
    </row>
    <row r="283" spans="1:10" ht="12.75" customHeight="1" x14ac:dyDescent="0.3">
      <c r="A283" s="37">
        <v>43229</v>
      </c>
      <c r="B283" s="38" t="s">
        <v>47</v>
      </c>
      <c r="C283" s="73">
        <v>11</v>
      </c>
      <c r="D283" s="73">
        <v>31</v>
      </c>
      <c r="E283" s="73">
        <f t="shared" si="10"/>
        <v>20</v>
      </c>
      <c r="F283" s="39" t="str">
        <f>IF(E283="","",IF(E283&lt;=20,"Pass","Fail"))</f>
        <v>Pass</v>
      </c>
      <c r="G283" s="43">
        <v>1159</v>
      </c>
      <c r="H283" s="67" t="s">
        <v>51</v>
      </c>
      <c r="I283" s="70">
        <v>20</v>
      </c>
      <c r="J283" s="93"/>
    </row>
    <row r="284" spans="1:10" ht="12.75" customHeight="1" x14ac:dyDescent="0.3">
      <c r="A284" s="37">
        <v>43229</v>
      </c>
      <c r="B284" s="38" t="s">
        <v>49</v>
      </c>
      <c r="C284" s="73">
        <v>19</v>
      </c>
      <c r="D284" s="73">
        <v>62</v>
      </c>
      <c r="E284" s="73">
        <f t="shared" si="10"/>
        <v>43</v>
      </c>
      <c r="F284" s="39" t="str">
        <f>IF(E284="","",IF(E284&lt;=30,"Pass","Fail"))</f>
        <v>Fail</v>
      </c>
      <c r="G284" s="43">
        <v>1159</v>
      </c>
      <c r="H284" s="44" t="s">
        <v>51</v>
      </c>
      <c r="I284" s="70">
        <v>30</v>
      </c>
      <c r="J284" s="94" t="s">
        <v>60</v>
      </c>
    </row>
    <row r="285" spans="1:10" ht="12.75" customHeight="1" x14ac:dyDescent="0.3">
      <c r="A285" s="37">
        <v>43229</v>
      </c>
      <c r="B285" s="38" t="s">
        <v>49</v>
      </c>
      <c r="C285" s="73">
        <v>11</v>
      </c>
      <c r="D285" s="73">
        <v>63</v>
      </c>
      <c r="E285" s="73">
        <f t="shared" si="10"/>
        <v>52</v>
      </c>
      <c r="F285" s="39" t="str">
        <f>IF(E285="","",IF(E285&lt;=30,"Pass","Fail"))</f>
        <v>Fail</v>
      </c>
      <c r="G285" s="43">
        <v>1159</v>
      </c>
      <c r="H285" s="44" t="s">
        <v>51</v>
      </c>
      <c r="I285" s="70">
        <v>30</v>
      </c>
      <c r="J285" s="94" t="s">
        <v>61</v>
      </c>
    </row>
    <row r="286" spans="1:10" ht="12.75" customHeight="1" x14ac:dyDescent="0.3">
      <c r="A286" s="37">
        <v>43229</v>
      </c>
      <c r="B286" s="38" t="s">
        <v>49</v>
      </c>
      <c r="C286" s="73">
        <v>17</v>
      </c>
      <c r="D286" s="73">
        <v>18</v>
      </c>
      <c r="E286" s="73">
        <f t="shared" si="10"/>
        <v>1</v>
      </c>
      <c r="F286" s="39" t="str">
        <f>IF(E286="","",IF(E286&lt;=30,"Pass","Fail"))</f>
        <v>Pass</v>
      </c>
      <c r="G286" s="43">
        <v>102</v>
      </c>
      <c r="H286" s="44" t="s">
        <v>51</v>
      </c>
      <c r="I286" s="70">
        <v>30</v>
      </c>
      <c r="J286" s="94" t="s">
        <v>62</v>
      </c>
    </row>
    <row r="287" spans="1:10" ht="12.75" customHeight="1" x14ac:dyDescent="0.3">
      <c r="A287" s="37">
        <v>43233</v>
      </c>
      <c r="B287" s="38" t="s">
        <v>47</v>
      </c>
      <c r="C287" s="73">
        <v>16</v>
      </c>
      <c r="D287" s="73">
        <v>17</v>
      </c>
      <c r="E287" s="73">
        <f t="shared" si="10"/>
        <v>1</v>
      </c>
      <c r="F287" s="39" t="str">
        <f>IF(E287="","",IF(E287&lt;=20,"Pass","Fail"))</f>
        <v>Pass</v>
      </c>
      <c r="G287" s="43">
        <v>74</v>
      </c>
      <c r="H287" s="44" t="s">
        <v>51</v>
      </c>
      <c r="I287" s="70">
        <v>20</v>
      </c>
      <c r="J287" s="93"/>
    </row>
    <row r="288" spans="1:10" ht="12.75" customHeight="1" x14ac:dyDescent="0.3">
      <c r="A288" s="37">
        <v>43233</v>
      </c>
      <c r="B288" s="38" t="s">
        <v>49</v>
      </c>
      <c r="C288" s="73">
        <v>15</v>
      </c>
      <c r="D288" s="73">
        <v>63</v>
      </c>
      <c r="E288" s="73">
        <f t="shared" si="10"/>
        <v>48</v>
      </c>
      <c r="F288" s="39" t="str">
        <f>IF(E288="","",IF(E288&lt;=30,"Pass","Fail"))</f>
        <v>Fail</v>
      </c>
      <c r="G288" s="43">
        <v>74</v>
      </c>
      <c r="H288" s="44" t="s">
        <v>51</v>
      </c>
      <c r="I288" s="70">
        <v>30</v>
      </c>
      <c r="J288" s="93"/>
    </row>
    <row r="289" spans="1:10" ht="12.75" customHeight="1" x14ac:dyDescent="0.3">
      <c r="A289" s="37">
        <v>43233</v>
      </c>
      <c r="B289" s="38" t="s">
        <v>49</v>
      </c>
      <c r="C289" s="73">
        <v>6</v>
      </c>
      <c r="D289" s="73">
        <v>26</v>
      </c>
      <c r="E289" s="73">
        <f>IF(((C289="")*AND(D289="")),"",D289-C289)</f>
        <v>20</v>
      </c>
      <c r="F289" s="39" t="str">
        <f>IF(E289="","",IF(E289&lt;=30,"Pass","Fail"))</f>
        <v>Pass</v>
      </c>
      <c r="G289" s="43">
        <v>102</v>
      </c>
      <c r="H289" s="44" t="s">
        <v>51</v>
      </c>
      <c r="I289" s="70">
        <v>30</v>
      </c>
      <c r="J289" s="93" t="s">
        <v>61</v>
      </c>
    </row>
    <row r="290" spans="1:10" ht="12.75" customHeight="1" x14ac:dyDescent="0.3">
      <c r="A290" s="37">
        <v>43236</v>
      </c>
      <c r="B290" s="38" t="s">
        <v>47</v>
      </c>
      <c r="C290" s="73">
        <v>23</v>
      </c>
      <c r="D290" s="73">
        <v>43</v>
      </c>
      <c r="E290" s="73">
        <f>IF(((C290="")*AND(D290="")),"",D290-C290)</f>
        <v>20</v>
      </c>
      <c r="F290" s="39" t="str">
        <f>IF(E290="","",IF(E290&lt;=20,"Pass","Fail"))</f>
        <v>Pass</v>
      </c>
      <c r="G290" s="43">
        <v>1335</v>
      </c>
      <c r="H290" s="44" t="s">
        <v>51</v>
      </c>
      <c r="I290" s="70">
        <v>20</v>
      </c>
      <c r="J290" s="93"/>
    </row>
    <row r="291" spans="1:10" ht="12.75" customHeight="1" x14ac:dyDescent="0.3">
      <c r="A291" s="37">
        <v>43236</v>
      </c>
      <c r="B291" s="38" t="s">
        <v>49</v>
      </c>
      <c r="C291" s="73">
        <v>24</v>
      </c>
      <c r="D291" s="73">
        <v>45</v>
      </c>
      <c r="E291" s="73">
        <f>IF(((C291="")*AND(D291="")),"",D291-C291)</f>
        <v>21</v>
      </c>
      <c r="F291" s="39" t="str">
        <f>IF(E291="","",IF(E291&lt;=30,"Pass","Fail"))</f>
        <v>Pass</v>
      </c>
      <c r="G291" s="43">
        <v>1335</v>
      </c>
      <c r="H291" s="44" t="s">
        <v>51</v>
      </c>
      <c r="I291" s="70">
        <v>30</v>
      </c>
      <c r="J291" s="93"/>
    </row>
    <row r="292" spans="1:10" ht="12.75" customHeight="1" x14ac:dyDescent="0.3">
      <c r="A292" s="37">
        <v>43239</v>
      </c>
      <c r="B292" s="38" t="s">
        <v>47</v>
      </c>
      <c r="C292" s="73">
        <v>24</v>
      </c>
      <c r="D292" s="73">
        <v>27</v>
      </c>
      <c r="E292" s="73">
        <f t="shared" ref="E292:E315" si="11">IF(((C292="")*AND(D292="")),"",D292-C292)</f>
        <v>3</v>
      </c>
      <c r="F292" s="39" t="str">
        <f>IF(E292="","",IF(E292&lt;=20,"Pass","Fail"))</f>
        <v>Pass</v>
      </c>
      <c r="G292" s="43">
        <v>1159</v>
      </c>
      <c r="H292" s="44" t="s">
        <v>51</v>
      </c>
      <c r="I292" s="70">
        <v>20</v>
      </c>
      <c r="J292" s="93"/>
    </row>
    <row r="293" spans="1:10" ht="12.75" customHeight="1" x14ac:dyDescent="0.3">
      <c r="A293" s="37">
        <v>43239</v>
      </c>
      <c r="B293" s="38" t="s">
        <v>49</v>
      </c>
      <c r="C293" s="73">
        <v>35</v>
      </c>
      <c r="D293" s="73">
        <v>37</v>
      </c>
      <c r="E293" s="73">
        <f t="shared" si="11"/>
        <v>2</v>
      </c>
      <c r="F293" s="39" t="str">
        <f>IF(E293="","",IF(E293&lt;=30,"Pass","Fail"))</f>
        <v>Pass</v>
      </c>
      <c r="G293" s="43">
        <v>1159</v>
      </c>
      <c r="H293" s="44" t="s">
        <v>51</v>
      </c>
      <c r="I293" s="70">
        <v>30</v>
      </c>
      <c r="J293" s="93"/>
    </row>
    <row r="294" spans="1:10" ht="12.75" customHeight="1" x14ac:dyDescent="0.3">
      <c r="A294" s="37">
        <v>43242</v>
      </c>
      <c r="B294" s="38" t="s">
        <v>47</v>
      </c>
      <c r="C294" s="73">
        <v>29</v>
      </c>
      <c r="D294" s="73">
        <v>37</v>
      </c>
      <c r="E294" s="73">
        <f t="shared" si="11"/>
        <v>8</v>
      </c>
      <c r="F294" s="39" t="str">
        <f>IF(E294="","",IF(E294&lt;=20,"Pass","Fail"))</f>
        <v>Pass</v>
      </c>
      <c r="G294" s="43">
        <v>1428</v>
      </c>
      <c r="H294" s="67"/>
      <c r="I294" s="70">
        <v>20</v>
      </c>
      <c r="J294" s="93"/>
    </row>
    <row r="295" spans="1:10" ht="12.75" customHeight="1" x14ac:dyDescent="0.3">
      <c r="A295" s="37">
        <v>43242</v>
      </c>
      <c r="B295" s="38" t="s">
        <v>49</v>
      </c>
      <c r="C295" s="73">
        <v>39</v>
      </c>
      <c r="D295" s="73">
        <v>48</v>
      </c>
      <c r="E295" s="73">
        <f t="shared" si="11"/>
        <v>9</v>
      </c>
      <c r="F295" s="39" t="str">
        <f>IF(E295="","",IF(E295&lt;=30,"Pass","Fail"))</f>
        <v>Pass</v>
      </c>
      <c r="G295" s="43">
        <v>1428</v>
      </c>
      <c r="H295" s="67"/>
      <c r="I295" s="70">
        <v>30</v>
      </c>
      <c r="J295" s="93"/>
    </row>
    <row r="296" spans="1:10" ht="12.75" customHeight="1" x14ac:dyDescent="0.3">
      <c r="A296" s="37">
        <v>43246</v>
      </c>
      <c r="B296" s="38" t="s">
        <v>47</v>
      </c>
      <c r="C296" s="73">
        <v>29</v>
      </c>
      <c r="D296" s="73">
        <v>24</v>
      </c>
      <c r="E296" s="73">
        <f t="shared" si="11"/>
        <v>-5</v>
      </c>
      <c r="F296" s="39" t="str">
        <f>IF(E296="","",IF(E296&lt;=20,"Pass","Fail"))</f>
        <v>Pass</v>
      </c>
      <c r="G296" s="43">
        <v>102</v>
      </c>
      <c r="H296" s="67"/>
      <c r="I296" s="70">
        <v>20</v>
      </c>
      <c r="J296" s="93" t="s">
        <v>61</v>
      </c>
    </row>
    <row r="297" spans="1:10" ht="12.75" customHeight="1" x14ac:dyDescent="0.3">
      <c r="A297" s="37">
        <v>43246</v>
      </c>
      <c r="B297" s="38" t="s">
        <v>49</v>
      </c>
      <c r="C297" s="73">
        <v>41</v>
      </c>
      <c r="D297" s="73">
        <v>39</v>
      </c>
      <c r="E297" s="73">
        <f t="shared" si="11"/>
        <v>-2</v>
      </c>
      <c r="F297" s="39" t="str">
        <f>IF(E297="","",IF(E297&lt;=30,"Pass","Fail"))</f>
        <v>Pass</v>
      </c>
      <c r="G297" s="43">
        <v>102</v>
      </c>
      <c r="H297" s="67"/>
      <c r="I297" s="70">
        <v>30</v>
      </c>
      <c r="J297" s="93" t="s">
        <v>61</v>
      </c>
    </row>
    <row r="298" spans="1:10" ht="12.75" customHeight="1" x14ac:dyDescent="0.3">
      <c r="A298" s="37">
        <v>43249</v>
      </c>
      <c r="B298" s="38" t="s">
        <v>47</v>
      </c>
      <c r="C298" s="73">
        <v>38</v>
      </c>
      <c r="D298" s="73">
        <v>58</v>
      </c>
      <c r="E298" s="73">
        <f t="shared" si="11"/>
        <v>20</v>
      </c>
      <c r="F298" s="39" t="str">
        <f>IF(E298="","",IF(E298&lt;=20,"Pass","Fail"))</f>
        <v>Pass</v>
      </c>
      <c r="G298" s="43">
        <v>1428</v>
      </c>
      <c r="H298" s="44" t="s">
        <v>51</v>
      </c>
      <c r="I298" s="70">
        <v>20</v>
      </c>
      <c r="J298" s="93"/>
    </row>
    <row r="299" spans="1:10" ht="12.75" customHeight="1" x14ac:dyDescent="0.3">
      <c r="A299" s="37">
        <v>43249</v>
      </c>
      <c r="B299" s="38" t="s">
        <v>49</v>
      </c>
      <c r="C299" s="73">
        <v>48</v>
      </c>
      <c r="D299" s="73">
        <v>53</v>
      </c>
      <c r="E299" s="73">
        <f t="shared" si="11"/>
        <v>5</v>
      </c>
      <c r="F299" s="39" t="str">
        <f>IF(E299="","",IF(E299&lt;=30,"Pass","Fail"))</f>
        <v>Pass</v>
      </c>
      <c r="G299" s="43">
        <v>1428</v>
      </c>
      <c r="H299" s="44" t="s">
        <v>51</v>
      </c>
      <c r="I299" s="70">
        <v>30</v>
      </c>
      <c r="J299" s="93"/>
    </row>
    <row r="300" spans="1:10" ht="12.75" customHeight="1" x14ac:dyDescent="0.3">
      <c r="A300" s="37">
        <v>43252</v>
      </c>
      <c r="B300" s="38" t="s">
        <v>47</v>
      </c>
      <c r="C300" s="73">
        <v>8</v>
      </c>
      <c r="D300" s="73">
        <v>24</v>
      </c>
      <c r="E300" s="73">
        <f t="shared" si="11"/>
        <v>16</v>
      </c>
      <c r="F300" s="39" t="str">
        <f>IF(E300="","",IF(E300&lt;=20,"Pass","Fail"))</f>
        <v>Pass</v>
      </c>
      <c r="G300" s="43">
        <v>121</v>
      </c>
      <c r="H300" s="44" t="s">
        <v>51</v>
      </c>
      <c r="I300" s="70">
        <v>20</v>
      </c>
      <c r="J300" s="93"/>
    </row>
    <row r="301" spans="1:10" ht="12.75" customHeight="1" x14ac:dyDescent="0.3">
      <c r="A301" s="37">
        <v>43252</v>
      </c>
      <c r="B301" s="38" t="s">
        <v>49</v>
      </c>
      <c r="C301" s="73">
        <v>8</v>
      </c>
      <c r="D301" s="73">
        <v>29</v>
      </c>
      <c r="E301" s="73">
        <f t="shared" si="11"/>
        <v>21</v>
      </c>
      <c r="F301" s="39" t="str">
        <f>IF(E301="","",IF(E301&lt;=30,"Pass","Fail"))</f>
        <v>Pass</v>
      </c>
      <c r="G301" s="43">
        <v>121</v>
      </c>
      <c r="H301" s="44" t="s">
        <v>51</v>
      </c>
      <c r="I301" s="70">
        <v>30</v>
      </c>
      <c r="J301" s="93"/>
    </row>
    <row r="302" spans="1:10" ht="12.75" customHeight="1" x14ac:dyDescent="0.3">
      <c r="A302" s="37">
        <v>43255</v>
      </c>
      <c r="B302" s="38" t="s">
        <v>47</v>
      </c>
      <c r="C302" s="73">
        <v>15</v>
      </c>
      <c r="D302" s="73">
        <v>17</v>
      </c>
      <c r="E302" s="73">
        <f t="shared" si="11"/>
        <v>2</v>
      </c>
      <c r="F302" s="39" t="str">
        <f>IF(E302="","",IF(E302&lt;=20,"Pass","Fail"))</f>
        <v>Pass</v>
      </c>
      <c r="G302" s="43">
        <v>121</v>
      </c>
      <c r="H302" s="44" t="s">
        <v>51</v>
      </c>
      <c r="I302" s="70">
        <v>20</v>
      </c>
      <c r="J302" s="93"/>
    </row>
    <row r="303" spans="1:10" ht="12.75" customHeight="1" x14ac:dyDescent="0.3">
      <c r="A303" s="37">
        <v>43255</v>
      </c>
      <c r="B303" s="38" t="s">
        <v>49</v>
      </c>
      <c r="C303" s="73">
        <v>18</v>
      </c>
      <c r="D303" s="73">
        <v>58</v>
      </c>
      <c r="E303" s="73">
        <f t="shared" si="11"/>
        <v>40</v>
      </c>
      <c r="F303" s="39" t="str">
        <f>IF(E303="","",IF(E303&lt;=30,"Pass","Fail"))</f>
        <v>Fail</v>
      </c>
      <c r="G303" s="43">
        <v>121</v>
      </c>
      <c r="H303" s="44" t="s">
        <v>51</v>
      </c>
      <c r="I303" s="70">
        <v>30</v>
      </c>
      <c r="J303" s="93"/>
    </row>
    <row r="304" spans="1:10" ht="12.75" customHeight="1" x14ac:dyDescent="0.3">
      <c r="A304" s="37">
        <v>43255</v>
      </c>
      <c r="B304" s="38" t="s">
        <v>49</v>
      </c>
      <c r="C304" s="73">
        <v>17</v>
      </c>
      <c r="D304" s="73">
        <v>39</v>
      </c>
      <c r="E304" s="73">
        <f t="shared" si="11"/>
        <v>22</v>
      </c>
      <c r="F304" s="39" t="str">
        <f>IF(E304="","",IF(E304&lt;=30,"Pass","Fail"))</f>
        <v>Pass</v>
      </c>
      <c r="G304" s="43" t="s">
        <v>63</v>
      </c>
      <c r="H304" s="44" t="s">
        <v>51</v>
      </c>
      <c r="I304" s="70">
        <v>30</v>
      </c>
      <c r="J304" s="93"/>
    </row>
    <row r="305" spans="1:10" ht="12.75" customHeight="1" x14ac:dyDescent="0.3">
      <c r="A305" s="37">
        <v>43260</v>
      </c>
      <c r="B305" s="38" t="s">
        <v>47</v>
      </c>
      <c r="C305" s="73">
        <v>7</v>
      </c>
      <c r="D305" s="73">
        <v>41</v>
      </c>
      <c r="E305" s="73">
        <f>IF(((C305="")*AND(D305="")),"",D305-C305)</f>
        <v>34</v>
      </c>
      <c r="F305" s="39" t="str">
        <f>IF(E305="","",IF(E305&lt;=20,"Pass","Fail"))</f>
        <v>Fail</v>
      </c>
      <c r="G305" s="43">
        <v>121</v>
      </c>
      <c r="H305" s="44" t="s">
        <v>51</v>
      </c>
      <c r="I305" s="70">
        <v>20</v>
      </c>
      <c r="J305" s="93" t="s">
        <v>64</v>
      </c>
    </row>
    <row r="306" spans="1:10" ht="12.75" customHeight="1" x14ac:dyDescent="0.3">
      <c r="A306" s="37">
        <v>43260</v>
      </c>
      <c r="B306" s="38" t="s">
        <v>49</v>
      </c>
      <c r="C306" s="73">
        <v>7</v>
      </c>
      <c r="D306" s="73">
        <v>34</v>
      </c>
      <c r="E306" s="73">
        <f t="shared" si="11"/>
        <v>27</v>
      </c>
      <c r="F306" s="39" t="str">
        <f>IF(E306="","",IF(E306&lt;=30,"Pass","Fail"))</f>
        <v>Pass</v>
      </c>
      <c r="G306" s="43">
        <v>121</v>
      </c>
      <c r="H306" s="44" t="s">
        <v>51</v>
      </c>
      <c r="I306" s="70">
        <v>30</v>
      </c>
      <c r="J306" s="93"/>
    </row>
    <row r="307" spans="1:10" ht="12.75" customHeight="1" x14ac:dyDescent="0.3">
      <c r="A307" s="37">
        <v>43260</v>
      </c>
      <c r="B307" s="38" t="s">
        <v>47</v>
      </c>
      <c r="C307" s="73">
        <v>41</v>
      </c>
      <c r="D307" s="73">
        <v>43</v>
      </c>
      <c r="E307" s="73">
        <f t="shared" si="11"/>
        <v>2</v>
      </c>
      <c r="F307" s="39" t="str">
        <f>IF(E307="","",IF(E307&lt;=20,"Pass","Fail"))</f>
        <v>Pass</v>
      </c>
      <c r="G307" s="43">
        <v>121</v>
      </c>
      <c r="H307" s="44" t="s">
        <v>51</v>
      </c>
      <c r="I307" s="70">
        <v>20</v>
      </c>
      <c r="J307" s="93"/>
    </row>
    <row r="308" spans="1:10" ht="12.75" customHeight="1" x14ac:dyDescent="0.3">
      <c r="A308" s="37">
        <v>43264</v>
      </c>
      <c r="B308" s="38" t="s">
        <v>47</v>
      </c>
      <c r="C308" s="73">
        <v>4</v>
      </c>
      <c r="D308" s="73">
        <v>43</v>
      </c>
      <c r="E308" s="73">
        <f t="shared" si="11"/>
        <v>39</v>
      </c>
      <c r="F308" s="39" t="str">
        <f>IF(E308="","",IF(E308&lt;=20,"Pass","Fail"))</f>
        <v>Fail</v>
      </c>
      <c r="G308" s="43">
        <v>1159</v>
      </c>
      <c r="H308" s="44" t="s">
        <v>51</v>
      </c>
      <c r="I308" s="70">
        <v>20</v>
      </c>
      <c r="J308" s="93"/>
    </row>
    <row r="309" spans="1:10" ht="12.75" customHeight="1" x14ac:dyDescent="0.3">
      <c r="A309" s="37">
        <v>43264</v>
      </c>
      <c r="B309" s="38" t="s">
        <v>49</v>
      </c>
      <c r="C309" s="73">
        <v>10</v>
      </c>
      <c r="D309" s="73">
        <v>26</v>
      </c>
      <c r="E309" s="73">
        <f t="shared" si="11"/>
        <v>16</v>
      </c>
      <c r="F309" s="39" t="str">
        <f>IF(E309="","",IF(E309&lt;=30,"Pass","Fail"))</f>
        <v>Pass</v>
      </c>
      <c r="G309" s="43">
        <v>1159</v>
      </c>
      <c r="H309" s="44" t="s">
        <v>51</v>
      </c>
      <c r="I309" s="70">
        <v>30</v>
      </c>
      <c r="J309" s="93"/>
    </row>
    <row r="310" spans="1:10" ht="12.75" customHeight="1" x14ac:dyDescent="0.3">
      <c r="A310" s="37">
        <v>43264</v>
      </c>
      <c r="B310" s="38" t="s">
        <v>47</v>
      </c>
      <c r="C310" s="73">
        <v>13</v>
      </c>
      <c r="D310" s="73">
        <v>16</v>
      </c>
      <c r="E310" s="73">
        <f t="shared" si="11"/>
        <v>3</v>
      </c>
      <c r="F310" s="39" t="str">
        <f>IF(E310="","",IF(E310&lt;=20,"Pass","Fail"))</f>
        <v>Pass</v>
      </c>
      <c r="G310" s="43">
        <v>1159</v>
      </c>
      <c r="H310" s="44" t="s">
        <v>51</v>
      </c>
      <c r="I310" s="70">
        <v>20</v>
      </c>
      <c r="J310" s="93"/>
    </row>
    <row r="311" spans="1:10" ht="12.75" customHeight="1" x14ac:dyDescent="0.3">
      <c r="A311" s="37">
        <v>43269</v>
      </c>
      <c r="B311" s="38" t="s">
        <v>47</v>
      </c>
      <c r="C311" s="73">
        <v>6</v>
      </c>
      <c r="D311" s="73">
        <v>35</v>
      </c>
      <c r="E311" s="73">
        <f t="shared" si="11"/>
        <v>29</v>
      </c>
      <c r="F311" s="39" t="str">
        <f>IF(E311="","",IF(E311&lt;=20,"Pass","Fail"))</f>
        <v>Fail</v>
      </c>
      <c r="G311" s="43">
        <v>1159</v>
      </c>
      <c r="H311" s="44" t="s">
        <v>51</v>
      </c>
      <c r="I311" s="70">
        <v>20</v>
      </c>
      <c r="J311" s="93"/>
    </row>
    <row r="312" spans="1:10" ht="12.75" customHeight="1" x14ac:dyDescent="0.3">
      <c r="A312" s="37">
        <v>43269</v>
      </c>
      <c r="B312" s="38" t="s">
        <v>49</v>
      </c>
      <c r="C312" s="73">
        <v>8</v>
      </c>
      <c r="D312" s="73">
        <v>58</v>
      </c>
      <c r="E312" s="73">
        <f t="shared" si="11"/>
        <v>50</v>
      </c>
      <c r="F312" s="39" t="str">
        <f>IF(E312="","",IF(E312&lt;=30,"Pass","Fail"))</f>
        <v>Fail</v>
      </c>
      <c r="G312" s="43">
        <v>1159</v>
      </c>
      <c r="H312" s="44" t="s">
        <v>51</v>
      </c>
      <c r="I312" s="70">
        <v>30</v>
      </c>
      <c r="J312" s="93"/>
    </row>
    <row r="313" spans="1:10" ht="12.75" customHeight="1" x14ac:dyDescent="0.3">
      <c r="A313" s="37">
        <v>43269</v>
      </c>
      <c r="B313" s="38" t="s">
        <v>47</v>
      </c>
      <c r="C313" s="73">
        <v>8</v>
      </c>
      <c r="D313" s="73">
        <v>28</v>
      </c>
      <c r="E313" s="73">
        <f t="shared" si="11"/>
        <v>20</v>
      </c>
      <c r="F313" s="39" t="str">
        <f>IF(E313="","",IF(E313&lt;=20,"Pass","Fail"))</f>
        <v>Pass</v>
      </c>
      <c r="G313" s="43">
        <v>1159</v>
      </c>
      <c r="H313" s="44" t="s">
        <v>51</v>
      </c>
      <c r="I313" s="70">
        <v>20</v>
      </c>
      <c r="J313" s="93"/>
    </row>
    <row r="314" spans="1:10" ht="12.75" customHeight="1" x14ac:dyDescent="0.3">
      <c r="A314" s="37">
        <v>43269</v>
      </c>
      <c r="B314" s="38" t="s">
        <v>49</v>
      </c>
      <c r="C314" s="73">
        <v>4</v>
      </c>
      <c r="D314" s="73">
        <v>14</v>
      </c>
      <c r="E314" s="73">
        <f t="shared" si="11"/>
        <v>10</v>
      </c>
      <c r="F314" s="39" t="str">
        <f>IF(E314="","",IF(E314&lt;=30,"Pass","Fail"))</f>
        <v>Pass</v>
      </c>
      <c r="G314" s="43">
        <v>1159</v>
      </c>
      <c r="H314" s="44" t="s">
        <v>51</v>
      </c>
      <c r="I314" s="70">
        <v>30</v>
      </c>
      <c r="J314" s="93"/>
    </row>
    <row r="315" spans="1:10" ht="12.75" customHeight="1" x14ac:dyDescent="0.3">
      <c r="A315" s="37">
        <v>43274</v>
      </c>
      <c r="B315" s="38" t="s">
        <v>47</v>
      </c>
      <c r="C315" s="73">
        <v>15</v>
      </c>
      <c r="D315" s="73">
        <v>32</v>
      </c>
      <c r="E315" s="73">
        <f t="shared" si="11"/>
        <v>17</v>
      </c>
      <c r="F315" s="39" t="str">
        <f>IF(E315="","",IF(E315&lt;=20,"Pass","Fail"))</f>
        <v>Pass</v>
      </c>
      <c r="G315" s="43" t="s">
        <v>65</v>
      </c>
      <c r="H315" s="44" t="s">
        <v>51</v>
      </c>
      <c r="I315" s="70">
        <v>20</v>
      </c>
      <c r="J315" s="93"/>
    </row>
    <row r="316" spans="1:10" ht="12.75" customHeight="1" x14ac:dyDescent="0.3">
      <c r="A316" s="37">
        <v>43274</v>
      </c>
      <c r="B316" s="38" t="s">
        <v>49</v>
      </c>
      <c r="C316" s="73">
        <v>8</v>
      </c>
      <c r="D316" s="73">
        <v>27</v>
      </c>
      <c r="E316" s="73">
        <v>19</v>
      </c>
      <c r="F316" s="39" t="str">
        <f>IF(E316="","",IF(E316&lt;=30,"Pass","Fail"))</f>
        <v>Pass</v>
      </c>
      <c r="G316" s="43" t="s">
        <v>65</v>
      </c>
      <c r="H316" s="44" t="s">
        <v>51</v>
      </c>
      <c r="I316" s="70">
        <v>30</v>
      </c>
      <c r="J316" s="93"/>
    </row>
    <row r="317" spans="1:10" ht="12.75" customHeight="1" x14ac:dyDescent="0.3">
      <c r="A317" s="37">
        <v>43276</v>
      </c>
      <c r="B317" s="38" t="s">
        <v>47</v>
      </c>
      <c r="C317" s="73">
        <v>8</v>
      </c>
      <c r="D317" s="73">
        <v>27</v>
      </c>
      <c r="E317" s="73">
        <f t="shared" ref="E317:E348" si="12">IF(((C317="")*AND(D317="")),"",D317-C317)</f>
        <v>19</v>
      </c>
      <c r="F317" s="39" t="str">
        <f>IF(E317="","",IF(E317&lt;=20,"Pass","Fail"))</f>
        <v>Pass</v>
      </c>
      <c r="G317" s="43">
        <v>1335</v>
      </c>
      <c r="H317" s="44" t="s">
        <v>51</v>
      </c>
      <c r="I317" s="70">
        <v>20</v>
      </c>
      <c r="J317" s="93"/>
    </row>
    <row r="318" spans="1:10" ht="12.75" customHeight="1" x14ac:dyDescent="0.3">
      <c r="A318" s="37">
        <v>43276</v>
      </c>
      <c r="B318" s="38" t="s">
        <v>49</v>
      </c>
      <c r="C318" s="73">
        <v>18</v>
      </c>
      <c r="D318" s="73">
        <v>40</v>
      </c>
      <c r="E318" s="73">
        <f t="shared" si="12"/>
        <v>22</v>
      </c>
      <c r="F318" s="39" t="str">
        <f>IF(E318="","",IF(E318&lt;=30,"Pass","Fail"))</f>
        <v>Pass</v>
      </c>
      <c r="G318" s="43">
        <v>1335</v>
      </c>
      <c r="H318" s="44" t="s">
        <v>51</v>
      </c>
      <c r="I318" s="70">
        <v>30</v>
      </c>
      <c r="J318" s="93"/>
    </row>
    <row r="319" spans="1:10" ht="12.75" customHeight="1" x14ac:dyDescent="0.3">
      <c r="A319" s="37">
        <v>43279</v>
      </c>
      <c r="B319" s="38" t="s">
        <v>47</v>
      </c>
      <c r="C319" s="73">
        <v>19</v>
      </c>
      <c r="D319" s="73">
        <v>36</v>
      </c>
      <c r="E319" s="73">
        <f t="shared" si="12"/>
        <v>17</v>
      </c>
      <c r="F319" s="39" t="str">
        <f>IF(E319="","",IF(E319&lt;=20,"Pass","Fail"))</f>
        <v>Pass</v>
      </c>
      <c r="G319" s="43">
        <v>1159</v>
      </c>
      <c r="H319" s="44" t="s">
        <v>51</v>
      </c>
      <c r="I319" s="70">
        <v>20</v>
      </c>
      <c r="J319" s="93"/>
    </row>
    <row r="320" spans="1:10" ht="12.75" customHeight="1" x14ac:dyDescent="0.3">
      <c r="A320" s="37">
        <v>43279</v>
      </c>
      <c r="B320" s="38" t="s">
        <v>49</v>
      </c>
      <c r="C320" s="73">
        <v>27</v>
      </c>
      <c r="D320" s="73">
        <v>64</v>
      </c>
      <c r="E320" s="73">
        <f t="shared" si="12"/>
        <v>37</v>
      </c>
      <c r="F320" s="39" t="str">
        <f>IF(E320="","",IF(E320&lt;=30,"Pass","Fail"))</f>
        <v>Fail</v>
      </c>
      <c r="G320" s="43">
        <v>1159</v>
      </c>
      <c r="H320" s="44" t="s">
        <v>51</v>
      </c>
      <c r="I320" s="70">
        <v>30</v>
      </c>
      <c r="J320" s="93"/>
    </row>
    <row r="321" spans="1:10" ht="12.75" customHeight="1" x14ac:dyDescent="0.3">
      <c r="A321" s="37">
        <v>43279</v>
      </c>
      <c r="B321" s="38" t="s">
        <v>49</v>
      </c>
      <c r="C321" s="73">
        <v>18</v>
      </c>
      <c r="D321" s="73">
        <v>23</v>
      </c>
      <c r="E321" s="73">
        <f t="shared" si="12"/>
        <v>5</v>
      </c>
      <c r="F321" s="39" t="str">
        <f>IF(E321="","",IF(E321&lt;=30,"Pass","Fail"))</f>
        <v>Pass</v>
      </c>
      <c r="G321" s="43">
        <v>1159</v>
      </c>
      <c r="H321" s="44" t="s">
        <v>51</v>
      </c>
      <c r="I321" s="70">
        <v>30</v>
      </c>
      <c r="J321" s="93"/>
    </row>
    <row r="322" spans="1:10" ht="12.75" customHeight="1" x14ac:dyDescent="0.3">
      <c r="A322" s="37">
        <v>43283</v>
      </c>
      <c r="B322" s="38" t="s">
        <v>47</v>
      </c>
      <c r="C322" s="73">
        <v>8</v>
      </c>
      <c r="D322" s="73">
        <v>40</v>
      </c>
      <c r="E322" s="73">
        <f t="shared" si="12"/>
        <v>32</v>
      </c>
      <c r="F322" s="39" t="str">
        <f>IF(E322="","",IF(E322&lt;=20,"Pass","Fail"))</f>
        <v>Fail</v>
      </c>
      <c r="G322" s="43">
        <v>1159</v>
      </c>
      <c r="H322" s="44" t="s">
        <v>51</v>
      </c>
      <c r="I322" s="70">
        <v>20</v>
      </c>
      <c r="J322" s="93"/>
    </row>
    <row r="323" spans="1:10" ht="12.75" customHeight="1" x14ac:dyDescent="0.3">
      <c r="A323" s="37">
        <v>43283</v>
      </c>
      <c r="B323" s="38" t="s">
        <v>47</v>
      </c>
      <c r="C323" s="73">
        <v>8</v>
      </c>
      <c r="D323" s="73">
        <v>22</v>
      </c>
      <c r="E323" s="73">
        <f t="shared" si="12"/>
        <v>14</v>
      </c>
      <c r="F323" s="39" t="str">
        <f>IF(E323="","",IF(E323&lt;=20,"Pass","Fail"))</f>
        <v>Pass</v>
      </c>
      <c r="G323" s="43">
        <v>1159</v>
      </c>
      <c r="H323" s="44" t="s">
        <v>51</v>
      </c>
      <c r="I323" s="70">
        <v>20</v>
      </c>
      <c r="J323" s="93"/>
    </row>
    <row r="324" spans="1:10" ht="12.75" customHeight="1" x14ac:dyDescent="0.3">
      <c r="A324" s="37">
        <v>43283</v>
      </c>
      <c r="B324" s="38" t="s">
        <v>49</v>
      </c>
      <c r="C324" s="73">
        <v>18</v>
      </c>
      <c r="D324" s="73">
        <v>30</v>
      </c>
      <c r="E324" s="73">
        <f t="shared" si="12"/>
        <v>12</v>
      </c>
      <c r="F324" s="39" t="str">
        <f>IF(E324="","",IF(E324&lt;=30,"Pass","Fail"))</f>
        <v>Pass</v>
      </c>
      <c r="G324" s="43">
        <v>1159</v>
      </c>
      <c r="H324" s="44" t="s">
        <v>51</v>
      </c>
      <c r="I324" s="70">
        <v>30</v>
      </c>
      <c r="J324" s="93"/>
    </row>
    <row r="325" spans="1:10" ht="12.75" customHeight="1" x14ac:dyDescent="0.3">
      <c r="A325" s="37">
        <v>43286</v>
      </c>
      <c r="B325" s="38" t="s">
        <v>47</v>
      </c>
      <c r="C325" s="73">
        <v>23</v>
      </c>
      <c r="D325" s="73">
        <v>101</v>
      </c>
      <c r="E325" s="73">
        <f t="shared" si="12"/>
        <v>78</v>
      </c>
      <c r="F325" s="39" t="str">
        <f>IF(E325="","",IF(E325&lt;=20,"Pass","Fail"))</f>
        <v>Fail</v>
      </c>
      <c r="G325" s="43">
        <v>1159</v>
      </c>
      <c r="H325" s="44" t="s">
        <v>51</v>
      </c>
      <c r="I325" s="70">
        <v>20</v>
      </c>
      <c r="J325" s="93"/>
    </row>
    <row r="326" spans="1:10" ht="12.75" customHeight="1" x14ac:dyDescent="0.3">
      <c r="A326" s="37">
        <v>43286</v>
      </c>
      <c r="B326" s="38" t="s">
        <v>49</v>
      </c>
      <c r="C326" s="73">
        <v>21</v>
      </c>
      <c r="D326" s="73">
        <v>27</v>
      </c>
      <c r="E326" s="73">
        <f t="shared" si="12"/>
        <v>6</v>
      </c>
      <c r="F326" s="39" t="str">
        <f>IF(E326="","",IF(E326&lt;=30,"Pass","Fail"))</f>
        <v>Pass</v>
      </c>
      <c r="G326" s="43">
        <v>1159</v>
      </c>
      <c r="H326" s="44" t="s">
        <v>51</v>
      </c>
      <c r="I326" s="70">
        <v>30</v>
      </c>
      <c r="J326" s="93"/>
    </row>
    <row r="327" spans="1:10" ht="12.75" customHeight="1" x14ac:dyDescent="0.3">
      <c r="A327" s="37">
        <v>43286</v>
      </c>
      <c r="B327" s="38" t="s">
        <v>47</v>
      </c>
      <c r="C327" s="73">
        <v>9</v>
      </c>
      <c r="D327" s="73">
        <v>11</v>
      </c>
      <c r="E327" s="73">
        <f t="shared" si="12"/>
        <v>2</v>
      </c>
      <c r="F327" s="39" t="str">
        <f>IF(E327="","",IF(E327&lt;=20,"Pass","Fail"))</f>
        <v>Pass</v>
      </c>
      <c r="G327" s="43">
        <v>1159</v>
      </c>
      <c r="H327" s="44" t="s">
        <v>51</v>
      </c>
      <c r="I327" s="70">
        <v>20</v>
      </c>
      <c r="J327" s="93"/>
    </row>
    <row r="328" spans="1:10" ht="12.75" customHeight="1" x14ac:dyDescent="0.3">
      <c r="A328" s="37">
        <v>43289</v>
      </c>
      <c r="B328" s="38" t="s">
        <v>47</v>
      </c>
      <c r="C328" s="73">
        <v>5</v>
      </c>
      <c r="D328" s="73">
        <v>9</v>
      </c>
      <c r="E328" s="73">
        <f t="shared" si="12"/>
        <v>4</v>
      </c>
      <c r="F328" s="39" t="str">
        <f t="shared" ref="F328:F334" si="13">IF(E328="","",IF(E328&lt;=20,"Pass","Fail"))</f>
        <v>Pass</v>
      </c>
      <c r="G328" s="43">
        <v>1159</v>
      </c>
      <c r="H328" s="44" t="s">
        <v>51</v>
      </c>
      <c r="I328" s="70">
        <v>20</v>
      </c>
      <c r="J328" s="93"/>
    </row>
    <row r="329" spans="1:10" ht="12.75" customHeight="1" x14ac:dyDescent="0.3">
      <c r="A329" s="37">
        <v>43289</v>
      </c>
      <c r="B329" s="38" t="s">
        <v>49</v>
      </c>
      <c r="C329" s="73">
        <v>6</v>
      </c>
      <c r="D329" s="73">
        <v>16</v>
      </c>
      <c r="E329" s="73">
        <f t="shared" si="12"/>
        <v>10</v>
      </c>
      <c r="F329" s="39" t="str">
        <f>IF(E329="","",IF(E329&lt;=30,"Pass","Fail"))</f>
        <v>Pass</v>
      </c>
      <c r="G329" s="43">
        <v>1159</v>
      </c>
      <c r="H329" s="44" t="s">
        <v>51</v>
      </c>
      <c r="I329" s="70">
        <v>30</v>
      </c>
      <c r="J329" s="93"/>
    </row>
    <row r="330" spans="1:10" ht="12.75" customHeight="1" x14ac:dyDescent="0.3">
      <c r="A330" s="37">
        <v>43292</v>
      </c>
      <c r="B330" s="38" t="s">
        <v>47</v>
      </c>
      <c r="C330" s="73">
        <v>9</v>
      </c>
      <c r="D330" s="73">
        <v>12</v>
      </c>
      <c r="E330" s="73">
        <f t="shared" si="12"/>
        <v>3</v>
      </c>
      <c r="F330" s="39" t="str">
        <f t="shared" si="13"/>
        <v>Pass</v>
      </c>
      <c r="G330" s="43">
        <v>121</v>
      </c>
      <c r="H330" s="44" t="s">
        <v>51</v>
      </c>
      <c r="I330" s="70">
        <v>20</v>
      </c>
      <c r="J330" s="93"/>
    </row>
    <row r="331" spans="1:10" ht="12.75" customHeight="1" x14ac:dyDescent="0.3">
      <c r="A331" s="74">
        <v>43292</v>
      </c>
      <c r="B331" s="38" t="s">
        <v>49</v>
      </c>
      <c r="C331" s="73">
        <v>35</v>
      </c>
      <c r="D331" s="73">
        <v>82</v>
      </c>
      <c r="E331" s="73">
        <f t="shared" si="12"/>
        <v>47</v>
      </c>
      <c r="F331" s="39" t="str">
        <f>IF(E331="","",IF(E331&lt;=30,"Pass","Fail"))</f>
        <v>Fail</v>
      </c>
      <c r="G331" s="43">
        <v>121</v>
      </c>
      <c r="H331" s="44" t="s">
        <v>51</v>
      </c>
      <c r="I331" s="70">
        <v>30</v>
      </c>
      <c r="J331" s="93"/>
    </row>
    <row r="332" spans="1:10" ht="12.75" customHeight="1" x14ac:dyDescent="0.3">
      <c r="A332" s="74">
        <v>43292</v>
      </c>
      <c r="B332" s="38" t="s">
        <v>49</v>
      </c>
      <c r="C332" s="73">
        <v>12</v>
      </c>
      <c r="D332" s="73">
        <v>30</v>
      </c>
      <c r="E332" s="73">
        <f t="shared" si="12"/>
        <v>18</v>
      </c>
      <c r="F332" s="39" t="str">
        <f>IF(E332="","",IF(E332&lt;=30,"Pass","Fail"))</f>
        <v>Pass</v>
      </c>
      <c r="G332" s="43">
        <v>121</v>
      </c>
      <c r="H332" s="44" t="s">
        <v>51</v>
      </c>
      <c r="I332" s="70">
        <v>30</v>
      </c>
      <c r="J332" s="93"/>
    </row>
    <row r="333" spans="1:10" ht="12.75" customHeight="1" x14ac:dyDescent="0.3">
      <c r="A333" s="74">
        <v>43296</v>
      </c>
      <c r="B333" s="38" t="s">
        <v>49</v>
      </c>
      <c r="C333" s="73">
        <v>6</v>
      </c>
      <c r="D333" s="73">
        <v>20</v>
      </c>
      <c r="E333" s="73">
        <f t="shared" si="12"/>
        <v>14</v>
      </c>
      <c r="F333" s="39" t="str">
        <f>IF(E333="","",IF(E333&lt;=30,"Pass","Fail"))</f>
        <v>Pass</v>
      </c>
      <c r="G333" s="43">
        <v>1335</v>
      </c>
      <c r="H333" s="44" t="s">
        <v>51</v>
      </c>
      <c r="I333" s="70">
        <v>30</v>
      </c>
      <c r="J333" s="93"/>
    </row>
    <row r="334" spans="1:10" ht="12.75" customHeight="1" x14ac:dyDescent="0.3">
      <c r="A334" s="74">
        <v>43296</v>
      </c>
      <c r="B334" s="38" t="s">
        <v>47</v>
      </c>
      <c r="C334" s="73">
        <v>3</v>
      </c>
      <c r="D334" s="73">
        <v>12</v>
      </c>
      <c r="E334" s="73">
        <f t="shared" si="12"/>
        <v>9</v>
      </c>
      <c r="F334" s="41" t="str">
        <f t="shared" si="13"/>
        <v>Pass</v>
      </c>
      <c r="G334" s="43">
        <v>1335</v>
      </c>
      <c r="H334" s="44" t="s">
        <v>51</v>
      </c>
      <c r="I334" s="70">
        <v>20</v>
      </c>
      <c r="J334" s="93"/>
    </row>
    <row r="335" spans="1:10" ht="12.75" customHeight="1" x14ac:dyDescent="0.3">
      <c r="A335" s="74">
        <v>43300</v>
      </c>
      <c r="B335" s="38" t="s">
        <v>47</v>
      </c>
      <c r="C335" s="73">
        <v>4</v>
      </c>
      <c r="D335" s="73">
        <v>22</v>
      </c>
      <c r="E335" s="73">
        <f t="shared" si="12"/>
        <v>18</v>
      </c>
      <c r="F335" s="41" t="str">
        <f>IF(E335="","",IF(E335&lt;=20,"Pass","Fail"))</f>
        <v>Pass</v>
      </c>
      <c r="G335" s="43">
        <v>1335</v>
      </c>
      <c r="H335" s="44" t="s">
        <v>51</v>
      </c>
      <c r="I335" s="70">
        <v>20</v>
      </c>
      <c r="J335" s="93"/>
    </row>
    <row r="336" spans="1:10" ht="12.75" customHeight="1" x14ac:dyDescent="0.3">
      <c r="A336" s="74">
        <v>43300</v>
      </c>
      <c r="B336" s="38" t="s">
        <v>49</v>
      </c>
      <c r="C336" s="73">
        <v>5</v>
      </c>
      <c r="D336" s="73">
        <v>29</v>
      </c>
      <c r="E336" s="73">
        <f t="shared" si="12"/>
        <v>24</v>
      </c>
      <c r="F336" s="39" t="str">
        <f>IF(E336="","",IF(E336&lt;=30,"Pass","Fail"))</f>
        <v>Pass</v>
      </c>
      <c r="G336" s="43">
        <v>1335</v>
      </c>
      <c r="H336" s="44" t="s">
        <v>51</v>
      </c>
      <c r="I336" s="70">
        <v>30</v>
      </c>
      <c r="J336" s="93"/>
    </row>
    <row r="337" spans="1:10" ht="12.75" customHeight="1" x14ac:dyDescent="0.3">
      <c r="A337" s="74">
        <v>43300</v>
      </c>
      <c r="B337" s="38" t="s">
        <v>47</v>
      </c>
      <c r="C337" s="73">
        <v>31</v>
      </c>
      <c r="D337" s="73">
        <v>32</v>
      </c>
      <c r="E337" s="73">
        <f t="shared" si="12"/>
        <v>1</v>
      </c>
      <c r="F337" s="41" t="str">
        <f>IF(E337="","",IF(E337&lt;=20,"Pass","Fail"))</f>
        <v>Pass</v>
      </c>
      <c r="G337" s="43">
        <v>74</v>
      </c>
      <c r="H337" s="44" t="s">
        <v>51</v>
      </c>
      <c r="I337" s="70">
        <v>20</v>
      </c>
      <c r="J337" s="93"/>
    </row>
    <row r="338" spans="1:10" ht="12.75" customHeight="1" x14ac:dyDescent="0.3">
      <c r="A338" s="74">
        <v>43300</v>
      </c>
      <c r="B338" s="38" t="s">
        <v>49</v>
      </c>
      <c r="C338" s="73">
        <v>15</v>
      </c>
      <c r="D338" s="73">
        <v>18</v>
      </c>
      <c r="E338" s="73">
        <f t="shared" si="12"/>
        <v>3</v>
      </c>
      <c r="F338" s="39" t="str">
        <f t="shared" ref="F338:F348" si="14">IF(E338="","",IF(E338&lt;=30,"Pass","Fail"))</f>
        <v>Pass</v>
      </c>
      <c r="G338" s="43">
        <v>74</v>
      </c>
      <c r="H338" s="44" t="s">
        <v>51</v>
      </c>
      <c r="I338" s="70">
        <v>30</v>
      </c>
      <c r="J338" s="93"/>
    </row>
    <row r="339" spans="1:10" ht="12.75" customHeight="1" x14ac:dyDescent="0.3">
      <c r="A339" s="74">
        <v>43308</v>
      </c>
      <c r="B339" s="38" t="s">
        <v>49</v>
      </c>
      <c r="C339" s="73">
        <v>9</v>
      </c>
      <c r="D339" s="73">
        <v>16</v>
      </c>
      <c r="E339" s="73">
        <f t="shared" si="12"/>
        <v>7</v>
      </c>
      <c r="F339" s="39" t="str">
        <f t="shared" si="14"/>
        <v>Pass</v>
      </c>
      <c r="G339" s="43">
        <v>121</v>
      </c>
      <c r="H339" s="44" t="s">
        <v>51</v>
      </c>
      <c r="I339" s="70">
        <v>30</v>
      </c>
      <c r="J339" s="93"/>
    </row>
    <row r="340" spans="1:10" ht="12.75" customHeight="1" x14ac:dyDescent="0.3">
      <c r="A340" s="74">
        <v>43308</v>
      </c>
      <c r="B340" s="38" t="s">
        <v>47</v>
      </c>
      <c r="C340" s="73">
        <v>15</v>
      </c>
      <c r="D340" s="73">
        <v>22</v>
      </c>
      <c r="E340" s="73">
        <f t="shared" si="12"/>
        <v>7</v>
      </c>
      <c r="F340" s="39" t="str">
        <f t="shared" si="14"/>
        <v>Pass</v>
      </c>
      <c r="G340" s="43">
        <v>121</v>
      </c>
      <c r="H340" s="44" t="s">
        <v>51</v>
      </c>
      <c r="I340" s="70">
        <v>20</v>
      </c>
      <c r="J340" s="93"/>
    </row>
    <row r="341" spans="1:10" ht="12.75" customHeight="1" x14ac:dyDescent="0.3">
      <c r="A341" s="74">
        <v>43311</v>
      </c>
      <c r="B341" s="38" t="s">
        <v>49</v>
      </c>
      <c r="C341" s="73">
        <v>9</v>
      </c>
      <c r="D341" s="73">
        <v>15</v>
      </c>
      <c r="E341" s="73">
        <f t="shared" si="12"/>
        <v>6</v>
      </c>
      <c r="F341" s="39" t="str">
        <f t="shared" si="14"/>
        <v>Pass</v>
      </c>
      <c r="G341" s="43">
        <v>1340</v>
      </c>
      <c r="H341" s="44" t="s">
        <v>51</v>
      </c>
      <c r="I341" s="70">
        <v>30</v>
      </c>
      <c r="J341" s="93"/>
    </row>
    <row r="342" spans="1:10" ht="12.75" customHeight="1" x14ac:dyDescent="0.3">
      <c r="A342" s="74">
        <v>43311</v>
      </c>
      <c r="B342" s="38" t="s">
        <v>47</v>
      </c>
      <c r="C342" s="73">
        <v>9</v>
      </c>
      <c r="D342" s="73">
        <v>12</v>
      </c>
      <c r="E342" s="73">
        <f t="shared" si="12"/>
        <v>3</v>
      </c>
      <c r="F342" s="39" t="str">
        <f t="shared" si="14"/>
        <v>Pass</v>
      </c>
      <c r="G342" s="43">
        <v>1340</v>
      </c>
      <c r="H342" s="44" t="s">
        <v>51</v>
      </c>
      <c r="I342" s="70">
        <v>20</v>
      </c>
      <c r="J342" s="93"/>
    </row>
    <row r="343" spans="1:10" ht="12.75" customHeight="1" x14ac:dyDescent="0.3">
      <c r="A343" s="74">
        <v>43314</v>
      </c>
      <c r="B343" s="38" t="s">
        <v>49</v>
      </c>
      <c r="C343" s="73">
        <v>23</v>
      </c>
      <c r="D343" s="73">
        <v>28</v>
      </c>
      <c r="E343" s="73">
        <f t="shared" si="12"/>
        <v>5</v>
      </c>
      <c r="F343" s="39" t="str">
        <f t="shared" si="14"/>
        <v>Pass</v>
      </c>
      <c r="G343" s="43">
        <v>1340</v>
      </c>
      <c r="H343" s="44" t="s">
        <v>51</v>
      </c>
      <c r="I343" s="70">
        <v>30</v>
      </c>
      <c r="J343" s="93"/>
    </row>
    <row r="344" spans="1:10" ht="12.75" customHeight="1" x14ac:dyDescent="0.3">
      <c r="A344" s="74">
        <v>43314</v>
      </c>
      <c r="B344" s="38" t="s">
        <v>47</v>
      </c>
      <c r="C344" s="73">
        <v>29</v>
      </c>
      <c r="D344" s="73">
        <v>49</v>
      </c>
      <c r="E344" s="73">
        <f t="shared" si="12"/>
        <v>20</v>
      </c>
      <c r="F344" s="39" t="str">
        <f t="shared" si="14"/>
        <v>Pass</v>
      </c>
      <c r="G344" s="43">
        <v>1340</v>
      </c>
      <c r="H344" s="44" t="s">
        <v>51</v>
      </c>
      <c r="I344" s="70">
        <v>20</v>
      </c>
      <c r="J344" s="93"/>
    </row>
    <row r="345" spans="1:10" ht="12.75" customHeight="1" x14ac:dyDescent="0.3">
      <c r="A345" s="74">
        <v>43317</v>
      </c>
      <c r="B345" s="38" t="s">
        <v>49</v>
      </c>
      <c r="C345" s="73">
        <v>12</v>
      </c>
      <c r="D345" s="73">
        <v>10</v>
      </c>
      <c r="E345" s="73">
        <f t="shared" si="12"/>
        <v>-2</v>
      </c>
      <c r="F345" s="39" t="str">
        <f t="shared" si="14"/>
        <v>Pass</v>
      </c>
      <c r="G345" s="43">
        <v>1340</v>
      </c>
      <c r="H345" s="44" t="s">
        <v>51</v>
      </c>
      <c r="I345" s="70">
        <v>30</v>
      </c>
      <c r="J345" s="93"/>
    </row>
    <row r="346" spans="1:10" ht="12.75" customHeight="1" x14ac:dyDescent="0.3">
      <c r="A346" s="74">
        <v>43314</v>
      </c>
      <c r="B346" s="38" t="s">
        <v>47</v>
      </c>
      <c r="C346" s="73">
        <v>14</v>
      </c>
      <c r="D346" s="73">
        <v>24</v>
      </c>
      <c r="E346" s="73">
        <f t="shared" si="12"/>
        <v>10</v>
      </c>
      <c r="F346" s="39" t="str">
        <f t="shared" si="14"/>
        <v>Pass</v>
      </c>
      <c r="G346" s="43">
        <v>1340</v>
      </c>
      <c r="H346" s="44" t="s">
        <v>51</v>
      </c>
      <c r="I346" s="70">
        <v>20</v>
      </c>
      <c r="J346" s="93"/>
    </row>
    <row r="347" spans="1:10" ht="12.75" customHeight="1" x14ac:dyDescent="0.3">
      <c r="A347" s="74">
        <v>43320</v>
      </c>
      <c r="B347" s="40" t="s">
        <v>49</v>
      </c>
      <c r="C347" s="73">
        <v>7</v>
      </c>
      <c r="D347" s="73">
        <v>9</v>
      </c>
      <c r="E347" s="73">
        <f t="shared" si="12"/>
        <v>2</v>
      </c>
      <c r="F347" s="39" t="str">
        <f t="shared" si="14"/>
        <v>Pass</v>
      </c>
      <c r="G347" s="43">
        <v>1428</v>
      </c>
      <c r="H347" s="44" t="s">
        <v>51</v>
      </c>
      <c r="I347" s="70">
        <v>30</v>
      </c>
      <c r="J347" s="93"/>
    </row>
    <row r="348" spans="1:10" ht="12.75" customHeight="1" x14ac:dyDescent="0.3">
      <c r="A348" s="74">
        <v>43320</v>
      </c>
      <c r="B348" s="40" t="s">
        <v>47</v>
      </c>
      <c r="C348" s="73">
        <v>33</v>
      </c>
      <c r="D348" s="73">
        <v>44</v>
      </c>
      <c r="E348" s="73">
        <f t="shared" si="12"/>
        <v>11</v>
      </c>
      <c r="F348" s="39" t="str">
        <f t="shared" si="14"/>
        <v>Pass</v>
      </c>
      <c r="G348" s="43">
        <v>1428</v>
      </c>
      <c r="H348" s="44" t="s">
        <v>51</v>
      </c>
      <c r="I348" s="70">
        <v>20</v>
      </c>
      <c r="J348" s="93"/>
    </row>
    <row r="349" spans="1:10" ht="12.75" customHeight="1" x14ac:dyDescent="0.3">
      <c r="A349" s="74">
        <v>43322</v>
      </c>
      <c r="B349" s="40" t="s">
        <v>47</v>
      </c>
      <c r="C349" s="73">
        <v>16</v>
      </c>
      <c r="D349" s="73">
        <v>43</v>
      </c>
      <c r="E349" s="73">
        <f>IF(((C349="")*AND(D349="")),"",D349-C349)</f>
        <v>27</v>
      </c>
      <c r="F349" s="41" t="str">
        <f>IF(E349="","",IF(E349&lt;=20,"Pass","Fail"))</f>
        <v>Fail</v>
      </c>
      <c r="G349" s="43">
        <v>1159</v>
      </c>
      <c r="H349" s="44" t="s">
        <v>51</v>
      </c>
      <c r="I349" s="70">
        <v>20</v>
      </c>
      <c r="J349" s="93"/>
    </row>
    <row r="350" spans="1:10" ht="12.75" customHeight="1" x14ac:dyDescent="0.3">
      <c r="A350" s="74">
        <v>43322</v>
      </c>
      <c r="B350" s="40" t="s">
        <v>49</v>
      </c>
      <c r="C350" s="73">
        <v>12</v>
      </c>
      <c r="D350" s="73">
        <v>24</v>
      </c>
      <c r="E350" s="73">
        <f>IF(((C350="")*AND(D350="")),"",D350-C350)</f>
        <v>12</v>
      </c>
      <c r="F350" s="39" t="str">
        <f>IF(E350="","",IF(E350&lt;=30,"Pass","Fail"))</f>
        <v>Pass</v>
      </c>
      <c r="G350" s="43">
        <v>1159</v>
      </c>
      <c r="H350" s="44" t="s">
        <v>51</v>
      </c>
      <c r="I350" s="70">
        <v>30</v>
      </c>
      <c r="J350" s="93"/>
    </row>
    <row r="351" spans="1:10" ht="12.75" customHeight="1" x14ac:dyDescent="0.3">
      <c r="A351" s="74">
        <v>43322</v>
      </c>
      <c r="B351" s="40" t="s">
        <v>47</v>
      </c>
      <c r="C351" s="73">
        <v>43</v>
      </c>
      <c r="D351" s="73">
        <v>63</v>
      </c>
      <c r="E351" s="73">
        <f>IF(((C351="")*AND(D351="")),"",D351-C351)</f>
        <v>20</v>
      </c>
      <c r="F351" s="41" t="str">
        <f>IF(E351="","",IF(E351&lt;=20,"Pass","Fail"))</f>
        <v>Pass</v>
      </c>
      <c r="G351" s="43">
        <v>1159</v>
      </c>
      <c r="H351" s="44" t="s">
        <v>51</v>
      </c>
      <c r="I351" s="70">
        <v>20</v>
      </c>
      <c r="J351" s="93"/>
    </row>
    <row r="352" spans="1:10" ht="12.75" customHeight="1" x14ac:dyDescent="0.3">
      <c r="A352" s="74">
        <v>43324</v>
      </c>
      <c r="B352" s="40" t="s">
        <v>49</v>
      </c>
      <c r="C352" s="73">
        <v>30</v>
      </c>
      <c r="D352" s="73">
        <v>44</v>
      </c>
      <c r="E352" s="73">
        <f>IF(((C352="")*AND(D352="")),"",D352-C352)</f>
        <v>14</v>
      </c>
      <c r="F352" s="39" t="str">
        <f>IF(E352="","",IF(E352&lt;=30,"Pass","Fail"))</f>
        <v>Pass</v>
      </c>
      <c r="G352" s="43">
        <v>74</v>
      </c>
      <c r="H352" s="44" t="s">
        <v>51</v>
      </c>
      <c r="I352" s="70">
        <v>30</v>
      </c>
      <c r="J352" s="93"/>
    </row>
    <row r="353" spans="1:10" ht="12.75" customHeight="1" x14ac:dyDescent="0.3">
      <c r="A353" s="74">
        <v>43324</v>
      </c>
      <c r="B353" s="40" t="s">
        <v>47</v>
      </c>
      <c r="C353" s="73">
        <v>62</v>
      </c>
      <c r="D353" s="73">
        <v>80</v>
      </c>
      <c r="E353" s="73">
        <f>IF(((C353="")*AND(D353="")),"",D353-C353)</f>
        <v>18</v>
      </c>
      <c r="F353" s="41" t="str">
        <f>IF(E353="","",IF(E353&lt;=20,"Pass","Fail"))</f>
        <v>Pass</v>
      </c>
      <c r="G353" s="43">
        <v>74</v>
      </c>
      <c r="H353" s="44" t="s">
        <v>51</v>
      </c>
      <c r="I353" s="70">
        <v>20</v>
      </c>
      <c r="J353" s="93"/>
    </row>
    <row r="354" spans="1:10" ht="12.75" customHeight="1" x14ac:dyDescent="0.3">
      <c r="A354" s="74">
        <v>43328</v>
      </c>
      <c r="B354" s="40" t="s">
        <v>47</v>
      </c>
      <c r="C354" s="73">
        <v>33</v>
      </c>
      <c r="D354" s="73">
        <v>43</v>
      </c>
      <c r="E354" s="73">
        <f t="shared" ref="E354:E416" si="15">IF(((C354="")*AND(D354="")),"",D354-C354)</f>
        <v>10</v>
      </c>
      <c r="F354" s="41" t="str">
        <f t="shared" ref="F354:F366" si="16">IF(E354="","",IF(E354&lt;=20,"Pass","Fail"))</f>
        <v>Pass</v>
      </c>
      <c r="G354" s="43">
        <v>1335</v>
      </c>
      <c r="H354" s="44" t="s">
        <v>51</v>
      </c>
      <c r="I354" s="70">
        <v>20</v>
      </c>
      <c r="J354" s="93"/>
    </row>
    <row r="355" spans="1:10" ht="12.75" customHeight="1" x14ac:dyDescent="0.3">
      <c r="A355" s="74">
        <v>43328</v>
      </c>
      <c r="B355" s="40" t="s">
        <v>49</v>
      </c>
      <c r="C355" s="73">
        <v>41</v>
      </c>
      <c r="D355" s="73">
        <v>47</v>
      </c>
      <c r="E355" s="73">
        <f t="shared" si="15"/>
        <v>6</v>
      </c>
      <c r="F355" s="41" t="str">
        <f>IF(E355="","",IF(E355&lt;=30,"Pass","Fail"))</f>
        <v>Pass</v>
      </c>
      <c r="G355" s="43">
        <v>1335</v>
      </c>
      <c r="H355" s="44" t="s">
        <v>51</v>
      </c>
      <c r="I355" s="70">
        <v>30</v>
      </c>
      <c r="J355" s="93"/>
    </row>
    <row r="356" spans="1:10" ht="12.75" customHeight="1" x14ac:dyDescent="0.3">
      <c r="A356" s="74">
        <v>43332</v>
      </c>
      <c r="B356" s="40" t="s">
        <v>47</v>
      </c>
      <c r="C356" s="73">
        <v>9</v>
      </c>
      <c r="D356" s="73">
        <v>19</v>
      </c>
      <c r="E356" s="73">
        <f t="shared" si="15"/>
        <v>10</v>
      </c>
      <c r="F356" s="41" t="str">
        <f t="shared" si="16"/>
        <v>Pass</v>
      </c>
      <c r="G356" s="43">
        <v>1340</v>
      </c>
      <c r="H356" s="44" t="s">
        <v>51</v>
      </c>
      <c r="I356" s="70">
        <v>20</v>
      </c>
      <c r="J356" s="93"/>
    </row>
    <row r="357" spans="1:10" ht="12.75" customHeight="1" x14ac:dyDescent="0.3">
      <c r="A357" s="74">
        <v>43332</v>
      </c>
      <c r="B357" s="40" t="s">
        <v>49</v>
      </c>
      <c r="C357" s="73">
        <v>25</v>
      </c>
      <c r="D357" s="73">
        <v>43</v>
      </c>
      <c r="E357" s="73">
        <f t="shared" si="15"/>
        <v>18</v>
      </c>
      <c r="F357" s="41" t="str">
        <f>IF(E357="","",IF(E357&lt;=30,"Pass","Fail"))</f>
        <v>Pass</v>
      </c>
      <c r="G357" s="43">
        <v>1340</v>
      </c>
      <c r="H357" s="44" t="s">
        <v>51</v>
      </c>
      <c r="I357" s="70">
        <v>30</v>
      </c>
      <c r="J357" s="93"/>
    </row>
    <row r="358" spans="1:10" ht="12.75" customHeight="1" x14ac:dyDescent="0.3">
      <c r="A358" s="74">
        <v>43335</v>
      </c>
      <c r="B358" s="40" t="s">
        <v>47</v>
      </c>
      <c r="C358" s="73">
        <v>27</v>
      </c>
      <c r="D358" s="73">
        <v>51</v>
      </c>
      <c r="E358" s="73">
        <f t="shared" si="15"/>
        <v>24</v>
      </c>
      <c r="F358" s="41" t="str">
        <f t="shared" si="16"/>
        <v>Fail</v>
      </c>
      <c r="G358" s="43">
        <v>1340</v>
      </c>
      <c r="H358" s="44" t="s">
        <v>51</v>
      </c>
      <c r="I358" s="70">
        <v>20</v>
      </c>
      <c r="J358" s="93"/>
    </row>
    <row r="359" spans="1:10" ht="12.75" customHeight="1" x14ac:dyDescent="0.3">
      <c r="A359" s="74">
        <v>43335</v>
      </c>
      <c r="B359" s="40" t="s">
        <v>49</v>
      </c>
      <c r="C359" s="73">
        <v>23</v>
      </c>
      <c r="D359" s="73">
        <v>36</v>
      </c>
      <c r="E359" s="73">
        <f t="shared" si="15"/>
        <v>13</v>
      </c>
      <c r="F359" s="41" t="str">
        <f>IF(E359="","",IF(E359&lt;=30,"Pass","Fail"))</f>
        <v>Pass</v>
      </c>
      <c r="G359" s="43">
        <v>1340</v>
      </c>
      <c r="H359" s="44" t="s">
        <v>51</v>
      </c>
      <c r="I359" s="70">
        <v>30</v>
      </c>
      <c r="J359" s="93"/>
    </row>
    <row r="360" spans="1:10" ht="12.75" customHeight="1" x14ac:dyDescent="0.3">
      <c r="A360" s="74">
        <v>43339</v>
      </c>
      <c r="B360" s="40" t="s">
        <v>47</v>
      </c>
      <c r="C360" s="73">
        <v>7</v>
      </c>
      <c r="D360" s="73">
        <v>17</v>
      </c>
      <c r="E360" s="73">
        <f t="shared" si="15"/>
        <v>10</v>
      </c>
      <c r="F360" s="41" t="str">
        <f t="shared" si="16"/>
        <v>Pass</v>
      </c>
      <c r="G360" s="43">
        <v>1335</v>
      </c>
      <c r="H360" s="44" t="s">
        <v>51</v>
      </c>
      <c r="I360" s="70">
        <v>20</v>
      </c>
      <c r="J360" s="93"/>
    </row>
    <row r="361" spans="1:10" ht="12.75" customHeight="1" x14ac:dyDescent="0.3">
      <c r="A361" s="74">
        <v>43339</v>
      </c>
      <c r="B361" s="40" t="s">
        <v>49</v>
      </c>
      <c r="C361" s="73">
        <v>12</v>
      </c>
      <c r="D361" s="73">
        <v>30</v>
      </c>
      <c r="E361" s="73">
        <f t="shared" si="15"/>
        <v>18</v>
      </c>
      <c r="F361" s="41" t="str">
        <f>IF(E361="","",IF(E361&lt;=30,"Pass","Fail"))</f>
        <v>Pass</v>
      </c>
      <c r="G361" s="43">
        <v>1335</v>
      </c>
      <c r="H361" s="44" t="s">
        <v>51</v>
      </c>
      <c r="I361" s="70">
        <v>30</v>
      </c>
      <c r="J361" s="93"/>
    </row>
    <row r="362" spans="1:10" ht="12.75" customHeight="1" x14ac:dyDescent="0.3">
      <c r="A362" s="74">
        <v>43342</v>
      </c>
      <c r="B362" s="40" t="s">
        <v>47</v>
      </c>
      <c r="C362" s="73">
        <v>17</v>
      </c>
      <c r="D362" s="73">
        <v>26</v>
      </c>
      <c r="E362" s="73">
        <f t="shared" si="15"/>
        <v>9</v>
      </c>
      <c r="F362" s="41" t="str">
        <f t="shared" si="16"/>
        <v>Pass</v>
      </c>
      <c r="G362" s="43">
        <v>121</v>
      </c>
      <c r="H362" s="44" t="s">
        <v>51</v>
      </c>
      <c r="I362" s="70">
        <v>20</v>
      </c>
      <c r="J362" s="93"/>
    </row>
    <row r="363" spans="1:10" ht="12.75" customHeight="1" x14ac:dyDescent="0.3">
      <c r="A363" s="74">
        <v>43342</v>
      </c>
      <c r="B363" s="40" t="s">
        <v>49</v>
      </c>
      <c r="C363" s="73">
        <v>46</v>
      </c>
      <c r="D363" s="73">
        <v>46</v>
      </c>
      <c r="E363" s="73">
        <f t="shared" si="15"/>
        <v>0</v>
      </c>
      <c r="F363" s="41" t="str">
        <f>IF(E363="","",IF(E363&lt;=30,"Pass","Fail"))</f>
        <v>Pass</v>
      </c>
      <c r="G363" s="43">
        <v>121</v>
      </c>
      <c r="H363" s="44" t="s">
        <v>51</v>
      </c>
      <c r="I363" s="70">
        <v>30</v>
      </c>
      <c r="J363" s="93"/>
    </row>
    <row r="364" spans="1:10" ht="12.75" customHeight="1" x14ac:dyDescent="0.3">
      <c r="A364" s="74">
        <v>43344</v>
      </c>
      <c r="B364" s="40" t="s">
        <v>47</v>
      </c>
      <c r="C364" s="73">
        <v>48</v>
      </c>
      <c r="D364" s="73">
        <v>45</v>
      </c>
      <c r="E364" s="73">
        <f t="shared" si="15"/>
        <v>-3</v>
      </c>
      <c r="F364" s="41" t="str">
        <f t="shared" si="16"/>
        <v>Pass</v>
      </c>
      <c r="G364" s="43">
        <v>1428</v>
      </c>
      <c r="H364" s="67" t="s">
        <v>51</v>
      </c>
      <c r="I364" s="70">
        <v>20</v>
      </c>
      <c r="J364" s="93"/>
    </row>
    <row r="365" spans="1:10" ht="12.75" customHeight="1" x14ac:dyDescent="0.3">
      <c r="A365" s="74">
        <v>43344</v>
      </c>
      <c r="B365" s="40" t="s">
        <v>49</v>
      </c>
      <c r="C365" s="73">
        <v>52</v>
      </c>
      <c r="D365" s="73">
        <v>57</v>
      </c>
      <c r="E365" s="73">
        <f t="shared" si="15"/>
        <v>5</v>
      </c>
      <c r="F365" s="41" t="str">
        <f>IF(E365="","",IF(E365&lt;=30,"Pass","Fail"))</f>
        <v>Pass</v>
      </c>
      <c r="G365" s="43">
        <v>1428</v>
      </c>
      <c r="H365" s="67" t="s">
        <v>51</v>
      </c>
      <c r="I365" s="70">
        <v>30</v>
      </c>
      <c r="J365" s="93"/>
    </row>
    <row r="366" spans="1:10" ht="12.75" customHeight="1" x14ac:dyDescent="0.3">
      <c r="A366" s="74">
        <v>43348</v>
      </c>
      <c r="B366" s="40" t="s">
        <v>47</v>
      </c>
      <c r="C366" s="73">
        <v>60</v>
      </c>
      <c r="D366" s="73">
        <v>73</v>
      </c>
      <c r="E366" s="73">
        <f t="shared" si="15"/>
        <v>13</v>
      </c>
      <c r="F366" s="41" t="str">
        <f t="shared" si="16"/>
        <v>Pass</v>
      </c>
      <c r="G366" s="43">
        <v>1428</v>
      </c>
      <c r="H366" s="67" t="s">
        <v>51</v>
      </c>
      <c r="I366" s="70">
        <v>20</v>
      </c>
      <c r="J366" s="93"/>
    </row>
    <row r="367" spans="1:10" ht="12.75" customHeight="1" x14ac:dyDescent="0.3">
      <c r="A367" s="74">
        <v>43348</v>
      </c>
      <c r="B367" s="40" t="s">
        <v>49</v>
      </c>
      <c r="C367" s="73">
        <v>52</v>
      </c>
      <c r="D367" s="73">
        <v>62</v>
      </c>
      <c r="E367" s="73">
        <f t="shared" si="15"/>
        <v>10</v>
      </c>
      <c r="F367" s="41" t="str">
        <f>IF(E367="","",IF(E367&lt;=30,"Pass","Fail"))</f>
        <v>Pass</v>
      </c>
      <c r="G367" s="43">
        <v>1428</v>
      </c>
      <c r="H367" s="67" t="s">
        <v>51</v>
      </c>
      <c r="I367" s="70">
        <v>30</v>
      </c>
      <c r="J367" s="93"/>
    </row>
    <row r="368" spans="1:10" ht="12.75" customHeight="1" x14ac:dyDescent="0.3">
      <c r="A368" s="74">
        <v>43352</v>
      </c>
      <c r="B368" s="40" t="s">
        <v>47</v>
      </c>
      <c r="C368" s="73">
        <v>12</v>
      </c>
      <c r="D368" s="73">
        <v>16</v>
      </c>
      <c r="E368" s="73">
        <f t="shared" si="15"/>
        <v>4</v>
      </c>
      <c r="F368" s="41" t="str">
        <f>IF(E368="","",IF(E368&lt;=20,"Pass","Fail"))</f>
        <v>Pass</v>
      </c>
      <c r="G368" s="43">
        <v>74</v>
      </c>
      <c r="H368" s="67" t="s">
        <v>51</v>
      </c>
      <c r="I368" s="70">
        <v>20</v>
      </c>
      <c r="J368" s="93"/>
    </row>
    <row r="369" spans="1:10" ht="12.75" customHeight="1" x14ac:dyDescent="0.3">
      <c r="A369" s="74">
        <v>43352</v>
      </c>
      <c r="B369" s="40" t="s">
        <v>49</v>
      </c>
      <c r="C369" s="73">
        <v>14</v>
      </c>
      <c r="D369" s="73">
        <v>28</v>
      </c>
      <c r="E369" s="73">
        <f t="shared" si="15"/>
        <v>14</v>
      </c>
      <c r="F369" s="41" t="str">
        <f>IF(E369="","",IF(E369&lt;=30,"Pass","Fail"))</f>
        <v>Pass</v>
      </c>
      <c r="G369" s="43">
        <v>74</v>
      </c>
      <c r="H369" s="67" t="s">
        <v>51</v>
      </c>
      <c r="I369" s="70">
        <v>30</v>
      </c>
      <c r="J369" s="93"/>
    </row>
    <row r="370" spans="1:10" ht="12.75" customHeight="1" x14ac:dyDescent="0.3">
      <c r="A370" s="74">
        <v>43355</v>
      </c>
      <c r="B370" s="40" t="s">
        <v>47</v>
      </c>
      <c r="C370" s="73">
        <v>18</v>
      </c>
      <c r="D370" s="73">
        <v>25</v>
      </c>
      <c r="E370" s="73">
        <f t="shared" si="15"/>
        <v>7</v>
      </c>
      <c r="F370" s="41" t="str">
        <f>IF(E370="","",IF(E370&lt;=20,"Pass","Fail"))</f>
        <v>Pass</v>
      </c>
      <c r="G370" s="43">
        <v>74</v>
      </c>
      <c r="H370" s="67" t="s">
        <v>51</v>
      </c>
      <c r="I370" s="70">
        <v>20</v>
      </c>
      <c r="J370" s="93"/>
    </row>
    <row r="371" spans="1:10" ht="12.75" customHeight="1" x14ac:dyDescent="0.3">
      <c r="A371" s="74">
        <v>43355</v>
      </c>
      <c r="B371" s="40" t="s">
        <v>49</v>
      </c>
      <c r="C371" s="73">
        <v>36</v>
      </c>
      <c r="D371" s="73">
        <v>56</v>
      </c>
      <c r="E371" s="73">
        <f t="shared" si="15"/>
        <v>20</v>
      </c>
      <c r="F371" s="41" t="str">
        <f>IF(E371="","",IF(E371&lt;=30,"Pass","Fail"))</f>
        <v>Pass</v>
      </c>
      <c r="G371" s="43">
        <v>74</v>
      </c>
      <c r="H371" s="67" t="s">
        <v>51</v>
      </c>
      <c r="I371" s="70">
        <v>30</v>
      </c>
      <c r="J371" s="93"/>
    </row>
    <row r="372" spans="1:10" ht="12.75" customHeight="1" x14ac:dyDescent="0.3">
      <c r="A372" s="74">
        <v>43358</v>
      </c>
      <c r="B372" s="40" t="s">
        <v>47</v>
      </c>
      <c r="C372" s="73">
        <v>4</v>
      </c>
      <c r="D372" s="73">
        <v>7</v>
      </c>
      <c r="E372" s="73">
        <f t="shared" si="15"/>
        <v>3</v>
      </c>
      <c r="F372" s="41" t="str">
        <f>IF(E372="","",IF(E372&lt;=20,"Pass","Fail"))</f>
        <v>Pass</v>
      </c>
      <c r="G372" s="43" t="s">
        <v>66</v>
      </c>
      <c r="H372" s="67" t="s">
        <v>51</v>
      </c>
      <c r="I372" s="70">
        <v>20</v>
      </c>
      <c r="J372" s="93"/>
    </row>
    <row r="373" spans="1:10" ht="12.75" customHeight="1" x14ac:dyDescent="0.3">
      <c r="A373" s="74">
        <v>43358</v>
      </c>
      <c r="B373" s="40" t="s">
        <v>49</v>
      </c>
      <c r="C373" s="73">
        <v>6</v>
      </c>
      <c r="D373" s="73">
        <v>12</v>
      </c>
      <c r="E373" s="73">
        <f t="shared" si="15"/>
        <v>6</v>
      </c>
      <c r="F373" s="41" t="str">
        <f>IF(E373="","",IF(E373&lt;=30,"Pass","Fail"))</f>
        <v>Pass</v>
      </c>
      <c r="G373" s="43" t="s">
        <v>66</v>
      </c>
      <c r="H373" s="67" t="s">
        <v>51</v>
      </c>
      <c r="I373" s="70">
        <v>30</v>
      </c>
      <c r="J373" s="93"/>
    </row>
    <row r="374" spans="1:10" ht="12.75" customHeight="1" x14ac:dyDescent="0.3">
      <c r="A374" s="74">
        <v>43361</v>
      </c>
      <c r="B374" s="40" t="s">
        <v>47</v>
      </c>
      <c r="C374" s="73">
        <v>7</v>
      </c>
      <c r="D374" s="73">
        <v>53</v>
      </c>
      <c r="E374" s="73">
        <f t="shared" si="15"/>
        <v>46</v>
      </c>
      <c r="F374" s="41" t="str">
        <f>IF(E374="","",IF(E374&lt;=20,"Pass","Fail"))</f>
        <v>Fail</v>
      </c>
      <c r="G374" s="43" t="s">
        <v>67</v>
      </c>
      <c r="H374" s="67" t="s">
        <v>51</v>
      </c>
      <c r="I374" s="70">
        <v>20</v>
      </c>
      <c r="J374" s="93"/>
    </row>
    <row r="375" spans="1:10" ht="12.75" customHeight="1" x14ac:dyDescent="0.3">
      <c r="A375" s="74">
        <v>43361</v>
      </c>
      <c r="B375" s="40" t="s">
        <v>49</v>
      </c>
      <c r="C375" s="73">
        <v>4</v>
      </c>
      <c r="D375" s="73">
        <v>13</v>
      </c>
      <c r="E375" s="73">
        <f t="shared" si="15"/>
        <v>9</v>
      </c>
      <c r="F375" s="41" t="str">
        <f t="shared" ref="F375:F381" si="17">IF(E375="","",IF(E375&lt;=30,"Pass","Fail"))</f>
        <v>Pass</v>
      </c>
      <c r="G375" s="43" t="s">
        <v>67</v>
      </c>
      <c r="H375" s="67" t="s">
        <v>51</v>
      </c>
      <c r="I375" s="70">
        <v>30</v>
      </c>
      <c r="J375" s="93"/>
    </row>
    <row r="376" spans="1:10" ht="12.75" customHeight="1" x14ac:dyDescent="0.3">
      <c r="A376" s="74">
        <v>43361</v>
      </c>
      <c r="B376" s="40" t="s">
        <v>47</v>
      </c>
      <c r="C376" s="73">
        <v>15</v>
      </c>
      <c r="D376" s="73">
        <v>18</v>
      </c>
      <c r="E376" s="73">
        <f t="shared" si="15"/>
        <v>3</v>
      </c>
      <c r="F376" s="41" t="str">
        <f>IF(E376="","",IF(E376&lt;=20,"Pass","Fail"))</f>
        <v>Pass</v>
      </c>
      <c r="G376" s="43">
        <v>64</v>
      </c>
      <c r="H376" s="67" t="s">
        <v>51</v>
      </c>
      <c r="I376" s="70">
        <v>20</v>
      </c>
      <c r="J376" s="93"/>
    </row>
    <row r="377" spans="1:10" ht="12.75" customHeight="1" x14ac:dyDescent="0.3">
      <c r="A377" s="74">
        <v>43367</v>
      </c>
      <c r="B377" s="40" t="s">
        <v>49</v>
      </c>
      <c r="C377" s="73">
        <v>26</v>
      </c>
      <c r="D377" s="73">
        <v>41</v>
      </c>
      <c r="E377" s="73">
        <f t="shared" si="15"/>
        <v>15</v>
      </c>
      <c r="F377" s="41" t="str">
        <f t="shared" si="17"/>
        <v>Pass</v>
      </c>
      <c r="G377" s="73">
        <v>1340</v>
      </c>
      <c r="H377" s="67" t="s">
        <v>51</v>
      </c>
      <c r="I377" s="70">
        <v>30</v>
      </c>
      <c r="J377" s="93"/>
    </row>
    <row r="378" spans="1:10" ht="12.75" customHeight="1" x14ac:dyDescent="0.3">
      <c r="A378" s="74">
        <v>43367</v>
      </c>
      <c r="B378" s="40" t="s">
        <v>47</v>
      </c>
      <c r="C378" s="73">
        <v>9</v>
      </c>
      <c r="D378" s="73">
        <v>14</v>
      </c>
      <c r="E378" s="73">
        <f t="shared" si="15"/>
        <v>5</v>
      </c>
      <c r="F378" s="41" t="str">
        <f>IF(E378="","",IF(E378&lt;=20,"Pass","Fail"))</f>
        <v>Pass</v>
      </c>
      <c r="G378" s="73">
        <v>1340</v>
      </c>
      <c r="H378" s="67" t="s">
        <v>51</v>
      </c>
      <c r="I378" s="70">
        <v>20</v>
      </c>
      <c r="J378" s="93"/>
    </row>
    <row r="379" spans="1:10" ht="12.75" customHeight="1" x14ac:dyDescent="0.3">
      <c r="A379" s="74">
        <v>43369</v>
      </c>
      <c r="B379" s="40" t="s">
        <v>49</v>
      </c>
      <c r="C379" s="73">
        <v>8</v>
      </c>
      <c r="D379" s="73">
        <v>17</v>
      </c>
      <c r="E379" s="73">
        <f t="shared" si="15"/>
        <v>9</v>
      </c>
      <c r="F379" s="41" t="str">
        <f t="shared" si="17"/>
        <v>Pass</v>
      </c>
      <c r="G379" s="73">
        <v>102</v>
      </c>
      <c r="H379" s="67" t="s">
        <v>51</v>
      </c>
      <c r="I379" s="70">
        <v>30</v>
      </c>
      <c r="J379" s="93"/>
    </row>
    <row r="380" spans="1:10" ht="12.75" customHeight="1" x14ac:dyDescent="0.3">
      <c r="A380" s="74">
        <v>43369</v>
      </c>
      <c r="B380" s="40" t="s">
        <v>47</v>
      </c>
      <c r="C380" s="73">
        <v>11</v>
      </c>
      <c r="D380" s="73">
        <v>16</v>
      </c>
      <c r="E380" s="73">
        <f t="shared" si="15"/>
        <v>5</v>
      </c>
      <c r="F380" s="41" t="str">
        <f>IF(E380="","",IF(E380&lt;=20,"Pass","Fail"))</f>
        <v>Pass</v>
      </c>
      <c r="G380" s="73">
        <v>102</v>
      </c>
      <c r="H380" s="67" t="s">
        <v>51</v>
      </c>
      <c r="I380" s="70">
        <v>20</v>
      </c>
      <c r="J380" s="93"/>
    </row>
    <row r="381" spans="1:10" ht="12.75" customHeight="1" x14ac:dyDescent="0.3">
      <c r="A381" s="74">
        <v>43373</v>
      </c>
      <c r="B381" s="40" t="s">
        <v>49</v>
      </c>
      <c r="C381" s="73">
        <v>49</v>
      </c>
      <c r="D381" s="73">
        <v>19</v>
      </c>
      <c r="E381" s="73">
        <f t="shared" si="15"/>
        <v>-30</v>
      </c>
      <c r="F381" s="41" t="str">
        <f t="shared" si="17"/>
        <v>Pass</v>
      </c>
      <c r="G381" s="73">
        <v>1340</v>
      </c>
      <c r="H381" s="67" t="s">
        <v>51</v>
      </c>
      <c r="I381" s="70">
        <v>30</v>
      </c>
      <c r="J381" s="93"/>
    </row>
    <row r="382" spans="1:10" ht="12.75" customHeight="1" x14ac:dyDescent="0.3">
      <c r="A382" s="74">
        <v>43373</v>
      </c>
      <c r="B382" s="40" t="s">
        <v>47</v>
      </c>
      <c r="C382" s="73">
        <v>12</v>
      </c>
      <c r="D382" s="73">
        <v>61</v>
      </c>
      <c r="E382" s="73">
        <f t="shared" si="15"/>
        <v>49</v>
      </c>
      <c r="F382" s="41" t="str">
        <f>IF(E382="","",IF(E382&lt;=20,"Pass","Fail"))</f>
        <v>Fail</v>
      </c>
      <c r="G382" s="73">
        <v>1340</v>
      </c>
      <c r="H382" s="67" t="s">
        <v>51</v>
      </c>
      <c r="I382" s="70">
        <v>20</v>
      </c>
      <c r="J382" s="93"/>
    </row>
    <row r="383" spans="1:10" ht="12.75" customHeight="1" x14ac:dyDescent="0.3">
      <c r="A383" s="74">
        <v>43373</v>
      </c>
      <c r="B383" s="40" t="s">
        <v>47</v>
      </c>
      <c r="C383" s="73">
        <v>6</v>
      </c>
      <c r="D383" s="73">
        <v>15</v>
      </c>
      <c r="E383" s="73">
        <f t="shared" si="15"/>
        <v>9</v>
      </c>
      <c r="F383" s="41" t="str">
        <f>IF(E383="","",IF(E383&lt;=20,"Pass","Fail"))</f>
        <v>Pass</v>
      </c>
      <c r="G383" s="73">
        <v>1340</v>
      </c>
      <c r="H383" s="67" t="s">
        <v>51</v>
      </c>
      <c r="I383" s="70">
        <v>20</v>
      </c>
      <c r="J383" s="93"/>
    </row>
    <row r="384" spans="1:10" ht="12.75" customHeight="1" x14ac:dyDescent="0.3">
      <c r="A384" s="74">
        <v>43376</v>
      </c>
      <c r="B384" s="40" t="s">
        <v>47</v>
      </c>
      <c r="C384" s="73">
        <v>9</v>
      </c>
      <c r="D384" s="73">
        <v>10</v>
      </c>
      <c r="E384" s="73">
        <f t="shared" si="15"/>
        <v>1</v>
      </c>
      <c r="F384" s="41" t="str">
        <f>IF(E384="","",IF(E384&lt;=20,"Pass","Fail"))</f>
        <v>Pass</v>
      </c>
      <c r="G384" s="73">
        <v>121</v>
      </c>
      <c r="H384" s="67" t="s">
        <v>51</v>
      </c>
      <c r="I384" s="70">
        <v>20</v>
      </c>
      <c r="J384" s="93"/>
    </row>
    <row r="385" spans="1:10" ht="12.75" customHeight="1" x14ac:dyDescent="0.3">
      <c r="A385" s="74">
        <v>43376</v>
      </c>
      <c r="B385" s="40" t="s">
        <v>49</v>
      </c>
      <c r="C385" s="73">
        <v>18</v>
      </c>
      <c r="D385" s="73">
        <v>22</v>
      </c>
      <c r="E385" s="73">
        <f t="shared" si="15"/>
        <v>4</v>
      </c>
      <c r="F385" s="41" t="str">
        <f>IF(E385="","",IF(E385&lt;=30,"Pass","Fail"))</f>
        <v>Pass</v>
      </c>
      <c r="G385" s="73">
        <v>121</v>
      </c>
      <c r="H385" s="67" t="s">
        <v>51</v>
      </c>
      <c r="I385" s="70">
        <v>30</v>
      </c>
      <c r="J385" s="93"/>
    </row>
    <row r="386" spans="1:10" ht="12.75" customHeight="1" x14ac:dyDescent="0.3">
      <c r="A386" s="74">
        <v>43379</v>
      </c>
      <c r="B386" s="40" t="s">
        <v>47</v>
      </c>
      <c r="C386" s="73">
        <v>11</v>
      </c>
      <c r="D386" s="73">
        <v>15</v>
      </c>
      <c r="E386" s="73">
        <f t="shared" si="15"/>
        <v>4</v>
      </c>
      <c r="F386" s="41" t="str">
        <f>IF(E386="","",IF(E386&lt;=20,"Pass","Fail"))</f>
        <v>Pass</v>
      </c>
      <c r="G386" s="73">
        <v>121</v>
      </c>
      <c r="H386" s="67" t="s">
        <v>51</v>
      </c>
      <c r="I386" s="70">
        <v>20</v>
      </c>
      <c r="J386" s="93"/>
    </row>
    <row r="387" spans="1:10" ht="12.75" customHeight="1" x14ac:dyDescent="0.3">
      <c r="A387" s="74">
        <v>43379</v>
      </c>
      <c r="B387" s="40" t="s">
        <v>49</v>
      </c>
      <c r="C387" s="73">
        <v>22</v>
      </c>
      <c r="D387" s="73">
        <v>34</v>
      </c>
      <c r="E387" s="73">
        <f t="shared" si="15"/>
        <v>12</v>
      </c>
      <c r="F387" s="41" t="str">
        <f>IF(E387="","",IF(E387&lt;=30,"Pass","Fail"))</f>
        <v>Pass</v>
      </c>
      <c r="G387" s="73">
        <v>121</v>
      </c>
      <c r="H387" s="67" t="s">
        <v>51</v>
      </c>
      <c r="I387" s="70">
        <v>30</v>
      </c>
      <c r="J387" s="221"/>
    </row>
    <row r="388" spans="1:10" ht="12.75" customHeight="1" x14ac:dyDescent="0.3">
      <c r="A388" s="74">
        <v>43382</v>
      </c>
      <c r="B388" s="40" t="s">
        <v>47</v>
      </c>
      <c r="C388" s="73">
        <v>10</v>
      </c>
      <c r="D388" s="73">
        <v>37</v>
      </c>
      <c r="E388" s="73">
        <f t="shared" si="15"/>
        <v>27</v>
      </c>
      <c r="F388" s="41" t="str">
        <f>IF(E388="","",IF(E388&lt;=20,"Pass","Fail"))</f>
        <v>Fail</v>
      </c>
      <c r="G388" s="73">
        <v>1335</v>
      </c>
      <c r="H388" s="67" t="s">
        <v>51</v>
      </c>
      <c r="I388" s="70">
        <v>20</v>
      </c>
      <c r="J388" s="221"/>
    </row>
    <row r="389" spans="1:10" ht="12.75" customHeight="1" x14ac:dyDescent="0.3">
      <c r="A389" s="74">
        <v>43382</v>
      </c>
      <c r="B389" s="40" t="s">
        <v>49</v>
      </c>
      <c r="C389" s="73">
        <v>21</v>
      </c>
      <c r="D389" s="73">
        <v>37</v>
      </c>
      <c r="E389" s="73">
        <f t="shared" si="15"/>
        <v>16</v>
      </c>
      <c r="F389" s="41" t="str">
        <f>IF(E389="","",IF(E389&lt;=30,"Pass","Fail"))</f>
        <v>Pass</v>
      </c>
      <c r="G389" s="73">
        <v>1335</v>
      </c>
      <c r="H389" s="67" t="s">
        <v>51</v>
      </c>
      <c r="I389" s="70">
        <v>30</v>
      </c>
      <c r="J389" s="221"/>
    </row>
    <row r="390" spans="1:10" ht="12.75" customHeight="1" x14ac:dyDescent="0.3">
      <c r="A390" s="74">
        <v>43382</v>
      </c>
      <c r="B390" s="40" t="s">
        <v>47</v>
      </c>
      <c r="C390" s="73">
        <v>37</v>
      </c>
      <c r="D390" s="73">
        <v>45</v>
      </c>
      <c r="E390" s="73">
        <f t="shared" si="15"/>
        <v>8</v>
      </c>
      <c r="F390" s="41" t="str">
        <f>IF(E390="","",IF(E390&lt;=20,"Pass","Fail"))</f>
        <v>Pass</v>
      </c>
      <c r="G390" s="73">
        <v>121</v>
      </c>
      <c r="H390" s="67" t="s">
        <v>51</v>
      </c>
      <c r="I390" s="70">
        <v>20</v>
      </c>
      <c r="J390" s="221"/>
    </row>
    <row r="391" spans="1:10" ht="12.75" customHeight="1" x14ac:dyDescent="0.3">
      <c r="A391" s="74">
        <v>43385</v>
      </c>
      <c r="B391" s="40" t="s">
        <v>49</v>
      </c>
      <c r="C391" s="73">
        <v>3</v>
      </c>
      <c r="D391" s="73">
        <v>13</v>
      </c>
      <c r="E391" s="73">
        <f t="shared" si="15"/>
        <v>10</v>
      </c>
      <c r="F391" s="41" t="str">
        <f>IF(E391="","",IF(E391&lt;=30,"Pass","Fail"))</f>
        <v>Pass</v>
      </c>
      <c r="G391" s="73">
        <v>1335</v>
      </c>
      <c r="H391" s="67" t="s">
        <v>51</v>
      </c>
      <c r="I391" s="70">
        <v>30</v>
      </c>
      <c r="J391" s="93"/>
    </row>
    <row r="392" spans="1:10" ht="12.75" customHeight="1" x14ac:dyDescent="0.3">
      <c r="A392" s="74">
        <v>43385</v>
      </c>
      <c r="B392" s="40" t="s">
        <v>47</v>
      </c>
      <c r="C392" s="73">
        <v>8</v>
      </c>
      <c r="D392" s="73">
        <v>17</v>
      </c>
      <c r="E392" s="73">
        <f t="shared" si="15"/>
        <v>9</v>
      </c>
      <c r="F392" s="41" t="str">
        <f>IF(E392="","",IF(E392&lt;=20,"Pass","Fail"))</f>
        <v>Pass</v>
      </c>
      <c r="G392" s="73">
        <v>1335</v>
      </c>
      <c r="H392" s="67" t="s">
        <v>51</v>
      </c>
      <c r="I392" s="70">
        <v>20</v>
      </c>
      <c r="J392" s="93"/>
    </row>
    <row r="393" spans="1:10" ht="12.75" customHeight="1" x14ac:dyDescent="0.3">
      <c r="A393" s="74">
        <v>43388</v>
      </c>
      <c r="B393" s="40" t="s">
        <v>47</v>
      </c>
      <c r="C393" s="73">
        <v>32</v>
      </c>
      <c r="D393" s="73">
        <v>38</v>
      </c>
      <c r="E393" s="73">
        <f t="shared" si="15"/>
        <v>6</v>
      </c>
      <c r="F393" s="41" t="str">
        <f>IF(E393="","",IF(E393&lt;=20,"Pass","Fail"))</f>
        <v>Pass</v>
      </c>
      <c r="G393" s="73">
        <v>1340</v>
      </c>
      <c r="H393" s="67" t="s">
        <v>51</v>
      </c>
      <c r="I393" s="70">
        <v>20</v>
      </c>
      <c r="J393" s="93"/>
    </row>
    <row r="394" spans="1:10" ht="12.75" customHeight="1" x14ac:dyDescent="0.3">
      <c r="A394" s="74">
        <v>43388</v>
      </c>
      <c r="B394" s="40" t="s">
        <v>49</v>
      </c>
      <c r="C394" s="73">
        <v>32</v>
      </c>
      <c r="D394" s="73">
        <v>55</v>
      </c>
      <c r="E394" s="73">
        <f t="shared" si="15"/>
        <v>23</v>
      </c>
      <c r="F394" s="41" t="str">
        <f>IF(E394="","",IF(E394&lt;=30,"Pass","Fail"))</f>
        <v>Pass</v>
      </c>
      <c r="G394" s="73">
        <v>1340</v>
      </c>
      <c r="H394" s="67" t="s">
        <v>51</v>
      </c>
      <c r="I394" s="70">
        <v>30</v>
      </c>
      <c r="J394" s="93"/>
    </row>
    <row r="395" spans="1:10" ht="12.75" customHeight="1" x14ac:dyDescent="0.3">
      <c r="A395" s="74">
        <v>43391</v>
      </c>
      <c r="B395" s="40" t="s">
        <v>47</v>
      </c>
      <c r="C395" s="73">
        <v>10</v>
      </c>
      <c r="D395" s="73">
        <v>14</v>
      </c>
      <c r="E395" s="73">
        <f t="shared" si="15"/>
        <v>4</v>
      </c>
      <c r="F395" s="41" t="str">
        <f>IF(E395="","",IF(E395&lt;=20,"Pass","Fail"))</f>
        <v>Pass</v>
      </c>
      <c r="G395" s="73">
        <v>102</v>
      </c>
      <c r="H395" s="67" t="s">
        <v>51</v>
      </c>
      <c r="I395" s="70">
        <v>20</v>
      </c>
      <c r="J395" s="93"/>
    </row>
    <row r="396" spans="1:10" ht="12.75" customHeight="1" x14ac:dyDescent="0.3">
      <c r="A396" s="74">
        <v>43391</v>
      </c>
      <c r="B396" s="40" t="s">
        <v>49</v>
      </c>
      <c r="C396" s="73">
        <v>7</v>
      </c>
      <c r="D396" s="73">
        <v>10</v>
      </c>
      <c r="E396" s="73">
        <f t="shared" si="15"/>
        <v>3</v>
      </c>
      <c r="F396" s="41" t="str">
        <f>IF(E396="","",IF(E396&lt;=30,"Pass","Fail"))</f>
        <v>Pass</v>
      </c>
      <c r="G396" s="73">
        <v>102</v>
      </c>
      <c r="H396" s="67" t="s">
        <v>51</v>
      </c>
      <c r="I396" s="70">
        <v>30</v>
      </c>
      <c r="J396" s="93"/>
    </row>
    <row r="397" spans="1:10" ht="12.75" customHeight="1" x14ac:dyDescent="0.3">
      <c r="A397" s="74">
        <v>43394</v>
      </c>
      <c r="B397" s="40" t="s">
        <v>47</v>
      </c>
      <c r="C397" s="73">
        <v>16</v>
      </c>
      <c r="D397" s="73">
        <v>30</v>
      </c>
      <c r="E397" s="73">
        <f t="shared" si="15"/>
        <v>14</v>
      </c>
      <c r="F397" s="41" t="str">
        <f>IF(E397="","",IF(E397&lt;=20,"Pass","Fail"))</f>
        <v>Pass</v>
      </c>
      <c r="G397" s="73">
        <v>121</v>
      </c>
      <c r="H397" s="67" t="s">
        <v>51</v>
      </c>
      <c r="I397" s="70">
        <v>20</v>
      </c>
      <c r="J397" s="93"/>
    </row>
    <row r="398" spans="1:10" ht="12.75" customHeight="1" x14ac:dyDescent="0.3">
      <c r="A398" s="74">
        <v>43394</v>
      </c>
      <c r="B398" s="40" t="s">
        <v>49</v>
      </c>
      <c r="C398" s="73">
        <v>13</v>
      </c>
      <c r="D398" s="73">
        <v>25</v>
      </c>
      <c r="E398" s="73">
        <f t="shared" si="15"/>
        <v>12</v>
      </c>
      <c r="F398" s="41" t="str">
        <f>IF(E398="","",IF(E398&lt;=30,"Pass","Fail"))</f>
        <v>Pass</v>
      </c>
      <c r="G398" s="73">
        <v>121</v>
      </c>
      <c r="H398" s="67" t="s">
        <v>51</v>
      </c>
      <c r="I398" s="70">
        <v>30</v>
      </c>
      <c r="J398" s="93"/>
    </row>
    <row r="399" spans="1:10" ht="12.75" customHeight="1" x14ac:dyDescent="0.3">
      <c r="A399" s="74">
        <v>43397</v>
      </c>
      <c r="B399" s="40" t="s">
        <v>47</v>
      </c>
      <c r="C399" s="73">
        <v>4</v>
      </c>
      <c r="D399" s="73">
        <v>6</v>
      </c>
      <c r="E399" s="73">
        <f t="shared" si="15"/>
        <v>2</v>
      </c>
      <c r="F399" s="41" t="str">
        <f>IF(E399="","",IF(E399&lt;=20,"Pass","Fail"))</f>
        <v>Pass</v>
      </c>
      <c r="G399" s="73">
        <v>121</v>
      </c>
      <c r="H399" s="67" t="s">
        <v>51</v>
      </c>
      <c r="I399" s="70">
        <v>20</v>
      </c>
      <c r="J399" s="93"/>
    </row>
    <row r="400" spans="1:10" ht="12.75" customHeight="1" x14ac:dyDescent="0.3">
      <c r="A400" s="74">
        <v>43397</v>
      </c>
      <c r="B400" s="40" t="s">
        <v>49</v>
      </c>
      <c r="C400" s="73">
        <v>9</v>
      </c>
      <c r="D400" s="73">
        <v>25</v>
      </c>
      <c r="E400" s="73">
        <f t="shared" si="15"/>
        <v>16</v>
      </c>
      <c r="F400" s="41" t="str">
        <f>IF(E400="","",IF(E400&lt;=30,"Pass","Fail"))</f>
        <v>Pass</v>
      </c>
      <c r="G400" s="73">
        <v>121</v>
      </c>
      <c r="H400" s="67" t="s">
        <v>51</v>
      </c>
      <c r="I400" s="70">
        <v>30</v>
      </c>
      <c r="J400" s="93"/>
    </row>
    <row r="401" spans="1:10" ht="12.75" customHeight="1" x14ac:dyDescent="0.3">
      <c r="A401" s="74">
        <v>43401</v>
      </c>
      <c r="B401" s="40" t="s">
        <v>47</v>
      </c>
      <c r="C401" s="73">
        <v>15</v>
      </c>
      <c r="D401" s="73">
        <v>25</v>
      </c>
      <c r="E401" s="73">
        <f t="shared" si="15"/>
        <v>10</v>
      </c>
      <c r="F401" s="41" t="str">
        <f>IF(E401="","",IF(E401&lt;=20,"Pass","Fail"))</f>
        <v>Pass</v>
      </c>
      <c r="G401" s="73">
        <v>1335</v>
      </c>
      <c r="H401" s="67" t="s">
        <v>51</v>
      </c>
      <c r="I401" s="70">
        <v>20</v>
      </c>
      <c r="J401" s="93"/>
    </row>
    <row r="402" spans="1:10" ht="12.75" customHeight="1" x14ac:dyDescent="0.3">
      <c r="A402" s="74">
        <v>43401</v>
      </c>
      <c r="B402" s="40" t="s">
        <v>49</v>
      </c>
      <c r="C402" s="73">
        <v>8</v>
      </c>
      <c r="D402" s="73">
        <v>23</v>
      </c>
      <c r="E402" s="73">
        <f t="shared" si="15"/>
        <v>15</v>
      </c>
      <c r="F402" s="41" t="str">
        <f>IF(E402="","",IF(E402&lt;=30,"Pass","Fail"))</f>
        <v>Pass</v>
      </c>
      <c r="G402" s="73">
        <v>1335</v>
      </c>
      <c r="H402" s="67" t="s">
        <v>51</v>
      </c>
      <c r="I402" s="70">
        <v>30</v>
      </c>
      <c r="J402" s="93"/>
    </row>
    <row r="403" spans="1:10" ht="12.75" customHeight="1" x14ac:dyDescent="0.3">
      <c r="A403" s="74">
        <v>43404</v>
      </c>
      <c r="B403" s="40" t="s">
        <v>47</v>
      </c>
      <c r="C403" s="73">
        <v>29</v>
      </c>
      <c r="D403" s="73">
        <v>44</v>
      </c>
      <c r="E403" s="73">
        <f t="shared" si="15"/>
        <v>15</v>
      </c>
      <c r="F403" s="41" t="str">
        <f>IF(E403="","",IF(E403&lt;=20,"Pass","Fail"))</f>
        <v>Pass</v>
      </c>
      <c r="G403" s="73">
        <v>64</v>
      </c>
      <c r="H403" s="67" t="s">
        <v>51</v>
      </c>
      <c r="I403" s="70">
        <v>20</v>
      </c>
      <c r="J403" s="93"/>
    </row>
    <row r="404" spans="1:10" ht="12.75" customHeight="1" x14ac:dyDescent="0.3">
      <c r="A404" s="74">
        <v>43404</v>
      </c>
      <c r="B404" s="40" t="s">
        <v>49</v>
      </c>
      <c r="C404" s="73">
        <v>27</v>
      </c>
      <c r="D404" s="73">
        <v>42</v>
      </c>
      <c r="E404" s="73">
        <f t="shared" si="15"/>
        <v>15</v>
      </c>
      <c r="F404" s="41" t="str">
        <f>IF(E404="","",IF(E404&lt;=30,"Pass","Fail"))</f>
        <v>Pass</v>
      </c>
      <c r="G404" s="73">
        <v>64</v>
      </c>
      <c r="H404" s="67" t="s">
        <v>51</v>
      </c>
      <c r="I404" s="70">
        <v>30</v>
      </c>
      <c r="J404" s="93"/>
    </row>
    <row r="405" spans="1:10" ht="12.75" customHeight="1" x14ac:dyDescent="0.3">
      <c r="A405" s="74">
        <v>43404</v>
      </c>
      <c r="B405" s="40" t="s">
        <v>47</v>
      </c>
      <c r="C405" s="73">
        <v>8</v>
      </c>
      <c r="D405" s="73">
        <v>12</v>
      </c>
      <c r="E405" s="73">
        <f>IF(((C405="")*AND(D405="")),"",D405-C405)</f>
        <v>4</v>
      </c>
      <c r="F405" s="41" t="str">
        <f>IF(E405="","",IF(E405&lt;=20,"Pass","Fail"))</f>
        <v>Pass</v>
      </c>
      <c r="G405" s="73">
        <v>1335</v>
      </c>
      <c r="H405" s="67" t="s">
        <v>51</v>
      </c>
      <c r="I405" s="70">
        <v>20</v>
      </c>
      <c r="J405" s="221" t="s">
        <v>68</v>
      </c>
    </row>
    <row r="406" spans="1:10" ht="12.75" customHeight="1" x14ac:dyDescent="0.3">
      <c r="A406" s="74">
        <v>43404</v>
      </c>
      <c r="B406" s="40" t="s">
        <v>49</v>
      </c>
      <c r="C406" s="73">
        <v>9</v>
      </c>
      <c r="D406" s="73">
        <v>27</v>
      </c>
      <c r="E406" s="73">
        <f>IF(((C406="")*AND(D406="")),"",D406-C406)</f>
        <v>18</v>
      </c>
      <c r="F406" s="41" t="str">
        <f>IF(E406="","",IF(E406&lt;=30,"Pass","Fail"))</f>
        <v>Pass</v>
      </c>
      <c r="G406" s="73">
        <v>1335</v>
      </c>
      <c r="H406" s="67" t="s">
        <v>51</v>
      </c>
      <c r="I406" s="70">
        <v>30</v>
      </c>
      <c r="J406" s="221"/>
    </row>
    <row r="407" spans="1:10" ht="12.75" customHeight="1" x14ac:dyDescent="0.3">
      <c r="A407" s="74">
        <v>43408</v>
      </c>
      <c r="B407" s="40" t="s">
        <v>47</v>
      </c>
      <c r="C407" s="73">
        <v>12</v>
      </c>
      <c r="D407" s="73">
        <v>20</v>
      </c>
      <c r="E407" s="73">
        <f t="shared" si="15"/>
        <v>8</v>
      </c>
      <c r="F407" s="41" t="str">
        <f>IF(E407="","",IF(E407&lt;=20,"Pass","Fail"))</f>
        <v>Pass</v>
      </c>
      <c r="G407" s="73">
        <v>121</v>
      </c>
      <c r="H407" s="67" t="s">
        <v>51</v>
      </c>
      <c r="I407" s="70">
        <v>20</v>
      </c>
      <c r="J407" s="93"/>
    </row>
    <row r="408" spans="1:10" ht="12.75" customHeight="1" x14ac:dyDescent="0.3">
      <c r="A408" s="74">
        <v>43408</v>
      </c>
      <c r="B408" s="40" t="s">
        <v>49</v>
      </c>
      <c r="C408" s="73">
        <v>29</v>
      </c>
      <c r="D408" s="73">
        <v>34</v>
      </c>
      <c r="E408" s="73">
        <f t="shared" si="15"/>
        <v>5</v>
      </c>
      <c r="F408" s="41" t="str">
        <f>IF(E408="","",IF(E408&lt;=30,"Pass","Fail"))</f>
        <v>Pass</v>
      </c>
      <c r="G408" s="73">
        <v>121</v>
      </c>
      <c r="H408" s="67" t="s">
        <v>51</v>
      </c>
      <c r="I408" s="70">
        <v>30</v>
      </c>
      <c r="J408" s="93"/>
    </row>
    <row r="409" spans="1:10" ht="12.75" customHeight="1" x14ac:dyDescent="0.3">
      <c r="A409" s="74">
        <v>43413</v>
      </c>
      <c r="B409" s="40" t="s">
        <v>47</v>
      </c>
      <c r="C409" s="73">
        <v>10</v>
      </c>
      <c r="D409" s="73">
        <v>23</v>
      </c>
      <c r="E409" s="73">
        <f t="shared" si="15"/>
        <v>13</v>
      </c>
      <c r="F409" s="41" t="str">
        <f>IF(E409="","",IF(E409&lt;=20,"Pass","Fail"))</f>
        <v>Pass</v>
      </c>
      <c r="G409" s="73">
        <v>1335</v>
      </c>
      <c r="H409" s="67" t="s">
        <v>51</v>
      </c>
      <c r="I409" s="70">
        <v>20</v>
      </c>
      <c r="J409" s="93"/>
    </row>
    <row r="410" spans="1:10" ht="12.75" customHeight="1" x14ac:dyDescent="0.3">
      <c r="A410" s="74">
        <v>43413</v>
      </c>
      <c r="B410" s="40" t="s">
        <v>49</v>
      </c>
      <c r="C410" s="73">
        <v>9</v>
      </c>
      <c r="D410" s="73">
        <v>39</v>
      </c>
      <c r="E410" s="73">
        <f t="shared" si="15"/>
        <v>30</v>
      </c>
      <c r="F410" s="41" t="str">
        <f>IF(E410="","",IF(E410&lt;=30,"Pass","Fail"))</f>
        <v>Pass</v>
      </c>
      <c r="G410" s="73">
        <v>1335</v>
      </c>
      <c r="H410" s="67" t="s">
        <v>51</v>
      </c>
      <c r="I410" s="70">
        <v>30</v>
      </c>
      <c r="J410" s="93"/>
    </row>
    <row r="411" spans="1:10" ht="12.75" customHeight="1" x14ac:dyDescent="0.3">
      <c r="A411" s="74">
        <v>43424</v>
      </c>
      <c r="B411" s="40" t="s">
        <v>47</v>
      </c>
      <c r="C411" s="73">
        <v>11</v>
      </c>
      <c r="D411" s="73">
        <v>21</v>
      </c>
      <c r="E411" s="73">
        <f t="shared" si="15"/>
        <v>10</v>
      </c>
      <c r="F411" s="41" t="str">
        <f>IF(E411="","",IF(E411&lt;=20,"Pass","Fail"))</f>
        <v>Pass</v>
      </c>
      <c r="G411" s="73">
        <v>1159</v>
      </c>
      <c r="H411" s="67" t="s">
        <v>51</v>
      </c>
      <c r="I411" s="70">
        <v>20</v>
      </c>
      <c r="J411" s="93"/>
    </row>
    <row r="412" spans="1:10" ht="12.75" customHeight="1" x14ac:dyDescent="0.3">
      <c r="A412" s="74">
        <v>43424</v>
      </c>
      <c r="B412" s="40" t="s">
        <v>49</v>
      </c>
      <c r="C412" s="73">
        <v>10</v>
      </c>
      <c r="D412" s="73">
        <v>17</v>
      </c>
      <c r="E412" s="73">
        <f t="shared" si="15"/>
        <v>7</v>
      </c>
      <c r="F412" s="41" t="str">
        <f>IF(E412="","",IF(E412&lt;=30,"Pass","Fail"))</f>
        <v>Pass</v>
      </c>
      <c r="G412" s="73">
        <v>1159</v>
      </c>
      <c r="H412" s="67" t="s">
        <v>51</v>
      </c>
      <c r="I412" s="70">
        <v>30</v>
      </c>
      <c r="J412" s="93"/>
    </row>
    <row r="413" spans="1:10" ht="12.75" customHeight="1" x14ac:dyDescent="0.3">
      <c r="A413" s="74">
        <v>43425</v>
      </c>
      <c r="B413" s="40" t="s">
        <v>47</v>
      </c>
      <c r="C413" s="73">
        <v>9</v>
      </c>
      <c r="D413" s="73">
        <v>26</v>
      </c>
      <c r="E413" s="73">
        <f t="shared" si="15"/>
        <v>17</v>
      </c>
      <c r="F413" s="41" t="str">
        <f>IF(E413="","",IF(E413&lt;=20,"Pass","Fail"))</f>
        <v>Pass</v>
      </c>
      <c r="G413" s="73">
        <v>64</v>
      </c>
      <c r="H413" s="67" t="s">
        <v>51</v>
      </c>
      <c r="I413" s="70">
        <v>20</v>
      </c>
      <c r="J413" s="93" t="s">
        <v>69</v>
      </c>
    </row>
    <row r="414" spans="1:10" ht="12.75" customHeight="1" x14ac:dyDescent="0.3">
      <c r="A414" s="74">
        <v>43425</v>
      </c>
      <c r="B414" s="40" t="s">
        <v>49</v>
      </c>
      <c r="C414" s="73">
        <v>4</v>
      </c>
      <c r="D414" s="73">
        <v>25</v>
      </c>
      <c r="E414" s="73">
        <f t="shared" si="15"/>
        <v>21</v>
      </c>
      <c r="F414" s="41" t="str">
        <f>IF(E414="","",IF(E414&lt;=30,"Pass","Fail"))</f>
        <v>Pass</v>
      </c>
      <c r="G414" s="73">
        <v>64</v>
      </c>
      <c r="H414" s="67" t="s">
        <v>51</v>
      </c>
      <c r="I414" s="70">
        <v>30</v>
      </c>
      <c r="J414" s="93"/>
    </row>
    <row r="415" spans="1:10" ht="12.75" customHeight="1" x14ac:dyDescent="0.3">
      <c r="A415" s="74">
        <v>43438</v>
      </c>
      <c r="B415" s="40" t="s">
        <v>47</v>
      </c>
      <c r="C415" s="73">
        <v>6</v>
      </c>
      <c r="D415" s="73">
        <v>49</v>
      </c>
      <c r="E415" s="73">
        <f t="shared" si="15"/>
        <v>43</v>
      </c>
      <c r="F415" s="41" t="str">
        <f>IF(E415="","",IF(E415&lt;=20,"Pass","Fail"))</f>
        <v>Fail</v>
      </c>
      <c r="G415" s="73">
        <v>1159</v>
      </c>
      <c r="H415" s="67" t="s">
        <v>51</v>
      </c>
      <c r="I415" s="70">
        <v>20</v>
      </c>
      <c r="J415" s="93" t="s">
        <v>70</v>
      </c>
    </row>
    <row r="416" spans="1:10" ht="12.75" customHeight="1" x14ac:dyDescent="0.3">
      <c r="A416" s="74">
        <v>43438</v>
      </c>
      <c r="B416" s="40" t="s">
        <v>49</v>
      </c>
      <c r="C416" s="73">
        <v>17</v>
      </c>
      <c r="D416" s="73">
        <v>22</v>
      </c>
      <c r="E416" s="73">
        <f t="shared" si="15"/>
        <v>5</v>
      </c>
      <c r="F416" s="41" t="str">
        <f>IF(E416="","",IF(E416&lt;=30,"Pass","Fail"))</f>
        <v>Pass</v>
      </c>
      <c r="G416" s="73">
        <v>1159</v>
      </c>
      <c r="H416" s="67" t="s">
        <v>51</v>
      </c>
      <c r="I416" s="70">
        <v>30</v>
      </c>
      <c r="J416" s="93" t="s">
        <v>70</v>
      </c>
    </row>
    <row r="417" spans="1:10" ht="12.75" customHeight="1" x14ac:dyDescent="0.3">
      <c r="A417" s="74">
        <v>43438</v>
      </c>
      <c r="B417" s="40" t="s">
        <v>47</v>
      </c>
      <c r="C417" s="73">
        <v>33</v>
      </c>
      <c r="D417" s="73">
        <v>67</v>
      </c>
      <c r="E417" s="73">
        <f>IF(((C417="")*AND(D417="")),"",D417-C417)</f>
        <v>34</v>
      </c>
      <c r="F417" s="41" t="str">
        <f>IF(E417="","",IF(E417&lt;=20,"Pass","Fail"))</f>
        <v>Fail</v>
      </c>
      <c r="G417" s="73">
        <v>74</v>
      </c>
      <c r="H417" s="67" t="s">
        <v>51</v>
      </c>
      <c r="I417" s="70">
        <v>20</v>
      </c>
      <c r="J417" s="93"/>
    </row>
    <row r="418" spans="1:10" ht="12.75" customHeight="1" x14ac:dyDescent="0.3">
      <c r="A418" s="74">
        <v>43445</v>
      </c>
      <c r="B418" s="40" t="s">
        <v>49</v>
      </c>
      <c r="C418" s="73">
        <v>128</v>
      </c>
      <c r="D418" s="73">
        <v>151</v>
      </c>
      <c r="E418" s="73">
        <f t="shared" ref="E418:E430" si="18">IF(((C418="")*AND(D418="")),"",D418-C418)</f>
        <v>23</v>
      </c>
      <c r="F418" s="41" t="str">
        <f>IF(E418="","",IF(E418&lt;=30,"Pass","Fail"))</f>
        <v>Pass</v>
      </c>
      <c r="G418" s="73">
        <v>74</v>
      </c>
      <c r="H418" s="67" t="s">
        <v>71</v>
      </c>
      <c r="I418" s="70">
        <v>30</v>
      </c>
      <c r="J418" s="93"/>
    </row>
    <row r="419" spans="1:10" x14ac:dyDescent="0.3">
      <c r="A419" s="74">
        <v>43452</v>
      </c>
      <c r="B419" s="40" t="s">
        <v>47</v>
      </c>
      <c r="C419" s="73">
        <v>13</v>
      </c>
      <c r="D419" s="73">
        <v>19</v>
      </c>
      <c r="E419" s="73">
        <f t="shared" si="18"/>
        <v>6</v>
      </c>
      <c r="F419" s="41" t="str">
        <f>IF(E419="","",IF(E419&lt;=20,"Pass","Fail"))</f>
        <v>Pass</v>
      </c>
      <c r="G419" s="73">
        <v>1428</v>
      </c>
      <c r="H419" s="67" t="s">
        <v>51</v>
      </c>
      <c r="I419" s="70">
        <v>20</v>
      </c>
      <c r="J419" s="93"/>
    </row>
    <row r="420" spans="1:10" x14ac:dyDescent="0.3">
      <c r="A420" s="74">
        <v>43452</v>
      </c>
      <c r="B420" s="40" t="s">
        <v>49</v>
      </c>
      <c r="C420" s="73">
        <v>35</v>
      </c>
      <c r="D420" s="73">
        <v>52</v>
      </c>
      <c r="E420" s="73">
        <f t="shared" si="18"/>
        <v>17</v>
      </c>
      <c r="F420" s="41" t="str">
        <f>IF(E420="","",IF(E420&lt;=30,"Pass","Fail"))</f>
        <v>Pass</v>
      </c>
      <c r="G420" s="73">
        <v>1428</v>
      </c>
      <c r="H420" s="67" t="s">
        <v>51</v>
      </c>
      <c r="I420" s="70">
        <v>30</v>
      </c>
      <c r="J420" s="93"/>
    </row>
    <row r="421" spans="1:10" x14ac:dyDescent="0.3">
      <c r="A421" s="74">
        <v>43460</v>
      </c>
      <c r="B421" s="40" t="s">
        <v>47</v>
      </c>
      <c r="C421" s="73">
        <v>16</v>
      </c>
      <c r="D421" s="73">
        <v>29</v>
      </c>
      <c r="E421" s="73">
        <f t="shared" si="18"/>
        <v>13</v>
      </c>
      <c r="F421" s="41" t="str">
        <f>IF(E421="","",IF(E421&lt;=20,"Pass","Fail"))</f>
        <v>Pass</v>
      </c>
      <c r="G421" s="73">
        <v>102</v>
      </c>
      <c r="H421" s="67" t="s">
        <v>51</v>
      </c>
      <c r="I421" s="70">
        <v>20</v>
      </c>
      <c r="J421" s="93"/>
    </row>
    <row r="422" spans="1:10" ht="12.75" customHeight="1" x14ac:dyDescent="0.3">
      <c r="A422" s="74">
        <v>43460</v>
      </c>
      <c r="B422" s="40" t="s">
        <v>49</v>
      </c>
      <c r="C422" s="73">
        <v>13</v>
      </c>
      <c r="D422" s="73">
        <v>18</v>
      </c>
      <c r="E422" s="73">
        <f t="shared" si="18"/>
        <v>5</v>
      </c>
      <c r="F422" s="41" t="str">
        <f>IF(E422="","",IF(E422&lt;=30,"Pass","Fail"))</f>
        <v>Pass</v>
      </c>
      <c r="G422" s="73">
        <v>102</v>
      </c>
      <c r="H422" s="67" t="s">
        <v>51</v>
      </c>
      <c r="I422" s="70">
        <v>30</v>
      </c>
      <c r="J422" s="93"/>
    </row>
    <row r="423" spans="1:10" x14ac:dyDescent="0.3">
      <c r="A423" s="74">
        <v>43465</v>
      </c>
      <c r="B423" s="40" t="s">
        <v>47</v>
      </c>
      <c r="C423" s="73">
        <v>13</v>
      </c>
      <c r="D423" s="73">
        <v>33</v>
      </c>
      <c r="E423" s="73">
        <f t="shared" si="18"/>
        <v>20</v>
      </c>
      <c r="F423" s="41" t="str">
        <f>IF(E423="","",IF(E423&lt;=20,"Pass","Fail"))</f>
        <v>Pass</v>
      </c>
      <c r="G423" s="73">
        <v>121</v>
      </c>
      <c r="H423" s="67" t="s">
        <v>51</v>
      </c>
      <c r="I423" s="70">
        <v>20</v>
      </c>
      <c r="J423" s="93"/>
    </row>
    <row r="424" spans="1:10" ht="13.3" customHeight="1" x14ac:dyDescent="0.3">
      <c r="A424" s="74">
        <v>43465</v>
      </c>
      <c r="B424" s="40" t="s">
        <v>49</v>
      </c>
      <c r="C424" s="73">
        <v>19</v>
      </c>
      <c r="D424" s="73">
        <v>31</v>
      </c>
      <c r="E424" s="73">
        <f t="shared" si="18"/>
        <v>12</v>
      </c>
      <c r="F424" s="41" t="str">
        <f>IF(E424="","",IF(E424&lt;=30,"Pass","Fail"))</f>
        <v>Pass</v>
      </c>
      <c r="G424" s="73">
        <v>121</v>
      </c>
      <c r="H424" s="67" t="s">
        <v>51</v>
      </c>
      <c r="I424" s="70">
        <v>30</v>
      </c>
      <c r="J424" s="93"/>
    </row>
    <row r="425" spans="1:10" x14ac:dyDescent="0.3">
      <c r="A425" s="74"/>
      <c r="B425" s="40" t="s">
        <v>47</v>
      </c>
      <c r="C425" s="73"/>
      <c r="D425" s="73"/>
      <c r="E425" s="73" t="str">
        <f t="shared" si="18"/>
        <v/>
      </c>
      <c r="F425" s="41" t="str">
        <f>IF(E425="","",IF(E425&lt;=20,"Pass","Fail"))</f>
        <v/>
      </c>
      <c r="G425" s="73"/>
      <c r="H425" s="67" t="s">
        <v>51</v>
      </c>
      <c r="I425" s="70">
        <v>20</v>
      </c>
      <c r="J425" s="93"/>
    </row>
    <row r="426" spans="1:10" x14ac:dyDescent="0.3">
      <c r="A426" s="74"/>
      <c r="B426" s="40" t="s">
        <v>49</v>
      </c>
      <c r="C426" s="73"/>
      <c r="D426" s="73"/>
      <c r="E426" s="73" t="str">
        <f t="shared" si="18"/>
        <v/>
      </c>
      <c r="F426" s="41" t="str">
        <f>IF(E426="","",IF(E426&lt;=30,"Pass","Fail"))</f>
        <v/>
      </c>
      <c r="G426" s="73"/>
      <c r="H426" s="67" t="s">
        <v>51</v>
      </c>
      <c r="I426" s="70">
        <v>30</v>
      </c>
      <c r="J426" s="93"/>
    </row>
    <row r="427" spans="1:10" x14ac:dyDescent="0.3">
      <c r="A427" s="74"/>
      <c r="B427" s="40" t="s">
        <v>47</v>
      </c>
      <c r="C427" s="73"/>
      <c r="D427" s="73"/>
      <c r="E427" s="73" t="str">
        <f t="shared" si="18"/>
        <v/>
      </c>
      <c r="F427" s="41" t="str">
        <f>IF(E427="","",IF(E427&lt;=20,"Pass","Fail"))</f>
        <v/>
      </c>
      <c r="G427" s="73"/>
      <c r="H427" s="67" t="s">
        <v>51</v>
      </c>
      <c r="I427" s="70">
        <v>20</v>
      </c>
      <c r="J427" s="93"/>
    </row>
    <row r="428" spans="1:10" x14ac:dyDescent="0.3">
      <c r="A428" s="74"/>
      <c r="B428" s="40" t="s">
        <v>49</v>
      </c>
      <c r="C428" s="73"/>
      <c r="D428" s="73"/>
      <c r="E428" s="73" t="str">
        <f t="shared" si="18"/>
        <v/>
      </c>
      <c r="F428" s="41" t="str">
        <f>IF(E428="","",IF(E428&lt;=30,"Pass","Fail"))</f>
        <v/>
      </c>
      <c r="G428" s="73"/>
      <c r="H428" s="67" t="s">
        <v>51</v>
      </c>
      <c r="I428" s="70">
        <v>30</v>
      </c>
      <c r="J428" s="93"/>
    </row>
    <row r="429" spans="1:10" x14ac:dyDescent="0.3">
      <c r="A429" s="74"/>
      <c r="B429" s="40" t="s">
        <v>47</v>
      </c>
      <c r="C429" s="73"/>
      <c r="D429" s="73"/>
      <c r="E429" s="73" t="str">
        <f t="shared" si="18"/>
        <v/>
      </c>
      <c r="F429" s="41" t="str">
        <f>IF(E429="","",IF(E429&lt;=20,"Pass","Fail"))</f>
        <v/>
      </c>
      <c r="G429" s="73"/>
      <c r="H429" s="67" t="s">
        <v>51</v>
      </c>
      <c r="I429" s="70">
        <v>20</v>
      </c>
      <c r="J429" s="93"/>
    </row>
    <row r="430" spans="1:10" x14ac:dyDescent="0.3">
      <c r="A430" s="74"/>
      <c r="B430" s="40" t="s">
        <v>49</v>
      </c>
      <c r="C430" s="73"/>
      <c r="D430" s="73"/>
      <c r="E430" s="73" t="str">
        <f t="shared" si="18"/>
        <v/>
      </c>
      <c r="F430" s="41" t="str">
        <f>IF(E430="","",IF(E430&lt;=30,"Pass","Fail"))</f>
        <v/>
      </c>
      <c r="G430" s="73"/>
      <c r="H430" s="67" t="s">
        <v>51</v>
      </c>
      <c r="I430" s="70">
        <v>30</v>
      </c>
      <c r="J430" s="93"/>
    </row>
  </sheetData>
  <mergeCells count="4">
    <mergeCell ref="J387:J388"/>
    <mergeCell ref="J389:J390"/>
    <mergeCell ref="J405:J406"/>
    <mergeCell ref="C8:D8"/>
  </mergeCells>
  <conditionalFormatting sqref="F10:F390">
    <cfRule type="containsText" dxfId="288" priority="55" stopIfTrue="1" operator="containsText" text="PASS">
      <formula>NOT(ISERROR(SEARCH("PASS",F10)))</formula>
    </cfRule>
    <cfRule type="containsText" dxfId="287" priority="56" stopIfTrue="1" operator="containsText" text="FAIL">
      <formula>NOT(ISERROR(SEARCH("FAIL",F10)))</formula>
    </cfRule>
  </conditionalFormatting>
  <conditionalFormatting sqref="F391:F392">
    <cfRule type="containsText" dxfId="286" priority="53" stopIfTrue="1" operator="containsText" text="PASS">
      <formula>NOT(ISERROR(SEARCH("PASS",F391)))</formula>
    </cfRule>
    <cfRule type="containsText" dxfId="285" priority="54" stopIfTrue="1" operator="containsText" text="FAIL">
      <formula>NOT(ISERROR(SEARCH("FAIL",F391)))</formula>
    </cfRule>
  </conditionalFormatting>
  <conditionalFormatting sqref="F393:F394">
    <cfRule type="containsText" dxfId="284" priority="51" stopIfTrue="1" operator="containsText" text="PASS">
      <formula>NOT(ISERROR(SEARCH("PASS",F393)))</formula>
    </cfRule>
    <cfRule type="containsText" dxfId="283" priority="52" stopIfTrue="1" operator="containsText" text="FAIL">
      <formula>NOT(ISERROR(SEARCH("FAIL",F393)))</formula>
    </cfRule>
  </conditionalFormatting>
  <conditionalFormatting sqref="F393:F394">
    <cfRule type="containsText" dxfId="282" priority="49" stopIfTrue="1" operator="containsText" text="PASS">
      <formula>NOT(ISERROR(SEARCH("PASS",F393)))</formula>
    </cfRule>
    <cfRule type="containsText" dxfId="281" priority="50" stopIfTrue="1" operator="containsText" text="FAIL">
      <formula>NOT(ISERROR(SEARCH("FAIL",F393)))</formula>
    </cfRule>
  </conditionalFormatting>
  <conditionalFormatting sqref="F394">
    <cfRule type="containsText" dxfId="280" priority="47" stopIfTrue="1" operator="containsText" text="PASS">
      <formula>NOT(ISERROR(SEARCH("PASS",F394)))</formula>
    </cfRule>
    <cfRule type="containsText" dxfId="279" priority="48" stopIfTrue="1" operator="containsText" text="FAIL">
      <formula>NOT(ISERROR(SEARCH("FAIL",F394)))</formula>
    </cfRule>
  </conditionalFormatting>
  <conditionalFormatting sqref="F395:F396">
    <cfRule type="containsText" dxfId="278" priority="45" stopIfTrue="1" operator="containsText" text="PASS">
      <formula>NOT(ISERROR(SEARCH("PASS",F395)))</formula>
    </cfRule>
    <cfRule type="containsText" dxfId="277" priority="46" stopIfTrue="1" operator="containsText" text="FAIL">
      <formula>NOT(ISERROR(SEARCH("FAIL",F395)))</formula>
    </cfRule>
  </conditionalFormatting>
  <conditionalFormatting sqref="F395:F396">
    <cfRule type="containsText" dxfId="276" priority="43" stopIfTrue="1" operator="containsText" text="PASS">
      <formula>NOT(ISERROR(SEARCH("PASS",F395)))</formula>
    </cfRule>
    <cfRule type="containsText" dxfId="275" priority="44" stopIfTrue="1" operator="containsText" text="FAIL">
      <formula>NOT(ISERROR(SEARCH("FAIL",F395)))</formula>
    </cfRule>
  </conditionalFormatting>
  <conditionalFormatting sqref="F396">
    <cfRule type="containsText" dxfId="274" priority="41" stopIfTrue="1" operator="containsText" text="PASS">
      <formula>NOT(ISERROR(SEARCH("PASS",F396)))</formula>
    </cfRule>
    <cfRule type="containsText" dxfId="273" priority="42" stopIfTrue="1" operator="containsText" text="FAIL">
      <formula>NOT(ISERROR(SEARCH("FAIL",F396)))</formula>
    </cfRule>
  </conditionalFormatting>
  <conditionalFormatting sqref="F397:F398">
    <cfRule type="containsText" dxfId="272" priority="39" stopIfTrue="1" operator="containsText" text="PASS">
      <formula>NOT(ISERROR(SEARCH("PASS",F397)))</formula>
    </cfRule>
    <cfRule type="containsText" dxfId="271" priority="40" stopIfTrue="1" operator="containsText" text="FAIL">
      <formula>NOT(ISERROR(SEARCH("FAIL",F397)))</formula>
    </cfRule>
  </conditionalFormatting>
  <conditionalFormatting sqref="F397:F479">
    <cfRule type="containsText" dxfId="270" priority="37" stopIfTrue="1" operator="containsText" text="PASS">
      <formula>NOT(ISERROR(SEARCH("PASS",F397)))</formula>
    </cfRule>
    <cfRule type="containsText" dxfId="269" priority="38" stopIfTrue="1" operator="containsText" text="FAIL">
      <formula>NOT(ISERROR(SEARCH("FAIL",F397)))</formula>
    </cfRule>
  </conditionalFormatting>
  <conditionalFormatting sqref="F398 F400 F402 F434 F440 F446 F452 F458 F464 F470 F476 F436 F442 F448 F454 F460 F466 F472 F478 F432 F438 F444 F450 F456 F462 F468 F474 F404 F408 F410 F412 F414 F416 F418 F420 F422 F424 F406 F426 F428 F430">
    <cfRule type="containsText" dxfId="268" priority="35" stopIfTrue="1" operator="containsText" text="PASS">
      <formula>NOT(ISERROR(SEARCH("PASS",F398)))</formula>
    </cfRule>
    <cfRule type="containsText" dxfId="267" priority="36" stopIfTrue="1" operator="containsText" text="FAIL">
      <formula>NOT(ISERROR(SEARCH("FAIL",F398)))</formula>
    </cfRule>
  </conditionalFormatting>
  <conditionalFormatting sqref="F399:F400 F405:F406 F411:F412 F417:F418 F423:F424 F435:F436 F441:F442 F447:F448 F453:F454 F459:F460 F465:F466 F471:F472 F477:F478 F429:F430">
    <cfRule type="containsText" dxfId="266" priority="33" stopIfTrue="1" operator="containsText" text="PASS">
      <formula>NOT(ISERROR(SEARCH("PASS",F399)))</formula>
    </cfRule>
    <cfRule type="containsText" dxfId="265" priority="34" stopIfTrue="1" operator="containsText" text="FAIL">
      <formula>NOT(ISERROR(SEARCH("FAIL",F399)))</formula>
    </cfRule>
  </conditionalFormatting>
  <conditionalFormatting sqref="F401:F402 F425:F426 F431:F432 F437:F438 F443:F444 F449:F450 F455:F456 F461:F462 F467:F468 F473:F474 F479 F407:F408 F413:F414 F419:F420">
    <cfRule type="containsText" dxfId="264" priority="31" stopIfTrue="1" operator="containsText" text="PASS">
      <formula>NOT(ISERROR(SEARCH("PASS",F401)))</formula>
    </cfRule>
    <cfRule type="containsText" dxfId="263" priority="32" stopIfTrue="1" operator="containsText" text="FAIL">
      <formula>NOT(ISERROR(SEARCH("FAIL",F401)))</formula>
    </cfRule>
  </conditionalFormatting>
  <conditionalFormatting sqref="F403:F404">
    <cfRule type="containsText" dxfId="262" priority="29" stopIfTrue="1" operator="containsText" text="PASS">
      <formula>NOT(ISERROR(SEARCH("PASS",F403)))</formula>
    </cfRule>
    <cfRule type="containsText" dxfId="261" priority="30" stopIfTrue="1" operator="containsText" text="FAIL">
      <formula>NOT(ISERROR(SEARCH("FAIL",F403)))</formula>
    </cfRule>
  </conditionalFormatting>
  <conditionalFormatting sqref="F405:F406">
    <cfRule type="containsText" dxfId="260" priority="27" stopIfTrue="1" operator="containsText" text="PASS">
      <formula>NOT(ISERROR(SEARCH("PASS",F405)))</formula>
    </cfRule>
    <cfRule type="containsText" dxfId="259" priority="28" stopIfTrue="1" operator="containsText" text="FAIL">
      <formula>NOT(ISERROR(SEARCH("FAIL",F405)))</formula>
    </cfRule>
  </conditionalFormatting>
  <conditionalFormatting sqref="F409:F410">
    <cfRule type="containsText" dxfId="258" priority="25" stopIfTrue="1" operator="containsText" text="PASS">
      <formula>NOT(ISERROR(SEARCH("PASS",F409)))</formula>
    </cfRule>
    <cfRule type="containsText" dxfId="257" priority="26" stopIfTrue="1" operator="containsText" text="FAIL">
      <formula>NOT(ISERROR(SEARCH("FAIL",F409)))</formula>
    </cfRule>
  </conditionalFormatting>
  <conditionalFormatting sqref="F411:F412">
    <cfRule type="containsText" dxfId="256" priority="23" stopIfTrue="1" operator="containsText" text="PASS">
      <formula>NOT(ISERROR(SEARCH("PASS",F411)))</formula>
    </cfRule>
    <cfRule type="containsText" dxfId="255" priority="24" stopIfTrue="1" operator="containsText" text="FAIL">
      <formula>NOT(ISERROR(SEARCH("FAIL",F411)))</formula>
    </cfRule>
  </conditionalFormatting>
  <conditionalFormatting sqref="F415:F416">
    <cfRule type="containsText" dxfId="254" priority="21" stopIfTrue="1" operator="containsText" text="PASS">
      <formula>NOT(ISERROR(SEARCH("PASS",F415)))</formula>
    </cfRule>
    <cfRule type="containsText" dxfId="253" priority="22" stopIfTrue="1" operator="containsText" text="FAIL">
      <formula>NOT(ISERROR(SEARCH("FAIL",F415)))</formula>
    </cfRule>
  </conditionalFormatting>
  <conditionalFormatting sqref="F417:F418">
    <cfRule type="containsText" dxfId="252" priority="19" stopIfTrue="1" operator="containsText" text="PASS">
      <formula>NOT(ISERROR(SEARCH("PASS",F417)))</formula>
    </cfRule>
    <cfRule type="containsText" dxfId="251" priority="20" stopIfTrue="1" operator="containsText" text="FAIL">
      <formula>NOT(ISERROR(SEARCH("FAIL",F417)))</formula>
    </cfRule>
  </conditionalFormatting>
  <conditionalFormatting sqref="F421:F422">
    <cfRule type="containsText" dxfId="250" priority="17" stopIfTrue="1" operator="containsText" text="PASS">
      <formula>NOT(ISERROR(SEARCH("PASS",F421)))</formula>
    </cfRule>
    <cfRule type="containsText" dxfId="249" priority="18" stopIfTrue="1" operator="containsText" text="FAIL">
      <formula>NOT(ISERROR(SEARCH("FAIL",F421)))</formula>
    </cfRule>
  </conditionalFormatting>
  <conditionalFormatting sqref="F423:F424">
    <cfRule type="containsText" dxfId="248" priority="15" stopIfTrue="1" operator="containsText" text="PASS">
      <formula>NOT(ISERROR(SEARCH("PASS",F423)))</formula>
    </cfRule>
    <cfRule type="containsText" dxfId="247" priority="16" stopIfTrue="1" operator="containsText" text="FAIL">
      <formula>NOT(ISERROR(SEARCH("FAIL",F423)))</formula>
    </cfRule>
  </conditionalFormatting>
  <conditionalFormatting sqref="F405:F406">
    <cfRule type="containsText" dxfId="246" priority="13" stopIfTrue="1" operator="containsText" text="PASS">
      <formula>NOT(ISERROR(SEARCH("PASS",F405)))</formula>
    </cfRule>
    <cfRule type="containsText" dxfId="245" priority="14" stopIfTrue="1" operator="containsText" text="FAIL">
      <formula>NOT(ISERROR(SEARCH("FAIL",F405)))</formula>
    </cfRule>
  </conditionalFormatting>
  <conditionalFormatting sqref="F417">
    <cfRule type="containsText" dxfId="244" priority="11" stopIfTrue="1" operator="containsText" text="PASS">
      <formula>NOT(ISERROR(SEARCH("PASS",F417)))</formula>
    </cfRule>
    <cfRule type="containsText" dxfId="243" priority="12" stopIfTrue="1" operator="containsText" text="FAIL">
      <formula>NOT(ISERROR(SEARCH("FAIL",F417)))</formula>
    </cfRule>
  </conditionalFormatting>
  <conditionalFormatting sqref="F425:F426">
    <cfRule type="containsText" dxfId="242" priority="9" stopIfTrue="1" operator="containsText" text="PASS">
      <formula>NOT(ISERROR(SEARCH("PASS",F425)))</formula>
    </cfRule>
    <cfRule type="containsText" dxfId="241" priority="10" stopIfTrue="1" operator="containsText" text="FAIL">
      <formula>NOT(ISERROR(SEARCH("FAIL",F425)))</formula>
    </cfRule>
  </conditionalFormatting>
  <conditionalFormatting sqref="F425:F426">
    <cfRule type="containsText" dxfId="240" priority="7" stopIfTrue="1" operator="containsText" text="PASS">
      <formula>NOT(ISERROR(SEARCH("PASS",F425)))</formula>
    </cfRule>
    <cfRule type="containsText" dxfId="239" priority="8" stopIfTrue="1" operator="containsText" text="FAIL">
      <formula>NOT(ISERROR(SEARCH("FAIL",F425)))</formula>
    </cfRule>
  </conditionalFormatting>
  <conditionalFormatting sqref="F427:F428">
    <cfRule type="containsText" dxfId="238" priority="5" stopIfTrue="1" operator="containsText" text="PASS">
      <formula>NOT(ISERROR(SEARCH("PASS",F427)))</formula>
    </cfRule>
    <cfRule type="containsText" dxfId="237" priority="6" stopIfTrue="1" operator="containsText" text="FAIL">
      <formula>NOT(ISERROR(SEARCH("FAIL",F427)))</formula>
    </cfRule>
  </conditionalFormatting>
  <conditionalFormatting sqref="F427:F428">
    <cfRule type="containsText" dxfId="236" priority="3" stopIfTrue="1" operator="containsText" text="PASS">
      <formula>NOT(ISERROR(SEARCH("PASS",F427)))</formula>
    </cfRule>
    <cfRule type="containsText" dxfId="235" priority="4" stopIfTrue="1" operator="containsText" text="FAIL">
      <formula>NOT(ISERROR(SEARCH("FAIL",F427)))</formula>
    </cfRule>
  </conditionalFormatting>
  <conditionalFormatting sqref="F429:F430">
    <cfRule type="containsText" dxfId="234" priority="1" stopIfTrue="1" operator="containsText" text="PASS">
      <formula>NOT(ISERROR(SEARCH("PASS",F429)))</formula>
    </cfRule>
    <cfRule type="containsText" dxfId="233" priority="2" stopIfTrue="1" operator="containsText" text="FAIL">
      <formula>NOT(ISERROR(SEARCH("FAIL",F429)))</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843C4-98DF-44AD-B0AC-3750A5024D53}">
  <sheetPr codeName="Sheet5"/>
  <dimension ref="A1:Y1290"/>
  <sheetViews>
    <sheetView workbookViewId="0">
      <pane ySplit="9" topLeftCell="A10" activePane="bottomLeft" state="frozen"/>
      <selection pane="bottomLeft" activeCell="B12" sqref="B12"/>
    </sheetView>
  </sheetViews>
  <sheetFormatPr defaultRowHeight="13.3" x14ac:dyDescent="0.3"/>
  <cols>
    <col min="1" max="1" width="12.6328125" style="56" customWidth="1"/>
    <col min="2" max="2" width="11.90625" style="56" customWidth="1"/>
    <col min="3" max="3" width="8.7265625" style="56"/>
    <col min="4" max="7" width="8.81640625" style="56" bestFit="1" customWidth="1"/>
    <col min="8" max="8" width="9.453125" style="56" customWidth="1"/>
    <col min="9" max="14" width="8.81640625" style="56" bestFit="1" customWidth="1"/>
    <col min="15" max="15" width="11" style="56" bestFit="1" customWidth="1"/>
    <col min="16" max="17" width="8.81640625" style="56" bestFit="1" customWidth="1"/>
    <col min="18" max="18" width="10.90625" style="56" bestFit="1" customWidth="1"/>
    <col min="19" max="19" width="8.81640625" style="56" bestFit="1" customWidth="1"/>
    <col min="20" max="20" width="8.7265625" style="56"/>
    <col min="21" max="21" width="8.81640625" style="56" bestFit="1" customWidth="1"/>
    <col min="22" max="22" width="19.90625" style="150" customWidth="1"/>
    <col min="23" max="256" width="8.7265625" style="56"/>
    <col min="257" max="257" width="10.54296875" style="56" bestFit="1" customWidth="1"/>
    <col min="258" max="258" width="11.90625" style="56" customWidth="1"/>
    <col min="259" max="259" width="8.7265625" style="56"/>
    <col min="260" max="263" width="8.81640625" style="56" bestFit="1" customWidth="1"/>
    <col min="264" max="264" width="9.453125" style="56" customWidth="1"/>
    <col min="265" max="270" width="8.81640625" style="56" bestFit="1" customWidth="1"/>
    <col min="271" max="271" width="11" style="56" bestFit="1" customWidth="1"/>
    <col min="272" max="273" width="8.81640625" style="56" bestFit="1" customWidth="1"/>
    <col min="274" max="274" width="10.90625" style="56" bestFit="1" customWidth="1"/>
    <col min="275" max="275" width="8.81640625" style="56" bestFit="1" customWidth="1"/>
    <col min="276" max="276" width="8.7265625" style="56"/>
    <col min="277" max="277" width="8.81640625" style="56" bestFit="1" customWidth="1"/>
    <col min="278" max="278" width="19.90625" style="56" customWidth="1"/>
    <col min="279" max="512" width="8.7265625" style="56"/>
    <col min="513" max="513" width="10.54296875" style="56" bestFit="1" customWidth="1"/>
    <col min="514" max="514" width="11.90625" style="56" customWidth="1"/>
    <col min="515" max="515" width="8.7265625" style="56"/>
    <col min="516" max="519" width="8.81640625" style="56" bestFit="1" customWidth="1"/>
    <col min="520" max="520" width="9.453125" style="56" customWidth="1"/>
    <col min="521" max="526" width="8.81640625" style="56" bestFit="1" customWidth="1"/>
    <col min="527" max="527" width="11" style="56" bestFit="1" customWidth="1"/>
    <col min="528" max="529" width="8.81640625" style="56" bestFit="1" customWidth="1"/>
    <col min="530" max="530" width="10.90625" style="56" bestFit="1" customWidth="1"/>
    <col min="531" max="531" width="8.81640625" style="56" bestFit="1" customWidth="1"/>
    <col min="532" max="532" width="8.7265625" style="56"/>
    <col min="533" max="533" width="8.81640625" style="56" bestFit="1" customWidth="1"/>
    <col min="534" max="534" width="19.90625" style="56" customWidth="1"/>
    <col min="535" max="768" width="8.7265625" style="56"/>
    <col min="769" max="769" width="10.54296875" style="56" bestFit="1" customWidth="1"/>
    <col min="770" max="770" width="11.90625" style="56" customWidth="1"/>
    <col min="771" max="771" width="8.7265625" style="56"/>
    <col min="772" max="775" width="8.81640625" style="56" bestFit="1" customWidth="1"/>
    <col min="776" max="776" width="9.453125" style="56" customWidth="1"/>
    <col min="777" max="782" width="8.81640625" style="56" bestFit="1" customWidth="1"/>
    <col min="783" max="783" width="11" style="56" bestFit="1" customWidth="1"/>
    <col min="784" max="785" width="8.81640625" style="56" bestFit="1" customWidth="1"/>
    <col min="786" max="786" width="10.90625" style="56" bestFit="1" customWidth="1"/>
    <col min="787" max="787" width="8.81640625" style="56" bestFit="1" customWidth="1"/>
    <col min="788" max="788" width="8.7265625" style="56"/>
    <col min="789" max="789" width="8.81640625" style="56" bestFit="1" customWidth="1"/>
    <col min="790" max="790" width="19.90625" style="56" customWidth="1"/>
    <col min="791" max="1024" width="8.7265625" style="56"/>
    <col min="1025" max="1025" width="10.54296875" style="56" bestFit="1" customWidth="1"/>
    <col min="1026" max="1026" width="11.90625" style="56" customWidth="1"/>
    <col min="1027" max="1027" width="8.7265625" style="56"/>
    <col min="1028" max="1031" width="8.81640625" style="56" bestFit="1" customWidth="1"/>
    <col min="1032" max="1032" width="9.453125" style="56" customWidth="1"/>
    <col min="1033" max="1038" width="8.81640625" style="56" bestFit="1" customWidth="1"/>
    <col min="1039" max="1039" width="11" style="56" bestFit="1" customWidth="1"/>
    <col min="1040" max="1041" width="8.81640625" style="56" bestFit="1" customWidth="1"/>
    <col min="1042" max="1042" width="10.90625" style="56" bestFit="1" customWidth="1"/>
    <col min="1043" max="1043" width="8.81640625" style="56" bestFit="1" customWidth="1"/>
    <col min="1044" max="1044" width="8.7265625" style="56"/>
    <col min="1045" max="1045" width="8.81640625" style="56" bestFit="1" customWidth="1"/>
    <col min="1046" max="1046" width="19.90625" style="56" customWidth="1"/>
    <col min="1047" max="1280" width="8.7265625" style="56"/>
    <col min="1281" max="1281" width="10.54296875" style="56" bestFit="1" customWidth="1"/>
    <col min="1282" max="1282" width="11.90625" style="56" customWidth="1"/>
    <col min="1283" max="1283" width="8.7265625" style="56"/>
    <col min="1284" max="1287" width="8.81640625" style="56" bestFit="1" customWidth="1"/>
    <col min="1288" max="1288" width="9.453125" style="56" customWidth="1"/>
    <col min="1289" max="1294" width="8.81640625" style="56" bestFit="1" customWidth="1"/>
    <col min="1295" max="1295" width="11" style="56" bestFit="1" customWidth="1"/>
    <col min="1296" max="1297" width="8.81640625" style="56" bestFit="1" customWidth="1"/>
    <col min="1298" max="1298" width="10.90625" style="56" bestFit="1" customWidth="1"/>
    <col min="1299" max="1299" width="8.81640625" style="56" bestFit="1" customWidth="1"/>
    <col min="1300" max="1300" width="8.7265625" style="56"/>
    <col min="1301" max="1301" width="8.81640625" style="56" bestFit="1" customWidth="1"/>
    <col min="1302" max="1302" width="19.90625" style="56" customWidth="1"/>
    <col min="1303" max="1536" width="8.7265625" style="56"/>
    <col min="1537" max="1537" width="10.54296875" style="56" bestFit="1" customWidth="1"/>
    <col min="1538" max="1538" width="11.90625" style="56" customWidth="1"/>
    <col min="1539" max="1539" width="8.7265625" style="56"/>
    <col min="1540" max="1543" width="8.81640625" style="56" bestFit="1" customWidth="1"/>
    <col min="1544" max="1544" width="9.453125" style="56" customWidth="1"/>
    <col min="1545" max="1550" width="8.81640625" style="56" bestFit="1" customWidth="1"/>
    <col min="1551" max="1551" width="11" style="56" bestFit="1" customWidth="1"/>
    <col min="1552" max="1553" width="8.81640625" style="56" bestFit="1" customWidth="1"/>
    <col min="1554" max="1554" width="10.90625" style="56" bestFit="1" customWidth="1"/>
    <col min="1555" max="1555" width="8.81640625" style="56" bestFit="1" customWidth="1"/>
    <col min="1556" max="1556" width="8.7265625" style="56"/>
    <col min="1557" max="1557" width="8.81640625" style="56" bestFit="1" customWidth="1"/>
    <col min="1558" max="1558" width="19.90625" style="56" customWidth="1"/>
    <col min="1559" max="1792" width="8.7265625" style="56"/>
    <col min="1793" max="1793" width="10.54296875" style="56" bestFit="1" customWidth="1"/>
    <col min="1794" max="1794" width="11.90625" style="56" customWidth="1"/>
    <col min="1795" max="1795" width="8.7265625" style="56"/>
    <col min="1796" max="1799" width="8.81640625" style="56" bestFit="1" customWidth="1"/>
    <col min="1800" max="1800" width="9.453125" style="56" customWidth="1"/>
    <col min="1801" max="1806" width="8.81640625" style="56" bestFit="1" customWidth="1"/>
    <col min="1807" max="1807" width="11" style="56" bestFit="1" customWidth="1"/>
    <col min="1808" max="1809" width="8.81640625" style="56" bestFit="1" customWidth="1"/>
    <col min="1810" max="1810" width="10.90625" style="56" bestFit="1" customWidth="1"/>
    <col min="1811" max="1811" width="8.81640625" style="56" bestFit="1" customWidth="1"/>
    <col min="1812" max="1812" width="8.7265625" style="56"/>
    <col min="1813" max="1813" width="8.81640625" style="56" bestFit="1" customWidth="1"/>
    <col min="1814" max="1814" width="19.90625" style="56" customWidth="1"/>
    <col min="1815" max="2048" width="8.7265625" style="56"/>
    <col min="2049" max="2049" width="10.54296875" style="56" bestFit="1" customWidth="1"/>
    <col min="2050" max="2050" width="11.90625" style="56" customWidth="1"/>
    <col min="2051" max="2051" width="8.7265625" style="56"/>
    <col min="2052" max="2055" width="8.81640625" style="56" bestFit="1" customWidth="1"/>
    <col min="2056" max="2056" width="9.453125" style="56" customWidth="1"/>
    <col min="2057" max="2062" width="8.81640625" style="56" bestFit="1" customWidth="1"/>
    <col min="2063" max="2063" width="11" style="56" bestFit="1" customWidth="1"/>
    <col min="2064" max="2065" width="8.81640625" style="56" bestFit="1" customWidth="1"/>
    <col min="2066" max="2066" width="10.90625" style="56" bestFit="1" customWidth="1"/>
    <col min="2067" max="2067" width="8.81640625" style="56" bestFit="1" customWidth="1"/>
    <col min="2068" max="2068" width="8.7265625" style="56"/>
    <col min="2069" max="2069" width="8.81640625" style="56" bestFit="1" customWidth="1"/>
    <col min="2070" max="2070" width="19.90625" style="56" customWidth="1"/>
    <col min="2071" max="2304" width="8.7265625" style="56"/>
    <col min="2305" max="2305" width="10.54296875" style="56" bestFit="1" customWidth="1"/>
    <col min="2306" max="2306" width="11.90625" style="56" customWidth="1"/>
    <col min="2307" max="2307" width="8.7265625" style="56"/>
    <col min="2308" max="2311" width="8.81640625" style="56" bestFit="1" customWidth="1"/>
    <col min="2312" max="2312" width="9.453125" style="56" customWidth="1"/>
    <col min="2313" max="2318" width="8.81640625" style="56" bestFit="1" customWidth="1"/>
    <col min="2319" max="2319" width="11" style="56" bestFit="1" customWidth="1"/>
    <col min="2320" max="2321" width="8.81640625" style="56" bestFit="1" customWidth="1"/>
    <col min="2322" max="2322" width="10.90625" style="56" bestFit="1" customWidth="1"/>
    <col min="2323" max="2323" width="8.81640625" style="56" bestFit="1" customWidth="1"/>
    <col min="2324" max="2324" width="8.7265625" style="56"/>
    <col min="2325" max="2325" width="8.81640625" style="56" bestFit="1" customWidth="1"/>
    <col min="2326" max="2326" width="19.90625" style="56" customWidth="1"/>
    <col min="2327" max="2560" width="8.7265625" style="56"/>
    <col min="2561" max="2561" width="10.54296875" style="56" bestFit="1" customWidth="1"/>
    <col min="2562" max="2562" width="11.90625" style="56" customWidth="1"/>
    <col min="2563" max="2563" width="8.7265625" style="56"/>
    <col min="2564" max="2567" width="8.81640625" style="56" bestFit="1" customWidth="1"/>
    <col min="2568" max="2568" width="9.453125" style="56" customWidth="1"/>
    <col min="2569" max="2574" width="8.81640625" style="56" bestFit="1" customWidth="1"/>
    <col min="2575" max="2575" width="11" style="56" bestFit="1" customWidth="1"/>
    <col min="2576" max="2577" width="8.81640625" style="56" bestFit="1" customWidth="1"/>
    <col min="2578" max="2578" width="10.90625" style="56" bestFit="1" customWidth="1"/>
    <col min="2579" max="2579" width="8.81640625" style="56" bestFit="1" customWidth="1"/>
    <col min="2580" max="2580" width="8.7265625" style="56"/>
    <col min="2581" max="2581" width="8.81640625" style="56" bestFit="1" customWidth="1"/>
    <col min="2582" max="2582" width="19.90625" style="56" customWidth="1"/>
    <col min="2583" max="2816" width="8.7265625" style="56"/>
    <col min="2817" max="2817" width="10.54296875" style="56" bestFit="1" customWidth="1"/>
    <col min="2818" max="2818" width="11.90625" style="56" customWidth="1"/>
    <col min="2819" max="2819" width="8.7265625" style="56"/>
    <col min="2820" max="2823" width="8.81640625" style="56" bestFit="1" customWidth="1"/>
    <col min="2824" max="2824" width="9.453125" style="56" customWidth="1"/>
    <col min="2825" max="2830" width="8.81640625" style="56" bestFit="1" customWidth="1"/>
    <col min="2831" max="2831" width="11" style="56" bestFit="1" customWidth="1"/>
    <col min="2832" max="2833" width="8.81640625" style="56" bestFit="1" customWidth="1"/>
    <col min="2834" max="2834" width="10.90625" style="56" bestFit="1" customWidth="1"/>
    <col min="2835" max="2835" width="8.81640625" style="56" bestFit="1" customWidth="1"/>
    <col min="2836" max="2836" width="8.7265625" style="56"/>
    <col min="2837" max="2837" width="8.81640625" style="56" bestFit="1" customWidth="1"/>
    <col min="2838" max="2838" width="19.90625" style="56" customWidth="1"/>
    <col min="2839" max="3072" width="8.7265625" style="56"/>
    <col min="3073" max="3073" width="10.54296875" style="56" bestFit="1" customWidth="1"/>
    <col min="3074" max="3074" width="11.90625" style="56" customWidth="1"/>
    <col min="3075" max="3075" width="8.7265625" style="56"/>
    <col min="3076" max="3079" width="8.81640625" style="56" bestFit="1" customWidth="1"/>
    <col min="3080" max="3080" width="9.453125" style="56" customWidth="1"/>
    <col min="3081" max="3086" width="8.81640625" style="56" bestFit="1" customWidth="1"/>
    <col min="3087" max="3087" width="11" style="56" bestFit="1" customWidth="1"/>
    <col min="3088" max="3089" width="8.81640625" style="56" bestFit="1" customWidth="1"/>
    <col min="3090" max="3090" width="10.90625" style="56" bestFit="1" customWidth="1"/>
    <col min="3091" max="3091" width="8.81640625" style="56" bestFit="1" customWidth="1"/>
    <col min="3092" max="3092" width="8.7265625" style="56"/>
    <col min="3093" max="3093" width="8.81640625" style="56" bestFit="1" customWidth="1"/>
    <col min="3094" max="3094" width="19.90625" style="56" customWidth="1"/>
    <col min="3095" max="3328" width="8.7265625" style="56"/>
    <col min="3329" max="3329" width="10.54296875" style="56" bestFit="1" customWidth="1"/>
    <col min="3330" max="3330" width="11.90625" style="56" customWidth="1"/>
    <col min="3331" max="3331" width="8.7265625" style="56"/>
    <col min="3332" max="3335" width="8.81640625" style="56" bestFit="1" customWidth="1"/>
    <col min="3336" max="3336" width="9.453125" style="56" customWidth="1"/>
    <col min="3337" max="3342" width="8.81640625" style="56" bestFit="1" customWidth="1"/>
    <col min="3343" max="3343" width="11" style="56" bestFit="1" customWidth="1"/>
    <col min="3344" max="3345" width="8.81640625" style="56" bestFit="1" customWidth="1"/>
    <col min="3346" max="3346" width="10.90625" style="56" bestFit="1" customWidth="1"/>
    <col min="3347" max="3347" width="8.81640625" style="56" bestFit="1" customWidth="1"/>
    <col min="3348" max="3348" width="8.7265625" style="56"/>
    <col min="3349" max="3349" width="8.81640625" style="56" bestFit="1" customWidth="1"/>
    <col min="3350" max="3350" width="19.90625" style="56" customWidth="1"/>
    <col min="3351" max="3584" width="8.7265625" style="56"/>
    <col min="3585" max="3585" width="10.54296875" style="56" bestFit="1" customWidth="1"/>
    <col min="3586" max="3586" width="11.90625" style="56" customWidth="1"/>
    <col min="3587" max="3587" width="8.7265625" style="56"/>
    <col min="3588" max="3591" width="8.81640625" style="56" bestFit="1" customWidth="1"/>
    <col min="3592" max="3592" width="9.453125" style="56" customWidth="1"/>
    <col min="3593" max="3598" width="8.81640625" style="56" bestFit="1" customWidth="1"/>
    <col min="3599" max="3599" width="11" style="56" bestFit="1" customWidth="1"/>
    <col min="3600" max="3601" width="8.81640625" style="56" bestFit="1" customWidth="1"/>
    <col min="3602" max="3602" width="10.90625" style="56" bestFit="1" customWidth="1"/>
    <col min="3603" max="3603" width="8.81640625" style="56" bestFit="1" customWidth="1"/>
    <col min="3604" max="3604" width="8.7265625" style="56"/>
    <col min="3605" max="3605" width="8.81640625" style="56" bestFit="1" customWidth="1"/>
    <col min="3606" max="3606" width="19.90625" style="56" customWidth="1"/>
    <col min="3607" max="3840" width="8.7265625" style="56"/>
    <col min="3841" max="3841" width="10.54296875" style="56" bestFit="1" customWidth="1"/>
    <col min="3842" max="3842" width="11.90625" style="56" customWidth="1"/>
    <col min="3843" max="3843" width="8.7265625" style="56"/>
    <col min="3844" max="3847" width="8.81640625" style="56" bestFit="1" customWidth="1"/>
    <col min="3848" max="3848" width="9.453125" style="56" customWidth="1"/>
    <col min="3849" max="3854" width="8.81640625" style="56" bestFit="1" customWidth="1"/>
    <col min="3855" max="3855" width="11" style="56" bestFit="1" customWidth="1"/>
    <col min="3856" max="3857" width="8.81640625" style="56" bestFit="1" customWidth="1"/>
    <col min="3858" max="3858" width="10.90625" style="56" bestFit="1" customWidth="1"/>
    <col min="3859" max="3859" width="8.81640625" style="56" bestFit="1" customWidth="1"/>
    <col min="3860" max="3860" width="8.7265625" style="56"/>
    <col min="3861" max="3861" width="8.81640625" style="56" bestFit="1" customWidth="1"/>
    <col min="3862" max="3862" width="19.90625" style="56" customWidth="1"/>
    <col min="3863" max="4096" width="8.7265625" style="56"/>
    <col min="4097" max="4097" width="10.54296875" style="56" bestFit="1" customWidth="1"/>
    <col min="4098" max="4098" width="11.90625" style="56" customWidth="1"/>
    <col min="4099" max="4099" width="8.7265625" style="56"/>
    <col min="4100" max="4103" width="8.81640625" style="56" bestFit="1" customWidth="1"/>
    <col min="4104" max="4104" width="9.453125" style="56" customWidth="1"/>
    <col min="4105" max="4110" width="8.81640625" style="56" bestFit="1" customWidth="1"/>
    <col min="4111" max="4111" width="11" style="56" bestFit="1" customWidth="1"/>
    <col min="4112" max="4113" width="8.81640625" style="56" bestFit="1" customWidth="1"/>
    <col min="4114" max="4114" width="10.90625" style="56" bestFit="1" customWidth="1"/>
    <col min="4115" max="4115" width="8.81640625" style="56" bestFit="1" customWidth="1"/>
    <col min="4116" max="4116" width="8.7265625" style="56"/>
    <col min="4117" max="4117" width="8.81640625" style="56" bestFit="1" customWidth="1"/>
    <col min="4118" max="4118" width="19.90625" style="56" customWidth="1"/>
    <col min="4119" max="4352" width="8.7265625" style="56"/>
    <col min="4353" max="4353" width="10.54296875" style="56" bestFit="1" customWidth="1"/>
    <col min="4354" max="4354" width="11.90625" style="56" customWidth="1"/>
    <col min="4355" max="4355" width="8.7265625" style="56"/>
    <col min="4356" max="4359" width="8.81640625" style="56" bestFit="1" customWidth="1"/>
    <col min="4360" max="4360" width="9.453125" style="56" customWidth="1"/>
    <col min="4361" max="4366" width="8.81640625" style="56" bestFit="1" customWidth="1"/>
    <col min="4367" max="4367" width="11" style="56" bestFit="1" customWidth="1"/>
    <col min="4368" max="4369" width="8.81640625" style="56" bestFit="1" customWidth="1"/>
    <col min="4370" max="4370" width="10.90625" style="56" bestFit="1" customWidth="1"/>
    <col min="4371" max="4371" width="8.81640625" style="56" bestFit="1" customWidth="1"/>
    <col min="4372" max="4372" width="8.7265625" style="56"/>
    <col min="4373" max="4373" width="8.81640625" style="56" bestFit="1" customWidth="1"/>
    <col min="4374" max="4374" width="19.90625" style="56" customWidth="1"/>
    <col min="4375" max="4608" width="8.7265625" style="56"/>
    <col min="4609" max="4609" width="10.54296875" style="56" bestFit="1" customWidth="1"/>
    <col min="4610" max="4610" width="11.90625" style="56" customWidth="1"/>
    <col min="4611" max="4611" width="8.7265625" style="56"/>
    <col min="4612" max="4615" width="8.81640625" style="56" bestFit="1" customWidth="1"/>
    <col min="4616" max="4616" width="9.453125" style="56" customWidth="1"/>
    <col min="4617" max="4622" width="8.81640625" style="56" bestFit="1" customWidth="1"/>
    <col min="4623" max="4623" width="11" style="56" bestFit="1" customWidth="1"/>
    <col min="4624" max="4625" width="8.81640625" style="56" bestFit="1" customWidth="1"/>
    <col min="4626" max="4626" width="10.90625" style="56" bestFit="1" customWidth="1"/>
    <col min="4627" max="4627" width="8.81640625" style="56" bestFit="1" customWidth="1"/>
    <col min="4628" max="4628" width="8.7265625" style="56"/>
    <col min="4629" max="4629" width="8.81640625" style="56" bestFit="1" customWidth="1"/>
    <col min="4630" max="4630" width="19.90625" style="56" customWidth="1"/>
    <col min="4631" max="4864" width="8.7265625" style="56"/>
    <col min="4865" max="4865" width="10.54296875" style="56" bestFit="1" customWidth="1"/>
    <col min="4866" max="4866" width="11.90625" style="56" customWidth="1"/>
    <col min="4867" max="4867" width="8.7265625" style="56"/>
    <col min="4868" max="4871" width="8.81640625" style="56" bestFit="1" customWidth="1"/>
    <col min="4872" max="4872" width="9.453125" style="56" customWidth="1"/>
    <col min="4873" max="4878" width="8.81640625" style="56" bestFit="1" customWidth="1"/>
    <col min="4879" max="4879" width="11" style="56" bestFit="1" customWidth="1"/>
    <col min="4880" max="4881" width="8.81640625" style="56" bestFit="1" customWidth="1"/>
    <col min="4882" max="4882" width="10.90625" style="56" bestFit="1" customWidth="1"/>
    <col min="4883" max="4883" width="8.81640625" style="56" bestFit="1" customWidth="1"/>
    <col min="4884" max="4884" width="8.7265625" style="56"/>
    <col min="4885" max="4885" width="8.81640625" style="56" bestFit="1" customWidth="1"/>
    <col min="4886" max="4886" width="19.90625" style="56" customWidth="1"/>
    <col min="4887" max="5120" width="8.7265625" style="56"/>
    <col min="5121" max="5121" width="10.54296875" style="56" bestFit="1" customWidth="1"/>
    <col min="5122" max="5122" width="11.90625" style="56" customWidth="1"/>
    <col min="5123" max="5123" width="8.7265625" style="56"/>
    <col min="5124" max="5127" width="8.81640625" style="56" bestFit="1" customWidth="1"/>
    <col min="5128" max="5128" width="9.453125" style="56" customWidth="1"/>
    <col min="5129" max="5134" width="8.81640625" style="56" bestFit="1" customWidth="1"/>
    <col min="5135" max="5135" width="11" style="56" bestFit="1" customWidth="1"/>
    <col min="5136" max="5137" width="8.81640625" style="56" bestFit="1" customWidth="1"/>
    <col min="5138" max="5138" width="10.90625" style="56" bestFit="1" customWidth="1"/>
    <col min="5139" max="5139" width="8.81640625" style="56" bestFit="1" customWidth="1"/>
    <col min="5140" max="5140" width="8.7265625" style="56"/>
    <col min="5141" max="5141" width="8.81640625" style="56" bestFit="1" customWidth="1"/>
    <col min="5142" max="5142" width="19.90625" style="56" customWidth="1"/>
    <col min="5143" max="5376" width="8.7265625" style="56"/>
    <col min="5377" max="5377" width="10.54296875" style="56" bestFit="1" customWidth="1"/>
    <col min="5378" max="5378" width="11.90625" style="56" customWidth="1"/>
    <col min="5379" max="5379" width="8.7265625" style="56"/>
    <col min="5380" max="5383" width="8.81640625" style="56" bestFit="1" customWidth="1"/>
    <col min="5384" max="5384" width="9.453125" style="56" customWidth="1"/>
    <col min="5385" max="5390" width="8.81640625" style="56" bestFit="1" customWidth="1"/>
    <col min="5391" max="5391" width="11" style="56" bestFit="1" customWidth="1"/>
    <col min="5392" max="5393" width="8.81640625" style="56" bestFit="1" customWidth="1"/>
    <col min="5394" max="5394" width="10.90625" style="56" bestFit="1" customWidth="1"/>
    <col min="5395" max="5395" width="8.81640625" style="56" bestFit="1" customWidth="1"/>
    <col min="5396" max="5396" width="8.7265625" style="56"/>
    <col min="5397" max="5397" width="8.81640625" style="56" bestFit="1" customWidth="1"/>
    <col min="5398" max="5398" width="19.90625" style="56" customWidth="1"/>
    <col min="5399" max="5632" width="8.7265625" style="56"/>
    <col min="5633" max="5633" width="10.54296875" style="56" bestFit="1" customWidth="1"/>
    <col min="5634" max="5634" width="11.90625" style="56" customWidth="1"/>
    <col min="5635" max="5635" width="8.7265625" style="56"/>
    <col min="5636" max="5639" width="8.81640625" style="56" bestFit="1" customWidth="1"/>
    <col min="5640" max="5640" width="9.453125" style="56" customWidth="1"/>
    <col min="5641" max="5646" width="8.81640625" style="56" bestFit="1" customWidth="1"/>
    <col min="5647" max="5647" width="11" style="56" bestFit="1" customWidth="1"/>
    <col min="5648" max="5649" width="8.81640625" style="56" bestFit="1" customWidth="1"/>
    <col min="5650" max="5650" width="10.90625" style="56" bestFit="1" customWidth="1"/>
    <col min="5651" max="5651" width="8.81640625" style="56" bestFit="1" customWidth="1"/>
    <col min="5652" max="5652" width="8.7265625" style="56"/>
    <col min="5653" max="5653" width="8.81640625" style="56" bestFit="1" customWidth="1"/>
    <col min="5654" max="5654" width="19.90625" style="56" customWidth="1"/>
    <col min="5655" max="5888" width="8.7265625" style="56"/>
    <col min="5889" max="5889" width="10.54296875" style="56" bestFit="1" customWidth="1"/>
    <col min="5890" max="5890" width="11.90625" style="56" customWidth="1"/>
    <col min="5891" max="5891" width="8.7265625" style="56"/>
    <col min="5892" max="5895" width="8.81640625" style="56" bestFit="1" customWidth="1"/>
    <col min="5896" max="5896" width="9.453125" style="56" customWidth="1"/>
    <col min="5897" max="5902" width="8.81640625" style="56" bestFit="1" customWidth="1"/>
    <col min="5903" max="5903" width="11" style="56" bestFit="1" customWidth="1"/>
    <col min="5904" max="5905" width="8.81640625" style="56" bestFit="1" customWidth="1"/>
    <col min="5906" max="5906" width="10.90625" style="56" bestFit="1" customWidth="1"/>
    <col min="5907" max="5907" width="8.81640625" style="56" bestFit="1" customWidth="1"/>
    <col min="5908" max="5908" width="8.7265625" style="56"/>
    <col min="5909" max="5909" width="8.81640625" style="56" bestFit="1" customWidth="1"/>
    <col min="5910" max="5910" width="19.90625" style="56" customWidth="1"/>
    <col min="5911" max="6144" width="8.7265625" style="56"/>
    <col min="6145" max="6145" width="10.54296875" style="56" bestFit="1" customWidth="1"/>
    <col min="6146" max="6146" width="11.90625" style="56" customWidth="1"/>
    <col min="6147" max="6147" width="8.7265625" style="56"/>
    <col min="6148" max="6151" width="8.81640625" style="56" bestFit="1" customWidth="1"/>
    <col min="6152" max="6152" width="9.453125" style="56" customWidth="1"/>
    <col min="6153" max="6158" width="8.81640625" style="56" bestFit="1" customWidth="1"/>
    <col min="6159" max="6159" width="11" style="56" bestFit="1" customWidth="1"/>
    <col min="6160" max="6161" width="8.81640625" style="56" bestFit="1" customWidth="1"/>
    <col min="6162" max="6162" width="10.90625" style="56" bestFit="1" customWidth="1"/>
    <col min="6163" max="6163" width="8.81640625" style="56" bestFit="1" customWidth="1"/>
    <col min="6164" max="6164" width="8.7265625" style="56"/>
    <col min="6165" max="6165" width="8.81640625" style="56" bestFit="1" customWidth="1"/>
    <col min="6166" max="6166" width="19.90625" style="56" customWidth="1"/>
    <col min="6167" max="6400" width="8.7265625" style="56"/>
    <col min="6401" max="6401" width="10.54296875" style="56" bestFit="1" customWidth="1"/>
    <col min="6402" max="6402" width="11.90625" style="56" customWidth="1"/>
    <col min="6403" max="6403" width="8.7265625" style="56"/>
    <col min="6404" max="6407" width="8.81640625" style="56" bestFit="1" customWidth="1"/>
    <col min="6408" max="6408" width="9.453125" style="56" customWidth="1"/>
    <col min="6409" max="6414" width="8.81640625" style="56" bestFit="1" customWidth="1"/>
    <col min="6415" max="6415" width="11" style="56" bestFit="1" customWidth="1"/>
    <col min="6416" max="6417" width="8.81640625" style="56" bestFit="1" customWidth="1"/>
    <col min="6418" max="6418" width="10.90625" style="56" bestFit="1" customWidth="1"/>
    <col min="6419" max="6419" width="8.81640625" style="56" bestFit="1" customWidth="1"/>
    <col min="6420" max="6420" width="8.7265625" style="56"/>
    <col min="6421" max="6421" width="8.81640625" style="56" bestFit="1" customWidth="1"/>
    <col min="6422" max="6422" width="19.90625" style="56" customWidth="1"/>
    <col min="6423" max="6656" width="8.7265625" style="56"/>
    <col min="6657" max="6657" width="10.54296875" style="56" bestFit="1" customWidth="1"/>
    <col min="6658" max="6658" width="11.90625" style="56" customWidth="1"/>
    <col min="6659" max="6659" width="8.7265625" style="56"/>
    <col min="6660" max="6663" width="8.81640625" style="56" bestFit="1" customWidth="1"/>
    <col min="6664" max="6664" width="9.453125" style="56" customWidth="1"/>
    <col min="6665" max="6670" width="8.81640625" style="56" bestFit="1" customWidth="1"/>
    <col min="6671" max="6671" width="11" style="56" bestFit="1" customWidth="1"/>
    <col min="6672" max="6673" width="8.81640625" style="56" bestFit="1" customWidth="1"/>
    <col min="6674" max="6674" width="10.90625" style="56" bestFit="1" customWidth="1"/>
    <col min="6675" max="6675" width="8.81640625" style="56" bestFit="1" customWidth="1"/>
    <col min="6676" max="6676" width="8.7265625" style="56"/>
    <col min="6677" max="6677" width="8.81640625" style="56" bestFit="1" customWidth="1"/>
    <col min="6678" max="6678" width="19.90625" style="56" customWidth="1"/>
    <col min="6679" max="6912" width="8.7265625" style="56"/>
    <col min="6913" max="6913" width="10.54296875" style="56" bestFit="1" customWidth="1"/>
    <col min="6914" max="6914" width="11.90625" style="56" customWidth="1"/>
    <col min="6915" max="6915" width="8.7265625" style="56"/>
    <col min="6916" max="6919" width="8.81640625" style="56" bestFit="1" customWidth="1"/>
    <col min="6920" max="6920" width="9.453125" style="56" customWidth="1"/>
    <col min="6921" max="6926" width="8.81640625" style="56" bestFit="1" customWidth="1"/>
    <col min="6927" max="6927" width="11" style="56" bestFit="1" customWidth="1"/>
    <col min="6928" max="6929" width="8.81640625" style="56" bestFit="1" customWidth="1"/>
    <col min="6930" max="6930" width="10.90625" style="56" bestFit="1" customWidth="1"/>
    <col min="6931" max="6931" width="8.81640625" style="56" bestFit="1" customWidth="1"/>
    <col min="6932" max="6932" width="8.7265625" style="56"/>
    <col min="6933" max="6933" width="8.81640625" style="56" bestFit="1" customWidth="1"/>
    <col min="6934" max="6934" width="19.90625" style="56" customWidth="1"/>
    <col min="6935" max="7168" width="8.7265625" style="56"/>
    <col min="7169" max="7169" width="10.54296875" style="56" bestFit="1" customWidth="1"/>
    <col min="7170" max="7170" width="11.90625" style="56" customWidth="1"/>
    <col min="7171" max="7171" width="8.7265625" style="56"/>
    <col min="7172" max="7175" width="8.81640625" style="56" bestFit="1" customWidth="1"/>
    <col min="7176" max="7176" width="9.453125" style="56" customWidth="1"/>
    <col min="7177" max="7182" width="8.81640625" style="56" bestFit="1" customWidth="1"/>
    <col min="7183" max="7183" width="11" style="56" bestFit="1" customWidth="1"/>
    <col min="7184" max="7185" width="8.81640625" style="56" bestFit="1" customWidth="1"/>
    <col min="7186" max="7186" width="10.90625" style="56" bestFit="1" customWidth="1"/>
    <col min="7187" max="7187" width="8.81640625" style="56" bestFit="1" customWidth="1"/>
    <col min="7188" max="7188" width="8.7265625" style="56"/>
    <col min="7189" max="7189" width="8.81640625" style="56" bestFit="1" customWidth="1"/>
    <col min="7190" max="7190" width="19.90625" style="56" customWidth="1"/>
    <col min="7191" max="7424" width="8.7265625" style="56"/>
    <col min="7425" max="7425" width="10.54296875" style="56" bestFit="1" customWidth="1"/>
    <col min="7426" max="7426" width="11.90625" style="56" customWidth="1"/>
    <col min="7427" max="7427" width="8.7265625" style="56"/>
    <col min="7428" max="7431" width="8.81640625" style="56" bestFit="1" customWidth="1"/>
    <col min="7432" max="7432" width="9.453125" style="56" customWidth="1"/>
    <col min="7433" max="7438" width="8.81640625" style="56" bestFit="1" customWidth="1"/>
    <col min="7439" max="7439" width="11" style="56" bestFit="1" customWidth="1"/>
    <col min="7440" max="7441" width="8.81640625" style="56" bestFit="1" customWidth="1"/>
    <col min="7442" max="7442" width="10.90625" style="56" bestFit="1" customWidth="1"/>
    <col min="7443" max="7443" width="8.81640625" style="56" bestFit="1" customWidth="1"/>
    <col min="7444" max="7444" width="8.7265625" style="56"/>
    <col min="7445" max="7445" width="8.81640625" style="56" bestFit="1" customWidth="1"/>
    <col min="7446" max="7446" width="19.90625" style="56" customWidth="1"/>
    <col min="7447" max="7680" width="8.7265625" style="56"/>
    <col min="7681" max="7681" width="10.54296875" style="56" bestFit="1" customWidth="1"/>
    <col min="7682" max="7682" width="11.90625" style="56" customWidth="1"/>
    <col min="7683" max="7683" width="8.7265625" style="56"/>
    <col min="7684" max="7687" width="8.81640625" style="56" bestFit="1" customWidth="1"/>
    <col min="7688" max="7688" width="9.453125" style="56" customWidth="1"/>
    <col min="7689" max="7694" width="8.81640625" style="56" bestFit="1" customWidth="1"/>
    <col min="7695" max="7695" width="11" style="56" bestFit="1" customWidth="1"/>
    <col min="7696" max="7697" width="8.81640625" style="56" bestFit="1" customWidth="1"/>
    <col min="7698" max="7698" width="10.90625" style="56" bestFit="1" customWidth="1"/>
    <col min="7699" max="7699" width="8.81640625" style="56" bestFit="1" customWidth="1"/>
    <col min="7700" max="7700" width="8.7265625" style="56"/>
    <col min="7701" max="7701" width="8.81640625" style="56" bestFit="1" customWidth="1"/>
    <col min="7702" max="7702" width="19.90625" style="56" customWidth="1"/>
    <col min="7703" max="7936" width="8.7265625" style="56"/>
    <col min="7937" max="7937" width="10.54296875" style="56" bestFit="1" customWidth="1"/>
    <col min="7938" max="7938" width="11.90625" style="56" customWidth="1"/>
    <col min="7939" max="7939" width="8.7265625" style="56"/>
    <col min="7940" max="7943" width="8.81640625" style="56" bestFit="1" customWidth="1"/>
    <col min="7944" max="7944" width="9.453125" style="56" customWidth="1"/>
    <col min="7945" max="7950" width="8.81640625" style="56" bestFit="1" customWidth="1"/>
    <col min="7951" max="7951" width="11" style="56" bestFit="1" customWidth="1"/>
    <col min="7952" max="7953" width="8.81640625" style="56" bestFit="1" customWidth="1"/>
    <col min="7954" max="7954" width="10.90625" style="56" bestFit="1" customWidth="1"/>
    <col min="7955" max="7955" width="8.81640625" style="56" bestFit="1" customWidth="1"/>
    <col min="7956" max="7956" width="8.7265625" style="56"/>
    <col min="7957" max="7957" width="8.81640625" style="56" bestFit="1" customWidth="1"/>
    <col min="7958" max="7958" width="19.90625" style="56" customWidth="1"/>
    <col min="7959" max="8192" width="8.7265625" style="56"/>
    <col min="8193" max="8193" width="10.54296875" style="56" bestFit="1" customWidth="1"/>
    <col min="8194" max="8194" width="11.90625" style="56" customWidth="1"/>
    <col min="8195" max="8195" width="8.7265625" style="56"/>
    <col min="8196" max="8199" width="8.81640625" style="56" bestFit="1" customWidth="1"/>
    <col min="8200" max="8200" width="9.453125" style="56" customWidth="1"/>
    <col min="8201" max="8206" width="8.81640625" style="56" bestFit="1" customWidth="1"/>
    <col min="8207" max="8207" width="11" style="56" bestFit="1" customWidth="1"/>
    <col min="8208" max="8209" width="8.81640625" style="56" bestFit="1" customWidth="1"/>
    <col min="8210" max="8210" width="10.90625" style="56" bestFit="1" customWidth="1"/>
    <col min="8211" max="8211" width="8.81640625" style="56" bestFit="1" customWidth="1"/>
    <col min="8212" max="8212" width="8.7265625" style="56"/>
    <col min="8213" max="8213" width="8.81640625" style="56" bestFit="1" customWidth="1"/>
    <col min="8214" max="8214" width="19.90625" style="56" customWidth="1"/>
    <col min="8215" max="8448" width="8.7265625" style="56"/>
    <col min="8449" max="8449" width="10.54296875" style="56" bestFit="1" customWidth="1"/>
    <col min="8450" max="8450" width="11.90625" style="56" customWidth="1"/>
    <col min="8451" max="8451" width="8.7265625" style="56"/>
    <col min="8452" max="8455" width="8.81640625" style="56" bestFit="1" customWidth="1"/>
    <col min="8456" max="8456" width="9.453125" style="56" customWidth="1"/>
    <col min="8457" max="8462" width="8.81640625" style="56" bestFit="1" customWidth="1"/>
    <col min="8463" max="8463" width="11" style="56" bestFit="1" customWidth="1"/>
    <col min="8464" max="8465" width="8.81640625" style="56" bestFit="1" customWidth="1"/>
    <col min="8466" max="8466" width="10.90625" style="56" bestFit="1" customWidth="1"/>
    <col min="8467" max="8467" width="8.81640625" style="56" bestFit="1" customWidth="1"/>
    <col min="8468" max="8468" width="8.7265625" style="56"/>
    <col min="8469" max="8469" width="8.81640625" style="56" bestFit="1" customWidth="1"/>
    <col min="8470" max="8470" width="19.90625" style="56" customWidth="1"/>
    <col min="8471" max="8704" width="8.7265625" style="56"/>
    <col min="8705" max="8705" width="10.54296875" style="56" bestFit="1" customWidth="1"/>
    <col min="8706" max="8706" width="11.90625" style="56" customWidth="1"/>
    <col min="8707" max="8707" width="8.7265625" style="56"/>
    <col min="8708" max="8711" width="8.81640625" style="56" bestFit="1" customWidth="1"/>
    <col min="8712" max="8712" width="9.453125" style="56" customWidth="1"/>
    <col min="8713" max="8718" width="8.81640625" style="56" bestFit="1" customWidth="1"/>
    <col min="8719" max="8719" width="11" style="56" bestFit="1" customWidth="1"/>
    <col min="8720" max="8721" width="8.81640625" style="56" bestFit="1" customWidth="1"/>
    <col min="8722" max="8722" width="10.90625" style="56" bestFit="1" customWidth="1"/>
    <col min="8723" max="8723" width="8.81640625" style="56" bestFit="1" customWidth="1"/>
    <col min="8724" max="8724" width="8.7265625" style="56"/>
    <col min="8725" max="8725" width="8.81640625" style="56" bestFit="1" customWidth="1"/>
    <col min="8726" max="8726" width="19.90625" style="56" customWidth="1"/>
    <col min="8727" max="8960" width="8.7265625" style="56"/>
    <col min="8961" max="8961" width="10.54296875" style="56" bestFit="1" customWidth="1"/>
    <col min="8962" max="8962" width="11.90625" style="56" customWidth="1"/>
    <col min="8963" max="8963" width="8.7265625" style="56"/>
    <col min="8964" max="8967" width="8.81640625" style="56" bestFit="1" customWidth="1"/>
    <col min="8968" max="8968" width="9.453125" style="56" customWidth="1"/>
    <col min="8969" max="8974" width="8.81640625" style="56" bestFit="1" customWidth="1"/>
    <col min="8975" max="8975" width="11" style="56" bestFit="1" customWidth="1"/>
    <col min="8976" max="8977" width="8.81640625" style="56" bestFit="1" customWidth="1"/>
    <col min="8978" max="8978" width="10.90625" style="56" bestFit="1" customWidth="1"/>
    <col min="8979" max="8979" width="8.81640625" style="56" bestFit="1" customWidth="1"/>
    <col min="8980" max="8980" width="8.7265625" style="56"/>
    <col min="8981" max="8981" width="8.81640625" style="56" bestFit="1" customWidth="1"/>
    <col min="8982" max="8982" width="19.90625" style="56" customWidth="1"/>
    <col min="8983" max="9216" width="8.7265625" style="56"/>
    <col min="9217" max="9217" width="10.54296875" style="56" bestFit="1" customWidth="1"/>
    <col min="9218" max="9218" width="11.90625" style="56" customWidth="1"/>
    <col min="9219" max="9219" width="8.7265625" style="56"/>
    <col min="9220" max="9223" width="8.81640625" style="56" bestFit="1" customWidth="1"/>
    <col min="9224" max="9224" width="9.453125" style="56" customWidth="1"/>
    <col min="9225" max="9230" width="8.81640625" style="56" bestFit="1" customWidth="1"/>
    <col min="9231" max="9231" width="11" style="56" bestFit="1" customWidth="1"/>
    <col min="9232" max="9233" width="8.81640625" style="56" bestFit="1" customWidth="1"/>
    <col min="9234" max="9234" width="10.90625" style="56" bestFit="1" customWidth="1"/>
    <col min="9235" max="9235" width="8.81640625" style="56" bestFit="1" customWidth="1"/>
    <col min="9236" max="9236" width="8.7265625" style="56"/>
    <col min="9237" max="9237" width="8.81640625" style="56" bestFit="1" customWidth="1"/>
    <col min="9238" max="9238" width="19.90625" style="56" customWidth="1"/>
    <col min="9239" max="9472" width="8.7265625" style="56"/>
    <col min="9473" max="9473" width="10.54296875" style="56" bestFit="1" customWidth="1"/>
    <col min="9474" max="9474" width="11.90625" style="56" customWidth="1"/>
    <col min="9475" max="9475" width="8.7265625" style="56"/>
    <col min="9476" max="9479" width="8.81640625" style="56" bestFit="1" customWidth="1"/>
    <col min="9480" max="9480" width="9.453125" style="56" customWidth="1"/>
    <col min="9481" max="9486" width="8.81640625" style="56" bestFit="1" customWidth="1"/>
    <col min="9487" max="9487" width="11" style="56" bestFit="1" customWidth="1"/>
    <col min="9488" max="9489" width="8.81640625" style="56" bestFit="1" customWidth="1"/>
    <col min="9490" max="9490" width="10.90625" style="56" bestFit="1" customWidth="1"/>
    <col min="9491" max="9491" width="8.81640625" style="56" bestFit="1" customWidth="1"/>
    <col min="9492" max="9492" width="8.7265625" style="56"/>
    <col min="9493" max="9493" width="8.81640625" style="56" bestFit="1" customWidth="1"/>
    <col min="9494" max="9494" width="19.90625" style="56" customWidth="1"/>
    <col min="9495" max="9728" width="8.7265625" style="56"/>
    <col min="9729" max="9729" width="10.54296875" style="56" bestFit="1" customWidth="1"/>
    <col min="9730" max="9730" width="11.90625" style="56" customWidth="1"/>
    <col min="9731" max="9731" width="8.7265625" style="56"/>
    <col min="9732" max="9735" width="8.81640625" style="56" bestFit="1" customWidth="1"/>
    <col min="9736" max="9736" width="9.453125" style="56" customWidth="1"/>
    <col min="9737" max="9742" width="8.81640625" style="56" bestFit="1" customWidth="1"/>
    <col min="9743" max="9743" width="11" style="56" bestFit="1" customWidth="1"/>
    <col min="9744" max="9745" width="8.81640625" style="56" bestFit="1" customWidth="1"/>
    <col min="9746" max="9746" width="10.90625" style="56" bestFit="1" customWidth="1"/>
    <col min="9747" max="9747" width="8.81640625" style="56" bestFit="1" customWidth="1"/>
    <col min="9748" max="9748" width="8.7265625" style="56"/>
    <col min="9749" max="9749" width="8.81640625" style="56" bestFit="1" customWidth="1"/>
    <col min="9750" max="9750" width="19.90625" style="56" customWidth="1"/>
    <col min="9751" max="9984" width="8.7265625" style="56"/>
    <col min="9985" max="9985" width="10.54296875" style="56" bestFit="1" customWidth="1"/>
    <col min="9986" max="9986" width="11.90625" style="56" customWidth="1"/>
    <col min="9987" max="9987" width="8.7265625" style="56"/>
    <col min="9988" max="9991" width="8.81640625" style="56" bestFit="1" customWidth="1"/>
    <col min="9992" max="9992" width="9.453125" style="56" customWidth="1"/>
    <col min="9993" max="9998" width="8.81640625" style="56" bestFit="1" customWidth="1"/>
    <col min="9999" max="9999" width="11" style="56" bestFit="1" customWidth="1"/>
    <col min="10000" max="10001" width="8.81640625" style="56" bestFit="1" customWidth="1"/>
    <col min="10002" max="10002" width="10.90625" style="56" bestFit="1" customWidth="1"/>
    <col min="10003" max="10003" width="8.81640625" style="56" bestFit="1" customWidth="1"/>
    <col min="10004" max="10004" width="8.7265625" style="56"/>
    <col min="10005" max="10005" width="8.81640625" style="56" bestFit="1" customWidth="1"/>
    <col min="10006" max="10006" width="19.90625" style="56" customWidth="1"/>
    <col min="10007" max="10240" width="8.7265625" style="56"/>
    <col min="10241" max="10241" width="10.54296875" style="56" bestFit="1" customWidth="1"/>
    <col min="10242" max="10242" width="11.90625" style="56" customWidth="1"/>
    <col min="10243" max="10243" width="8.7265625" style="56"/>
    <col min="10244" max="10247" width="8.81640625" style="56" bestFit="1" customWidth="1"/>
    <col min="10248" max="10248" width="9.453125" style="56" customWidth="1"/>
    <col min="10249" max="10254" width="8.81640625" style="56" bestFit="1" customWidth="1"/>
    <col min="10255" max="10255" width="11" style="56" bestFit="1" customWidth="1"/>
    <col min="10256" max="10257" width="8.81640625" style="56" bestFit="1" customWidth="1"/>
    <col min="10258" max="10258" width="10.90625" style="56" bestFit="1" customWidth="1"/>
    <col min="10259" max="10259" width="8.81640625" style="56" bestFit="1" customWidth="1"/>
    <col min="10260" max="10260" width="8.7265625" style="56"/>
    <col min="10261" max="10261" width="8.81640625" style="56" bestFit="1" customWidth="1"/>
    <col min="10262" max="10262" width="19.90625" style="56" customWidth="1"/>
    <col min="10263" max="10496" width="8.7265625" style="56"/>
    <col min="10497" max="10497" width="10.54296875" style="56" bestFit="1" customWidth="1"/>
    <col min="10498" max="10498" width="11.90625" style="56" customWidth="1"/>
    <col min="10499" max="10499" width="8.7265625" style="56"/>
    <col min="10500" max="10503" width="8.81640625" style="56" bestFit="1" customWidth="1"/>
    <col min="10504" max="10504" width="9.453125" style="56" customWidth="1"/>
    <col min="10505" max="10510" width="8.81640625" style="56" bestFit="1" customWidth="1"/>
    <col min="10511" max="10511" width="11" style="56" bestFit="1" customWidth="1"/>
    <col min="10512" max="10513" width="8.81640625" style="56" bestFit="1" customWidth="1"/>
    <col min="10514" max="10514" width="10.90625" style="56" bestFit="1" customWidth="1"/>
    <col min="10515" max="10515" width="8.81640625" style="56" bestFit="1" customWidth="1"/>
    <col min="10516" max="10516" width="8.7265625" style="56"/>
    <col min="10517" max="10517" width="8.81640625" style="56" bestFit="1" customWidth="1"/>
    <col min="10518" max="10518" width="19.90625" style="56" customWidth="1"/>
    <col min="10519" max="10752" width="8.7265625" style="56"/>
    <col min="10753" max="10753" width="10.54296875" style="56" bestFit="1" customWidth="1"/>
    <col min="10754" max="10754" width="11.90625" style="56" customWidth="1"/>
    <col min="10755" max="10755" width="8.7265625" style="56"/>
    <col min="10756" max="10759" width="8.81640625" style="56" bestFit="1" customWidth="1"/>
    <col min="10760" max="10760" width="9.453125" style="56" customWidth="1"/>
    <col min="10761" max="10766" width="8.81640625" style="56" bestFit="1" customWidth="1"/>
    <col min="10767" max="10767" width="11" style="56" bestFit="1" customWidth="1"/>
    <col min="10768" max="10769" width="8.81640625" style="56" bestFit="1" customWidth="1"/>
    <col min="10770" max="10770" width="10.90625" style="56" bestFit="1" customWidth="1"/>
    <col min="10771" max="10771" width="8.81640625" style="56" bestFit="1" customWidth="1"/>
    <col min="10772" max="10772" width="8.7265625" style="56"/>
    <col min="10773" max="10773" width="8.81640625" style="56" bestFit="1" customWidth="1"/>
    <col min="10774" max="10774" width="19.90625" style="56" customWidth="1"/>
    <col min="10775" max="11008" width="8.7265625" style="56"/>
    <col min="11009" max="11009" width="10.54296875" style="56" bestFit="1" customWidth="1"/>
    <col min="11010" max="11010" width="11.90625" style="56" customWidth="1"/>
    <col min="11011" max="11011" width="8.7265625" style="56"/>
    <col min="11012" max="11015" width="8.81640625" style="56" bestFit="1" customWidth="1"/>
    <col min="11016" max="11016" width="9.453125" style="56" customWidth="1"/>
    <col min="11017" max="11022" width="8.81640625" style="56" bestFit="1" customWidth="1"/>
    <col min="11023" max="11023" width="11" style="56" bestFit="1" customWidth="1"/>
    <col min="11024" max="11025" width="8.81640625" style="56" bestFit="1" customWidth="1"/>
    <col min="11026" max="11026" width="10.90625" style="56" bestFit="1" customWidth="1"/>
    <col min="11027" max="11027" width="8.81640625" style="56" bestFit="1" customWidth="1"/>
    <col min="11028" max="11028" width="8.7265625" style="56"/>
    <col min="11029" max="11029" width="8.81640625" style="56" bestFit="1" customWidth="1"/>
    <col min="11030" max="11030" width="19.90625" style="56" customWidth="1"/>
    <col min="11031" max="11264" width="8.7265625" style="56"/>
    <col min="11265" max="11265" width="10.54296875" style="56" bestFit="1" customWidth="1"/>
    <col min="11266" max="11266" width="11.90625" style="56" customWidth="1"/>
    <col min="11267" max="11267" width="8.7265625" style="56"/>
    <col min="11268" max="11271" width="8.81640625" style="56" bestFit="1" customWidth="1"/>
    <col min="11272" max="11272" width="9.453125" style="56" customWidth="1"/>
    <col min="11273" max="11278" width="8.81640625" style="56" bestFit="1" customWidth="1"/>
    <col min="11279" max="11279" width="11" style="56" bestFit="1" customWidth="1"/>
    <col min="11280" max="11281" width="8.81640625" style="56" bestFit="1" customWidth="1"/>
    <col min="11282" max="11282" width="10.90625" style="56" bestFit="1" customWidth="1"/>
    <col min="11283" max="11283" width="8.81640625" style="56" bestFit="1" customWidth="1"/>
    <col min="11284" max="11284" width="8.7265625" style="56"/>
    <col min="11285" max="11285" width="8.81640625" style="56" bestFit="1" customWidth="1"/>
    <col min="11286" max="11286" width="19.90625" style="56" customWidth="1"/>
    <col min="11287" max="11520" width="8.7265625" style="56"/>
    <col min="11521" max="11521" width="10.54296875" style="56" bestFit="1" customWidth="1"/>
    <col min="11522" max="11522" width="11.90625" style="56" customWidth="1"/>
    <col min="11523" max="11523" width="8.7265625" style="56"/>
    <col min="11524" max="11527" width="8.81640625" style="56" bestFit="1" customWidth="1"/>
    <col min="11528" max="11528" width="9.453125" style="56" customWidth="1"/>
    <col min="11529" max="11534" width="8.81640625" style="56" bestFit="1" customWidth="1"/>
    <col min="11535" max="11535" width="11" style="56" bestFit="1" customWidth="1"/>
    <col min="11536" max="11537" width="8.81640625" style="56" bestFit="1" customWidth="1"/>
    <col min="11538" max="11538" width="10.90625" style="56" bestFit="1" customWidth="1"/>
    <col min="11539" max="11539" width="8.81640625" style="56" bestFit="1" customWidth="1"/>
    <col min="11540" max="11540" width="8.7265625" style="56"/>
    <col min="11541" max="11541" width="8.81640625" style="56" bestFit="1" customWidth="1"/>
    <col min="11542" max="11542" width="19.90625" style="56" customWidth="1"/>
    <col min="11543" max="11776" width="8.7265625" style="56"/>
    <col min="11777" max="11777" width="10.54296875" style="56" bestFit="1" customWidth="1"/>
    <col min="11778" max="11778" width="11.90625" style="56" customWidth="1"/>
    <col min="11779" max="11779" width="8.7265625" style="56"/>
    <col min="11780" max="11783" width="8.81640625" style="56" bestFit="1" customWidth="1"/>
    <col min="11784" max="11784" width="9.453125" style="56" customWidth="1"/>
    <col min="11785" max="11790" width="8.81640625" style="56" bestFit="1" customWidth="1"/>
    <col min="11791" max="11791" width="11" style="56" bestFit="1" customWidth="1"/>
    <col min="11792" max="11793" width="8.81640625" style="56" bestFit="1" customWidth="1"/>
    <col min="11794" max="11794" width="10.90625" style="56" bestFit="1" customWidth="1"/>
    <col min="11795" max="11795" width="8.81640625" style="56" bestFit="1" customWidth="1"/>
    <col min="11796" max="11796" width="8.7265625" style="56"/>
    <col min="11797" max="11797" width="8.81640625" style="56" bestFit="1" customWidth="1"/>
    <col min="11798" max="11798" width="19.90625" style="56" customWidth="1"/>
    <col min="11799" max="12032" width="8.7265625" style="56"/>
    <col min="12033" max="12033" width="10.54296875" style="56" bestFit="1" customWidth="1"/>
    <col min="12034" max="12034" width="11.90625" style="56" customWidth="1"/>
    <col min="12035" max="12035" width="8.7265625" style="56"/>
    <col min="12036" max="12039" width="8.81640625" style="56" bestFit="1" customWidth="1"/>
    <col min="12040" max="12040" width="9.453125" style="56" customWidth="1"/>
    <col min="12041" max="12046" width="8.81640625" style="56" bestFit="1" customWidth="1"/>
    <col min="12047" max="12047" width="11" style="56" bestFit="1" customWidth="1"/>
    <col min="12048" max="12049" width="8.81640625" style="56" bestFit="1" customWidth="1"/>
    <col min="12050" max="12050" width="10.90625" style="56" bestFit="1" customWidth="1"/>
    <col min="12051" max="12051" width="8.81640625" style="56" bestFit="1" customWidth="1"/>
    <col min="12052" max="12052" width="8.7265625" style="56"/>
    <col min="12053" max="12053" width="8.81640625" style="56" bestFit="1" customWidth="1"/>
    <col min="12054" max="12054" width="19.90625" style="56" customWidth="1"/>
    <col min="12055" max="12288" width="8.7265625" style="56"/>
    <col min="12289" max="12289" width="10.54296875" style="56" bestFit="1" customWidth="1"/>
    <col min="12290" max="12290" width="11.90625" style="56" customWidth="1"/>
    <col min="12291" max="12291" width="8.7265625" style="56"/>
    <col min="12292" max="12295" width="8.81640625" style="56" bestFit="1" customWidth="1"/>
    <col min="12296" max="12296" width="9.453125" style="56" customWidth="1"/>
    <col min="12297" max="12302" width="8.81640625" style="56" bestFit="1" customWidth="1"/>
    <col min="12303" max="12303" width="11" style="56" bestFit="1" customWidth="1"/>
    <col min="12304" max="12305" width="8.81640625" style="56" bestFit="1" customWidth="1"/>
    <col min="12306" max="12306" width="10.90625" style="56" bestFit="1" customWidth="1"/>
    <col min="12307" max="12307" width="8.81640625" style="56" bestFit="1" customWidth="1"/>
    <col min="12308" max="12308" width="8.7265625" style="56"/>
    <col min="12309" max="12309" width="8.81640625" style="56" bestFit="1" customWidth="1"/>
    <col min="12310" max="12310" width="19.90625" style="56" customWidth="1"/>
    <col min="12311" max="12544" width="8.7265625" style="56"/>
    <col min="12545" max="12545" width="10.54296875" style="56" bestFit="1" customWidth="1"/>
    <col min="12546" max="12546" width="11.90625" style="56" customWidth="1"/>
    <col min="12547" max="12547" width="8.7265625" style="56"/>
    <col min="12548" max="12551" width="8.81640625" style="56" bestFit="1" customWidth="1"/>
    <col min="12552" max="12552" width="9.453125" style="56" customWidth="1"/>
    <col min="12553" max="12558" width="8.81640625" style="56" bestFit="1" customWidth="1"/>
    <col min="12559" max="12559" width="11" style="56" bestFit="1" customWidth="1"/>
    <col min="12560" max="12561" width="8.81640625" style="56" bestFit="1" customWidth="1"/>
    <col min="12562" max="12562" width="10.90625" style="56" bestFit="1" customWidth="1"/>
    <col min="12563" max="12563" width="8.81640625" style="56" bestFit="1" customWidth="1"/>
    <col min="12564" max="12564" width="8.7265625" style="56"/>
    <col min="12565" max="12565" width="8.81640625" style="56" bestFit="1" customWidth="1"/>
    <col min="12566" max="12566" width="19.90625" style="56" customWidth="1"/>
    <col min="12567" max="12800" width="8.7265625" style="56"/>
    <col min="12801" max="12801" width="10.54296875" style="56" bestFit="1" customWidth="1"/>
    <col min="12802" max="12802" width="11.90625" style="56" customWidth="1"/>
    <col min="12803" max="12803" width="8.7265625" style="56"/>
    <col min="12804" max="12807" width="8.81640625" style="56" bestFit="1" customWidth="1"/>
    <col min="12808" max="12808" width="9.453125" style="56" customWidth="1"/>
    <col min="12809" max="12814" width="8.81640625" style="56" bestFit="1" customWidth="1"/>
    <col min="12815" max="12815" width="11" style="56" bestFit="1" customWidth="1"/>
    <col min="12816" max="12817" width="8.81640625" style="56" bestFit="1" customWidth="1"/>
    <col min="12818" max="12818" width="10.90625" style="56" bestFit="1" customWidth="1"/>
    <col min="12819" max="12819" width="8.81640625" style="56" bestFit="1" customWidth="1"/>
    <col min="12820" max="12820" width="8.7265625" style="56"/>
    <col min="12821" max="12821" width="8.81640625" style="56" bestFit="1" customWidth="1"/>
    <col min="12822" max="12822" width="19.90625" style="56" customWidth="1"/>
    <col min="12823" max="13056" width="8.7265625" style="56"/>
    <col min="13057" max="13057" width="10.54296875" style="56" bestFit="1" customWidth="1"/>
    <col min="13058" max="13058" width="11.90625" style="56" customWidth="1"/>
    <col min="13059" max="13059" width="8.7265625" style="56"/>
    <col min="13060" max="13063" width="8.81640625" style="56" bestFit="1" customWidth="1"/>
    <col min="13064" max="13064" width="9.453125" style="56" customWidth="1"/>
    <col min="13065" max="13070" width="8.81640625" style="56" bestFit="1" customWidth="1"/>
    <col min="13071" max="13071" width="11" style="56" bestFit="1" customWidth="1"/>
    <col min="13072" max="13073" width="8.81640625" style="56" bestFit="1" customWidth="1"/>
    <col min="13074" max="13074" width="10.90625" style="56" bestFit="1" customWidth="1"/>
    <col min="13075" max="13075" width="8.81640625" style="56" bestFit="1" customWidth="1"/>
    <col min="13076" max="13076" width="8.7265625" style="56"/>
    <col min="13077" max="13077" width="8.81640625" style="56" bestFit="1" customWidth="1"/>
    <col min="13078" max="13078" width="19.90625" style="56" customWidth="1"/>
    <col min="13079" max="13312" width="8.7265625" style="56"/>
    <col min="13313" max="13313" width="10.54296875" style="56" bestFit="1" customWidth="1"/>
    <col min="13314" max="13314" width="11.90625" style="56" customWidth="1"/>
    <col min="13315" max="13315" width="8.7265625" style="56"/>
    <col min="13316" max="13319" width="8.81640625" style="56" bestFit="1" customWidth="1"/>
    <col min="13320" max="13320" width="9.453125" style="56" customWidth="1"/>
    <col min="13321" max="13326" width="8.81640625" style="56" bestFit="1" customWidth="1"/>
    <col min="13327" max="13327" width="11" style="56" bestFit="1" customWidth="1"/>
    <col min="13328" max="13329" width="8.81640625" style="56" bestFit="1" customWidth="1"/>
    <col min="13330" max="13330" width="10.90625" style="56" bestFit="1" customWidth="1"/>
    <col min="13331" max="13331" width="8.81640625" style="56" bestFit="1" customWidth="1"/>
    <col min="13332" max="13332" width="8.7265625" style="56"/>
    <col min="13333" max="13333" width="8.81640625" style="56" bestFit="1" customWidth="1"/>
    <col min="13334" max="13334" width="19.90625" style="56" customWidth="1"/>
    <col min="13335" max="13568" width="8.7265625" style="56"/>
    <col min="13569" max="13569" width="10.54296875" style="56" bestFit="1" customWidth="1"/>
    <col min="13570" max="13570" width="11.90625" style="56" customWidth="1"/>
    <col min="13571" max="13571" width="8.7265625" style="56"/>
    <col min="13572" max="13575" width="8.81640625" style="56" bestFit="1" customWidth="1"/>
    <col min="13576" max="13576" width="9.453125" style="56" customWidth="1"/>
    <col min="13577" max="13582" width="8.81640625" style="56" bestFit="1" customWidth="1"/>
    <col min="13583" max="13583" width="11" style="56" bestFit="1" customWidth="1"/>
    <col min="13584" max="13585" width="8.81640625" style="56" bestFit="1" customWidth="1"/>
    <col min="13586" max="13586" width="10.90625" style="56" bestFit="1" customWidth="1"/>
    <col min="13587" max="13587" width="8.81640625" style="56" bestFit="1" customWidth="1"/>
    <col min="13588" max="13588" width="8.7265625" style="56"/>
    <col min="13589" max="13589" width="8.81640625" style="56" bestFit="1" customWidth="1"/>
    <col min="13590" max="13590" width="19.90625" style="56" customWidth="1"/>
    <col min="13591" max="13824" width="8.7265625" style="56"/>
    <col min="13825" max="13825" width="10.54296875" style="56" bestFit="1" customWidth="1"/>
    <col min="13826" max="13826" width="11.90625" style="56" customWidth="1"/>
    <col min="13827" max="13827" width="8.7265625" style="56"/>
    <col min="13828" max="13831" width="8.81640625" style="56" bestFit="1" customWidth="1"/>
    <col min="13832" max="13832" width="9.453125" style="56" customWidth="1"/>
    <col min="13833" max="13838" width="8.81640625" style="56" bestFit="1" customWidth="1"/>
    <col min="13839" max="13839" width="11" style="56" bestFit="1" customWidth="1"/>
    <col min="13840" max="13841" width="8.81640625" style="56" bestFit="1" customWidth="1"/>
    <col min="13842" max="13842" width="10.90625" style="56" bestFit="1" customWidth="1"/>
    <col min="13843" max="13843" width="8.81640625" style="56" bestFit="1" customWidth="1"/>
    <col min="13844" max="13844" width="8.7265625" style="56"/>
    <col min="13845" max="13845" width="8.81640625" style="56" bestFit="1" customWidth="1"/>
    <col min="13846" max="13846" width="19.90625" style="56" customWidth="1"/>
    <col min="13847" max="14080" width="8.7265625" style="56"/>
    <col min="14081" max="14081" width="10.54296875" style="56" bestFit="1" customWidth="1"/>
    <col min="14082" max="14082" width="11.90625" style="56" customWidth="1"/>
    <col min="14083" max="14083" width="8.7265625" style="56"/>
    <col min="14084" max="14087" width="8.81640625" style="56" bestFit="1" customWidth="1"/>
    <col min="14088" max="14088" width="9.453125" style="56" customWidth="1"/>
    <col min="14089" max="14094" width="8.81640625" style="56" bestFit="1" customWidth="1"/>
    <col min="14095" max="14095" width="11" style="56" bestFit="1" customWidth="1"/>
    <col min="14096" max="14097" width="8.81640625" style="56" bestFit="1" customWidth="1"/>
    <col min="14098" max="14098" width="10.90625" style="56" bestFit="1" customWidth="1"/>
    <col min="14099" max="14099" width="8.81640625" style="56" bestFit="1" customWidth="1"/>
    <col min="14100" max="14100" width="8.7265625" style="56"/>
    <col min="14101" max="14101" width="8.81640625" style="56" bestFit="1" customWidth="1"/>
    <col min="14102" max="14102" width="19.90625" style="56" customWidth="1"/>
    <col min="14103" max="14336" width="8.7265625" style="56"/>
    <col min="14337" max="14337" width="10.54296875" style="56" bestFit="1" customWidth="1"/>
    <col min="14338" max="14338" width="11.90625" style="56" customWidth="1"/>
    <col min="14339" max="14339" width="8.7265625" style="56"/>
    <col min="14340" max="14343" width="8.81640625" style="56" bestFit="1" customWidth="1"/>
    <col min="14344" max="14344" width="9.453125" style="56" customWidth="1"/>
    <col min="14345" max="14350" width="8.81640625" style="56" bestFit="1" customWidth="1"/>
    <col min="14351" max="14351" width="11" style="56" bestFit="1" customWidth="1"/>
    <col min="14352" max="14353" width="8.81640625" style="56" bestFit="1" customWidth="1"/>
    <col min="14354" max="14354" width="10.90625" style="56" bestFit="1" customWidth="1"/>
    <col min="14355" max="14355" width="8.81640625" style="56" bestFit="1" customWidth="1"/>
    <col min="14356" max="14356" width="8.7265625" style="56"/>
    <col min="14357" max="14357" width="8.81640625" style="56" bestFit="1" customWidth="1"/>
    <col min="14358" max="14358" width="19.90625" style="56" customWidth="1"/>
    <col min="14359" max="14592" width="8.7265625" style="56"/>
    <col min="14593" max="14593" width="10.54296875" style="56" bestFit="1" customWidth="1"/>
    <col min="14594" max="14594" width="11.90625" style="56" customWidth="1"/>
    <col min="14595" max="14595" width="8.7265625" style="56"/>
    <col min="14596" max="14599" width="8.81640625" style="56" bestFit="1" customWidth="1"/>
    <col min="14600" max="14600" width="9.453125" style="56" customWidth="1"/>
    <col min="14601" max="14606" width="8.81640625" style="56" bestFit="1" customWidth="1"/>
    <col min="14607" max="14607" width="11" style="56" bestFit="1" customWidth="1"/>
    <col min="14608" max="14609" width="8.81640625" style="56" bestFit="1" customWidth="1"/>
    <col min="14610" max="14610" width="10.90625" style="56" bestFit="1" customWidth="1"/>
    <col min="14611" max="14611" width="8.81640625" style="56" bestFit="1" customWidth="1"/>
    <col min="14612" max="14612" width="8.7265625" style="56"/>
    <col min="14613" max="14613" width="8.81640625" style="56" bestFit="1" customWidth="1"/>
    <col min="14614" max="14614" width="19.90625" style="56" customWidth="1"/>
    <col min="14615" max="14848" width="8.7265625" style="56"/>
    <col min="14849" max="14849" width="10.54296875" style="56" bestFit="1" customWidth="1"/>
    <col min="14850" max="14850" width="11.90625" style="56" customWidth="1"/>
    <col min="14851" max="14851" width="8.7265625" style="56"/>
    <col min="14852" max="14855" width="8.81640625" style="56" bestFit="1" customWidth="1"/>
    <col min="14856" max="14856" width="9.453125" style="56" customWidth="1"/>
    <col min="14857" max="14862" width="8.81640625" style="56" bestFit="1" customWidth="1"/>
    <col min="14863" max="14863" width="11" style="56" bestFit="1" customWidth="1"/>
    <col min="14864" max="14865" width="8.81640625" style="56" bestFit="1" customWidth="1"/>
    <col min="14866" max="14866" width="10.90625" style="56" bestFit="1" customWidth="1"/>
    <col min="14867" max="14867" width="8.81640625" style="56" bestFit="1" customWidth="1"/>
    <col min="14868" max="14868" width="8.7265625" style="56"/>
    <col min="14869" max="14869" width="8.81640625" style="56" bestFit="1" customWidth="1"/>
    <col min="14870" max="14870" width="19.90625" style="56" customWidth="1"/>
    <col min="14871" max="15104" width="8.7265625" style="56"/>
    <col min="15105" max="15105" width="10.54296875" style="56" bestFit="1" customWidth="1"/>
    <col min="15106" max="15106" width="11.90625" style="56" customWidth="1"/>
    <col min="15107" max="15107" width="8.7265625" style="56"/>
    <col min="15108" max="15111" width="8.81640625" style="56" bestFit="1" customWidth="1"/>
    <col min="15112" max="15112" width="9.453125" style="56" customWidth="1"/>
    <col min="15113" max="15118" width="8.81640625" style="56" bestFit="1" customWidth="1"/>
    <col min="15119" max="15119" width="11" style="56" bestFit="1" customWidth="1"/>
    <col min="15120" max="15121" width="8.81640625" style="56" bestFit="1" customWidth="1"/>
    <col min="15122" max="15122" width="10.90625" style="56" bestFit="1" customWidth="1"/>
    <col min="15123" max="15123" width="8.81640625" style="56" bestFit="1" customWidth="1"/>
    <col min="15124" max="15124" width="8.7265625" style="56"/>
    <col min="15125" max="15125" width="8.81640625" style="56" bestFit="1" customWidth="1"/>
    <col min="15126" max="15126" width="19.90625" style="56" customWidth="1"/>
    <col min="15127" max="15360" width="8.7265625" style="56"/>
    <col min="15361" max="15361" width="10.54296875" style="56" bestFit="1" customWidth="1"/>
    <col min="15362" max="15362" width="11.90625" style="56" customWidth="1"/>
    <col min="15363" max="15363" width="8.7265625" style="56"/>
    <col min="15364" max="15367" width="8.81640625" style="56" bestFit="1" customWidth="1"/>
    <col min="15368" max="15368" width="9.453125" style="56" customWidth="1"/>
    <col min="15369" max="15374" width="8.81640625" style="56" bestFit="1" customWidth="1"/>
    <col min="15375" max="15375" width="11" style="56" bestFit="1" customWidth="1"/>
    <col min="15376" max="15377" width="8.81640625" style="56" bestFit="1" customWidth="1"/>
    <col min="15378" max="15378" width="10.90625" style="56" bestFit="1" customWidth="1"/>
    <col min="15379" max="15379" width="8.81640625" style="56" bestFit="1" customWidth="1"/>
    <col min="15380" max="15380" width="8.7265625" style="56"/>
    <col min="15381" max="15381" width="8.81640625" style="56" bestFit="1" customWidth="1"/>
    <col min="15382" max="15382" width="19.90625" style="56" customWidth="1"/>
    <col min="15383" max="15616" width="8.7265625" style="56"/>
    <col min="15617" max="15617" width="10.54296875" style="56" bestFit="1" customWidth="1"/>
    <col min="15618" max="15618" width="11.90625" style="56" customWidth="1"/>
    <col min="15619" max="15619" width="8.7265625" style="56"/>
    <col min="15620" max="15623" width="8.81640625" style="56" bestFit="1" customWidth="1"/>
    <col min="15624" max="15624" width="9.453125" style="56" customWidth="1"/>
    <col min="15625" max="15630" width="8.81640625" style="56" bestFit="1" customWidth="1"/>
    <col min="15631" max="15631" width="11" style="56" bestFit="1" customWidth="1"/>
    <col min="15632" max="15633" width="8.81640625" style="56" bestFit="1" customWidth="1"/>
    <col min="15634" max="15634" width="10.90625" style="56" bestFit="1" customWidth="1"/>
    <col min="15635" max="15635" width="8.81640625" style="56" bestFit="1" customWidth="1"/>
    <col min="15636" max="15636" width="8.7265625" style="56"/>
    <col min="15637" max="15637" width="8.81640625" style="56" bestFit="1" customWidth="1"/>
    <col min="15638" max="15638" width="19.90625" style="56" customWidth="1"/>
    <col min="15639" max="15872" width="8.7265625" style="56"/>
    <col min="15873" max="15873" width="10.54296875" style="56" bestFit="1" customWidth="1"/>
    <col min="15874" max="15874" width="11.90625" style="56" customWidth="1"/>
    <col min="15875" max="15875" width="8.7265625" style="56"/>
    <col min="15876" max="15879" width="8.81640625" style="56" bestFit="1" customWidth="1"/>
    <col min="15880" max="15880" width="9.453125" style="56" customWidth="1"/>
    <col min="15881" max="15886" width="8.81640625" style="56" bestFit="1" customWidth="1"/>
    <col min="15887" max="15887" width="11" style="56" bestFit="1" customWidth="1"/>
    <col min="15888" max="15889" width="8.81640625" style="56" bestFit="1" customWidth="1"/>
    <col min="15890" max="15890" width="10.90625" style="56" bestFit="1" customWidth="1"/>
    <col min="15891" max="15891" width="8.81640625" style="56" bestFit="1" customWidth="1"/>
    <col min="15892" max="15892" width="8.7265625" style="56"/>
    <col min="15893" max="15893" width="8.81640625" style="56" bestFit="1" customWidth="1"/>
    <col min="15894" max="15894" width="19.90625" style="56" customWidth="1"/>
    <col min="15895" max="16128" width="8.7265625" style="56"/>
    <col min="16129" max="16129" width="10.54296875" style="56" bestFit="1" customWidth="1"/>
    <col min="16130" max="16130" width="11.90625" style="56" customWidth="1"/>
    <col min="16131" max="16131" width="8.7265625" style="56"/>
    <col min="16132" max="16135" width="8.81640625" style="56" bestFit="1" customWidth="1"/>
    <col min="16136" max="16136" width="9.453125" style="56" customWidth="1"/>
    <col min="16137" max="16142" width="8.81640625" style="56" bestFit="1" customWidth="1"/>
    <col min="16143" max="16143" width="11" style="56" bestFit="1" customWidth="1"/>
    <col min="16144" max="16145" width="8.81640625" style="56" bestFit="1" customWidth="1"/>
    <col min="16146" max="16146" width="10.90625" style="56" bestFit="1" customWidth="1"/>
    <col min="16147" max="16147" width="8.81640625" style="56" bestFit="1" customWidth="1"/>
    <col min="16148" max="16148" width="8.7265625" style="56"/>
    <col min="16149" max="16149" width="8.81640625" style="56" bestFit="1" customWidth="1"/>
    <col min="16150" max="16150" width="19.90625" style="56" customWidth="1"/>
    <col min="16151" max="16384" width="8.7265625" style="56"/>
  </cols>
  <sheetData>
    <row r="1" spans="1:25" x14ac:dyDescent="0.3">
      <c r="A1" s="113" t="s">
        <v>11</v>
      </c>
      <c r="B1" s="113"/>
      <c r="C1" s="114"/>
      <c r="D1" s="114"/>
      <c r="E1" s="114"/>
      <c r="F1" s="114"/>
      <c r="G1" s="114"/>
      <c r="H1" s="114"/>
      <c r="I1" s="114"/>
      <c r="J1" s="114"/>
      <c r="K1" s="114"/>
      <c r="L1" s="48"/>
      <c r="M1" s="46"/>
      <c r="N1" s="46"/>
      <c r="O1" s="46"/>
      <c r="P1" s="46"/>
      <c r="Q1" s="46"/>
      <c r="R1" s="46"/>
      <c r="S1" s="46"/>
      <c r="T1" s="46"/>
      <c r="U1" s="46"/>
      <c r="V1" s="115"/>
    </row>
    <row r="2" spans="1:25" x14ac:dyDescent="0.3">
      <c r="A2" s="113" t="s">
        <v>76</v>
      </c>
      <c r="B2" s="113"/>
      <c r="C2" s="50"/>
      <c r="D2" s="64"/>
      <c r="E2" s="114"/>
      <c r="F2" s="114"/>
      <c r="G2" s="114"/>
      <c r="H2" s="114"/>
      <c r="I2" s="52"/>
      <c r="J2" s="50"/>
      <c r="K2" s="116" t="s">
        <v>77</v>
      </c>
      <c r="L2" s="117"/>
      <c r="M2" s="64"/>
      <c r="N2" s="50"/>
      <c r="O2" s="114"/>
      <c r="P2" s="114"/>
      <c r="Q2" s="114"/>
      <c r="R2" s="114"/>
      <c r="S2" s="114"/>
      <c r="T2" s="52"/>
      <c r="U2" s="50"/>
      <c r="V2" s="118"/>
    </row>
    <row r="3" spans="1:25" x14ac:dyDescent="0.3">
      <c r="A3" s="119" t="s">
        <v>149</v>
      </c>
      <c r="B3" s="119"/>
      <c r="C3" s="58"/>
      <c r="D3" s="58"/>
      <c r="E3" s="52"/>
      <c r="F3" s="52"/>
      <c r="G3" s="52"/>
      <c r="H3" s="52" t="s">
        <v>150</v>
      </c>
      <c r="I3" s="52"/>
      <c r="J3" s="52"/>
      <c r="K3" s="52"/>
      <c r="L3" s="120"/>
      <c r="M3" s="58"/>
      <c r="N3" s="58"/>
      <c r="O3" s="52"/>
      <c r="P3" s="52"/>
      <c r="Q3" s="52"/>
      <c r="R3" s="52"/>
      <c r="S3" s="52"/>
      <c r="T3" s="52"/>
      <c r="U3" s="52"/>
      <c r="V3" s="121"/>
    </row>
    <row r="4" spans="1:25" x14ac:dyDescent="0.3">
      <c r="A4" s="113" t="s">
        <v>151</v>
      </c>
      <c r="B4" s="113"/>
      <c r="C4" s="64"/>
      <c r="D4" s="64"/>
      <c r="E4" s="52"/>
      <c r="F4" s="52"/>
      <c r="G4" s="52"/>
      <c r="H4" s="52"/>
      <c r="I4" s="52"/>
      <c r="J4" s="52"/>
      <c r="K4" s="52"/>
      <c r="L4" s="117"/>
      <c r="M4" s="64"/>
      <c r="N4" s="64"/>
      <c r="O4" s="52"/>
      <c r="P4" s="52"/>
      <c r="Q4" s="52"/>
      <c r="R4" s="52"/>
      <c r="S4" s="52"/>
      <c r="T4" s="52"/>
      <c r="U4" s="52"/>
      <c r="V4" s="121"/>
    </row>
    <row r="5" spans="1:25" x14ac:dyDescent="0.3">
      <c r="A5" s="113" t="s">
        <v>152</v>
      </c>
      <c r="B5" s="113"/>
      <c r="C5" s="58"/>
      <c r="D5" s="64"/>
      <c r="E5" s="52"/>
      <c r="F5" s="52"/>
      <c r="G5" s="52" t="s">
        <v>213</v>
      </c>
      <c r="H5" s="52"/>
      <c r="I5" s="52"/>
      <c r="J5" s="52"/>
      <c r="K5" s="52"/>
      <c r="L5" s="122"/>
      <c r="M5" s="123"/>
      <c r="N5" s="64"/>
      <c r="O5" s="52"/>
      <c r="P5" s="52"/>
      <c r="Q5" s="52"/>
      <c r="R5" s="52"/>
      <c r="S5" s="52"/>
      <c r="T5" s="52"/>
      <c r="U5" s="52"/>
      <c r="V5" s="121"/>
    </row>
    <row r="6" spans="1:25" x14ac:dyDescent="0.3">
      <c r="A6" s="113" t="s">
        <v>153</v>
      </c>
      <c r="B6" s="113"/>
      <c r="C6" s="64"/>
      <c r="D6" s="64"/>
      <c r="E6" s="52"/>
      <c r="F6" s="52"/>
      <c r="G6" s="52"/>
      <c r="H6" s="52"/>
      <c r="I6" s="52"/>
      <c r="J6" s="52"/>
      <c r="K6" s="52"/>
      <c r="L6" s="117"/>
      <c r="M6" s="64"/>
      <c r="N6" s="64"/>
      <c r="O6" s="52"/>
      <c r="P6" s="52"/>
      <c r="Q6" s="52"/>
      <c r="R6" s="124"/>
      <c r="S6" s="124"/>
      <c r="T6" s="124"/>
      <c r="U6" s="125"/>
      <c r="V6" s="126"/>
    </row>
    <row r="7" spans="1:25" x14ac:dyDescent="0.3">
      <c r="A7" s="127"/>
      <c r="B7" s="127"/>
      <c r="C7" s="64"/>
      <c r="D7" s="64"/>
      <c r="E7" s="52"/>
      <c r="F7" s="52"/>
      <c r="G7" s="52"/>
      <c r="H7" s="52"/>
      <c r="I7" s="52"/>
      <c r="J7" s="52"/>
      <c r="K7" s="52"/>
      <c r="L7" s="117"/>
      <c r="M7" s="64"/>
      <c r="N7" s="64"/>
      <c r="O7" s="52"/>
      <c r="P7" s="52"/>
      <c r="Q7" s="52"/>
      <c r="R7" s="52"/>
      <c r="S7" s="52"/>
      <c r="T7" s="52"/>
      <c r="U7" s="52"/>
      <c r="V7" s="121"/>
    </row>
    <row r="8" spans="1:25" ht="40.450000000000003" thickBot="1" x14ac:dyDescent="0.35">
      <c r="A8" s="162"/>
      <c r="B8" s="162"/>
      <c r="C8" s="86"/>
      <c r="D8" s="163" t="s">
        <v>157</v>
      </c>
      <c r="E8" s="163"/>
      <c r="F8" s="163"/>
      <c r="G8" s="163"/>
      <c r="H8" s="163"/>
      <c r="I8" s="163"/>
      <c r="J8" s="163"/>
      <c r="K8" s="163"/>
      <c r="L8" s="163"/>
      <c r="M8" s="86"/>
      <c r="N8" s="86"/>
      <c r="O8" s="86"/>
      <c r="P8" s="84"/>
      <c r="Q8" s="84"/>
      <c r="R8" s="84"/>
      <c r="S8" s="86"/>
      <c r="T8" s="87"/>
      <c r="U8" s="86"/>
      <c r="V8" s="87"/>
      <c r="W8" s="84"/>
      <c r="X8" s="84"/>
      <c r="Y8" s="164"/>
    </row>
    <row r="9" spans="1:25" s="95" customFormat="1" ht="31.6" customHeight="1" thickBot="1" x14ac:dyDescent="0.4">
      <c r="A9" s="100" t="s">
        <v>156</v>
      </c>
      <c r="B9" s="165" t="s">
        <v>109</v>
      </c>
      <c r="C9" s="101" t="s">
        <v>121</v>
      </c>
      <c r="D9" s="101">
        <v>1</v>
      </c>
      <c r="E9" s="101">
        <v>2</v>
      </c>
      <c r="F9" s="101">
        <v>3</v>
      </c>
      <c r="G9" s="101">
        <v>4</v>
      </c>
      <c r="H9" s="101">
        <v>5</v>
      </c>
      <c r="I9" s="101">
        <v>6</v>
      </c>
      <c r="J9" s="101">
        <v>7</v>
      </c>
      <c r="K9" s="101">
        <v>8</v>
      </c>
      <c r="L9" s="101">
        <v>9</v>
      </c>
      <c r="M9" s="101" t="s">
        <v>111</v>
      </c>
      <c r="N9" s="101" t="s">
        <v>112</v>
      </c>
      <c r="O9" s="101" t="s">
        <v>148</v>
      </c>
      <c r="P9" s="101" t="s">
        <v>114</v>
      </c>
      <c r="Q9" s="101" t="s">
        <v>44</v>
      </c>
      <c r="R9" s="101" t="s">
        <v>154</v>
      </c>
      <c r="S9" s="101" t="s">
        <v>155</v>
      </c>
      <c r="T9" s="102" t="s">
        <v>29</v>
      </c>
      <c r="U9" s="101" t="s">
        <v>117</v>
      </c>
      <c r="V9" s="102" t="s">
        <v>31</v>
      </c>
      <c r="W9" s="166" t="s">
        <v>118</v>
      </c>
      <c r="X9" s="167" t="s">
        <v>119</v>
      </c>
      <c r="Y9" s="168" t="s">
        <v>120</v>
      </c>
    </row>
    <row r="10" spans="1:25" x14ac:dyDescent="0.3">
      <c r="A10" s="147">
        <v>42572</v>
      </c>
      <c r="B10" s="76" t="s">
        <v>122</v>
      </c>
      <c r="C10" s="135" t="s">
        <v>88</v>
      </c>
      <c r="D10" s="80">
        <v>29645.05</v>
      </c>
      <c r="E10" s="80">
        <v>29420.55</v>
      </c>
      <c r="F10" s="80">
        <v>29448.19</v>
      </c>
      <c r="G10" s="80">
        <v>29408.9</v>
      </c>
      <c r="H10" s="80">
        <v>29596.19</v>
      </c>
      <c r="I10" s="80">
        <v>29640.66</v>
      </c>
      <c r="J10" s="80">
        <v>29409.62</v>
      </c>
      <c r="K10" s="80">
        <v>29417.91</v>
      </c>
      <c r="L10" s="80">
        <v>29591.63</v>
      </c>
      <c r="M10" s="77">
        <f>IF((L11=""),"",MAX(D12:L12))</f>
        <v>1789.2899999999972</v>
      </c>
      <c r="N10" s="77">
        <f>IF(L11="","",MIN(D12:L12))</f>
        <v>1651.7899999999972</v>
      </c>
      <c r="O10" s="77">
        <f>IF((L12=""),"",AVERAGE(D12:L12))</f>
        <v>1723.6422222222213</v>
      </c>
      <c r="P10" s="77">
        <v>1600</v>
      </c>
      <c r="Q10" s="77">
        <v>2000</v>
      </c>
      <c r="R10" s="77">
        <f>IF((L11=""),"",((M10-N10)/(M10+N10))*100)</f>
        <v>3.9958385158148091</v>
      </c>
      <c r="S10" s="77">
        <v>20</v>
      </c>
      <c r="T10" s="132" t="str">
        <f>IF(L11="","",IF(R11&lt;20,(IF(O10&gt;1730,IF(O10&lt;1970,"Pass","Fail"),"Fail"))))</f>
        <v>Fail</v>
      </c>
      <c r="U10" s="77">
        <v>102</v>
      </c>
      <c r="V10" s="133"/>
      <c r="W10" s="56">
        <v>1730</v>
      </c>
      <c r="X10" s="56">
        <v>1970</v>
      </c>
      <c r="Y10" s="56">
        <v>6.2</v>
      </c>
    </row>
    <row r="11" spans="1:25" x14ac:dyDescent="0.3">
      <c r="A11" s="147"/>
      <c r="B11" s="76"/>
      <c r="C11" s="71" t="s">
        <v>89</v>
      </c>
      <c r="D11" s="67">
        <v>27951.58</v>
      </c>
      <c r="E11" s="67">
        <v>27731.040000000001</v>
      </c>
      <c r="F11" s="67">
        <v>27796.400000000001</v>
      </c>
      <c r="G11" s="67">
        <v>27648.32</v>
      </c>
      <c r="H11" s="67">
        <v>27806.9</v>
      </c>
      <c r="I11" s="67">
        <v>27898.46</v>
      </c>
      <c r="J11" s="67">
        <v>27687.06</v>
      </c>
      <c r="K11" s="67">
        <v>27681.200000000001</v>
      </c>
      <c r="L11" s="67">
        <v>27864.959999999999</v>
      </c>
      <c r="M11" s="77"/>
      <c r="N11" s="77"/>
      <c r="O11" s="77"/>
      <c r="P11" s="77"/>
      <c r="Q11" s="77"/>
      <c r="R11" s="77"/>
      <c r="S11" s="77"/>
      <c r="T11" s="132"/>
      <c r="U11" s="77"/>
      <c r="V11" s="133"/>
    </row>
    <row r="12" spans="1:25" ht="39.9" x14ac:dyDescent="0.3">
      <c r="A12" s="149"/>
      <c r="B12" s="134"/>
      <c r="C12" s="71" t="s">
        <v>123</v>
      </c>
      <c r="D12" s="38">
        <f>IF(((D10="")*AND(D11="")),"",(D10-D11)*1)</f>
        <v>1693.4699999999975</v>
      </c>
      <c r="E12" s="38">
        <f t="shared" ref="E12:L12" si="0">IF(((E10="")*AND(E11="")),"",(E10-E11)*1)</f>
        <v>1689.5099999999984</v>
      </c>
      <c r="F12" s="38">
        <f t="shared" si="0"/>
        <v>1651.7899999999972</v>
      </c>
      <c r="G12" s="38">
        <f t="shared" si="0"/>
        <v>1760.5800000000017</v>
      </c>
      <c r="H12" s="38">
        <f t="shared" si="0"/>
        <v>1789.2899999999972</v>
      </c>
      <c r="I12" s="38">
        <f t="shared" si="0"/>
        <v>1742.2000000000007</v>
      </c>
      <c r="J12" s="38">
        <f t="shared" si="0"/>
        <v>1722.5599999999977</v>
      </c>
      <c r="K12" s="38">
        <f t="shared" si="0"/>
        <v>1736.7099999999991</v>
      </c>
      <c r="L12" s="38">
        <f t="shared" si="0"/>
        <v>1726.6700000000019</v>
      </c>
      <c r="M12" s="135"/>
      <c r="N12" s="135"/>
      <c r="O12" s="135"/>
      <c r="P12" s="135"/>
      <c r="Q12" s="135"/>
      <c r="R12" s="135"/>
      <c r="S12" s="135"/>
      <c r="T12" s="136"/>
      <c r="U12" s="135"/>
      <c r="V12" s="137"/>
    </row>
    <row r="13" spans="1:25" x14ac:dyDescent="0.3">
      <c r="A13" s="129">
        <v>42577</v>
      </c>
      <c r="B13" s="68" t="s">
        <v>122</v>
      </c>
      <c r="C13" s="71" t="s">
        <v>88</v>
      </c>
      <c r="D13" s="56">
        <v>29260.79</v>
      </c>
      <c r="E13" s="56">
        <v>29074.61</v>
      </c>
      <c r="F13" s="56">
        <v>29079.93</v>
      </c>
      <c r="G13" s="56">
        <v>29095.8</v>
      </c>
      <c r="H13" s="56">
        <v>29295.15</v>
      </c>
      <c r="I13" s="56">
        <v>29284.17</v>
      </c>
      <c r="J13" s="56">
        <v>29080.32</v>
      </c>
      <c r="K13" s="56">
        <v>29087.75</v>
      </c>
      <c r="L13" s="56">
        <v>29258.9</v>
      </c>
      <c r="M13" s="69">
        <f>IF((L14=""),"",MAX(D15:L15))</f>
        <v>1723.4400000000023</v>
      </c>
      <c r="N13" s="69">
        <f>IF(L14="","",MIN(D15:L15))</f>
        <v>1605.5300000000025</v>
      </c>
      <c r="O13" s="69">
        <f>IF((L15=""),"",AVERAGE(D15:L15))</f>
        <v>1668.7988888888892</v>
      </c>
      <c r="P13" s="69">
        <v>1600</v>
      </c>
      <c r="Q13" s="69">
        <v>2000</v>
      </c>
      <c r="R13" s="69">
        <f>IF((L14=""),"",((M13-N13)/(M13+N13))*100)</f>
        <v>3.5419363947407057</v>
      </c>
      <c r="S13" s="69">
        <v>20</v>
      </c>
      <c r="T13" s="130" t="str">
        <f>IF(L14="","",IF(R14&lt;20,(IF(O13&gt;1730,IF(O13&lt;1970,"Pass","Fail"),"Fail"))))</f>
        <v>Fail</v>
      </c>
      <c r="U13" s="69">
        <v>1400</v>
      </c>
      <c r="V13" s="138"/>
      <c r="W13" s="56">
        <v>1730</v>
      </c>
      <c r="X13" s="56">
        <v>1970</v>
      </c>
      <c r="Y13" s="56">
        <v>6.2</v>
      </c>
    </row>
    <row r="14" spans="1:25" x14ac:dyDescent="0.3">
      <c r="A14" s="147"/>
      <c r="B14" s="76"/>
      <c r="C14" s="71" t="s">
        <v>89</v>
      </c>
      <c r="D14" s="56">
        <v>27655.26</v>
      </c>
      <c r="E14" s="56">
        <v>27427.81</v>
      </c>
      <c r="F14" s="56">
        <v>27473.07</v>
      </c>
      <c r="G14" s="56">
        <v>27376.65</v>
      </c>
      <c r="H14" s="56">
        <v>27571.71</v>
      </c>
      <c r="I14" s="56">
        <v>27603.599999999999</v>
      </c>
      <c r="J14" s="56">
        <v>27396.1</v>
      </c>
      <c r="K14" s="56">
        <v>27393.13</v>
      </c>
      <c r="L14" s="56">
        <v>27600.9</v>
      </c>
      <c r="M14" s="77"/>
      <c r="N14" s="77"/>
      <c r="O14" s="77"/>
      <c r="P14" s="77"/>
      <c r="Q14" s="77"/>
      <c r="R14" s="77"/>
      <c r="S14" s="77"/>
      <c r="T14" s="132"/>
      <c r="U14" s="77"/>
      <c r="V14" s="139"/>
    </row>
    <row r="15" spans="1:25" ht="39.9" x14ac:dyDescent="0.3">
      <c r="A15" s="149"/>
      <c r="B15" s="134"/>
      <c r="C15" s="71" t="s">
        <v>123</v>
      </c>
      <c r="D15" s="38">
        <f>IF(((D13="")*AND(D14="")),"",(D13-D14)*1)</f>
        <v>1605.5300000000025</v>
      </c>
      <c r="E15" s="38">
        <f t="shared" ref="E15:L15" si="1">IF(((E13="")*AND(E14="")),"",(E13-E14)*1)</f>
        <v>1646.7999999999993</v>
      </c>
      <c r="F15" s="38">
        <f t="shared" si="1"/>
        <v>1606.8600000000006</v>
      </c>
      <c r="G15" s="38">
        <f t="shared" si="1"/>
        <v>1719.1499999999978</v>
      </c>
      <c r="H15" s="38">
        <f t="shared" si="1"/>
        <v>1723.4400000000023</v>
      </c>
      <c r="I15" s="38">
        <f t="shared" si="1"/>
        <v>1680.5699999999997</v>
      </c>
      <c r="J15" s="38">
        <f t="shared" si="1"/>
        <v>1684.2200000000012</v>
      </c>
      <c r="K15" s="38">
        <f t="shared" si="1"/>
        <v>1694.619999999999</v>
      </c>
      <c r="L15" s="38">
        <f t="shared" si="1"/>
        <v>1658</v>
      </c>
      <c r="M15" s="135"/>
      <c r="N15" s="135"/>
      <c r="O15" s="135"/>
      <c r="P15" s="135"/>
      <c r="Q15" s="135"/>
      <c r="R15" s="135"/>
      <c r="S15" s="135"/>
      <c r="T15" s="136"/>
      <c r="U15" s="135"/>
      <c r="V15" s="140"/>
    </row>
    <row r="16" spans="1:25" x14ac:dyDescent="0.3">
      <c r="A16" s="129">
        <v>42584</v>
      </c>
      <c r="B16" s="68" t="s">
        <v>122</v>
      </c>
      <c r="C16" s="71" t="s">
        <v>88</v>
      </c>
      <c r="D16" s="56">
        <v>29362.15</v>
      </c>
      <c r="E16" s="56">
        <v>29199.15</v>
      </c>
      <c r="F16" s="56">
        <v>29247.47</v>
      </c>
      <c r="G16" s="56">
        <v>29221.48</v>
      </c>
      <c r="H16" s="56">
        <v>29421.54</v>
      </c>
      <c r="I16" s="56">
        <v>29360.31</v>
      </c>
      <c r="J16" s="56">
        <v>29195.24</v>
      </c>
      <c r="K16" s="56">
        <v>29219.14</v>
      </c>
      <c r="L16" s="56">
        <v>29438.7</v>
      </c>
      <c r="M16" s="69">
        <f>IF((L17=""),"",MAX(D18:L18))</f>
        <v>1824.4900000000016</v>
      </c>
      <c r="N16" s="69">
        <f>IF(L17="","",MIN(D18:L18))</f>
        <v>1677.1000000000022</v>
      </c>
      <c r="O16" s="69">
        <f>IF((L18=""),"",AVERAGE(D18:L18))</f>
        <v>1728.5744444444447</v>
      </c>
      <c r="P16" s="69">
        <v>1600</v>
      </c>
      <c r="Q16" s="69">
        <v>2000</v>
      </c>
      <c r="R16" s="69">
        <f>IF((L17=""),"",((M16-N16)/(M16+N16))*100)</f>
        <v>4.2092306637841457</v>
      </c>
      <c r="S16" s="69">
        <v>20</v>
      </c>
      <c r="T16" s="130" t="str">
        <f>IF(L17="","",IF(R17&lt;20,(IF(O16&gt;1730,IF(O16&lt;1970,"Pass","Fail"),"Fail"))))</f>
        <v>Fail</v>
      </c>
      <c r="U16" s="69">
        <v>1400</v>
      </c>
      <c r="V16" s="138"/>
      <c r="W16" s="56">
        <v>1730</v>
      </c>
      <c r="X16" s="56">
        <v>1970</v>
      </c>
      <c r="Y16" s="56">
        <v>6.2</v>
      </c>
    </row>
    <row r="17" spans="1:25" x14ac:dyDescent="0.3">
      <c r="A17" s="147"/>
      <c r="B17" s="76"/>
      <c r="C17" s="71" t="s">
        <v>89</v>
      </c>
      <c r="D17" s="56">
        <v>27685.05</v>
      </c>
      <c r="E17" s="56">
        <v>27518.83</v>
      </c>
      <c r="F17" s="56">
        <v>27567.200000000001</v>
      </c>
      <c r="G17" s="56">
        <v>27465.74</v>
      </c>
      <c r="H17" s="56">
        <v>27597.05</v>
      </c>
      <c r="I17" s="56">
        <v>27597.56</v>
      </c>
      <c r="J17" s="56">
        <v>27481.97</v>
      </c>
      <c r="K17" s="56">
        <v>27497.3</v>
      </c>
      <c r="L17" s="56">
        <v>27697.31</v>
      </c>
      <c r="M17" s="77"/>
      <c r="N17" s="77"/>
      <c r="O17" s="77"/>
      <c r="P17" s="77"/>
      <c r="Q17" s="77"/>
      <c r="R17" s="77"/>
      <c r="S17" s="77"/>
      <c r="T17" s="132"/>
      <c r="U17" s="77"/>
      <c r="V17" s="139"/>
    </row>
    <row r="18" spans="1:25" ht="39.9" x14ac:dyDescent="0.3">
      <c r="A18" s="149"/>
      <c r="B18" s="134"/>
      <c r="C18" s="71" t="s">
        <v>123</v>
      </c>
      <c r="D18" s="38">
        <f t="shared" ref="D18:L18" si="2">IF(((D16="")*AND(D17="")),"",(D16-D17)*1)</f>
        <v>1677.1000000000022</v>
      </c>
      <c r="E18" s="38">
        <f t="shared" si="2"/>
        <v>1680.3199999999997</v>
      </c>
      <c r="F18" s="38">
        <f t="shared" si="2"/>
        <v>1680.2700000000004</v>
      </c>
      <c r="G18" s="38">
        <f t="shared" si="2"/>
        <v>1755.739999999998</v>
      </c>
      <c r="H18" s="38">
        <f t="shared" si="2"/>
        <v>1824.4900000000016</v>
      </c>
      <c r="I18" s="38">
        <f t="shared" si="2"/>
        <v>1762.75</v>
      </c>
      <c r="J18" s="38">
        <f t="shared" si="2"/>
        <v>1713.2700000000004</v>
      </c>
      <c r="K18" s="38">
        <f t="shared" si="2"/>
        <v>1721.8400000000001</v>
      </c>
      <c r="L18" s="38">
        <f t="shared" si="2"/>
        <v>1741.3899999999994</v>
      </c>
      <c r="M18" s="135"/>
      <c r="N18" s="135"/>
      <c r="O18" s="135"/>
      <c r="P18" s="135"/>
      <c r="Q18" s="135"/>
      <c r="R18" s="135"/>
      <c r="S18" s="135"/>
      <c r="T18" s="136"/>
      <c r="U18" s="135"/>
      <c r="V18" s="140"/>
    </row>
    <row r="19" spans="1:25" x14ac:dyDescent="0.3">
      <c r="A19" s="129">
        <v>42587</v>
      </c>
      <c r="B19" s="68" t="s">
        <v>124</v>
      </c>
      <c r="C19" s="71" t="s">
        <v>88</v>
      </c>
      <c r="D19" s="56">
        <v>29318.91</v>
      </c>
      <c r="E19" s="56">
        <v>29165.69</v>
      </c>
      <c r="F19" s="56">
        <v>29227.22</v>
      </c>
      <c r="G19" s="56">
        <v>29165.89</v>
      </c>
      <c r="H19" s="56">
        <v>29350.07</v>
      </c>
      <c r="I19" s="56">
        <v>29337.82</v>
      </c>
      <c r="J19" s="56">
        <v>29151.53</v>
      </c>
      <c r="K19" s="56">
        <v>29170.84</v>
      </c>
      <c r="L19" s="56">
        <v>29373.59</v>
      </c>
      <c r="M19" s="69">
        <f>IF((L20=""),"",MAX(D21:L21))</f>
        <v>1853.7799999999988</v>
      </c>
      <c r="N19" s="69">
        <f>IF(L20="","",MIN(D21:L21))</f>
        <v>1715.7100000000028</v>
      </c>
      <c r="O19" s="69">
        <f>IF((L21=""),"",AVERAGE(D21:L21))</f>
        <v>1773.0144444444445</v>
      </c>
      <c r="P19" s="69">
        <v>1600</v>
      </c>
      <c r="Q19" s="69">
        <v>2000</v>
      </c>
      <c r="R19" s="69">
        <f>IF((L20=""),"",((M19-N19)/(M19+N19))*100)</f>
        <v>3.8680595827414002</v>
      </c>
      <c r="S19" s="69">
        <v>20</v>
      </c>
      <c r="T19" s="130" t="str">
        <f>IF(L20="","",IF(R20&lt;20,(IF(O19&gt;1730,IF(O19&lt;1970,"Pass","Fail"),"Fail"))))</f>
        <v>Pass</v>
      </c>
      <c r="U19" s="69">
        <v>1400</v>
      </c>
      <c r="V19" s="138"/>
      <c r="W19" s="56">
        <v>1730</v>
      </c>
      <c r="X19" s="56">
        <v>1970</v>
      </c>
      <c r="Y19" s="56">
        <v>6.2</v>
      </c>
    </row>
    <row r="20" spans="1:25" x14ac:dyDescent="0.3">
      <c r="A20" s="147"/>
      <c r="B20" s="76"/>
      <c r="C20" s="71" t="s">
        <v>89</v>
      </c>
      <c r="D20" s="56">
        <v>27581.03</v>
      </c>
      <c r="E20" s="56">
        <v>27439.79</v>
      </c>
      <c r="F20" s="56">
        <v>27511.51</v>
      </c>
      <c r="G20" s="56">
        <v>27355.87</v>
      </c>
      <c r="H20" s="56">
        <v>27496.29</v>
      </c>
      <c r="I20" s="56">
        <v>27550.13</v>
      </c>
      <c r="J20" s="56">
        <v>27401.599999999999</v>
      </c>
      <c r="K20" s="56">
        <v>27391.55</v>
      </c>
      <c r="L20" s="56">
        <v>27576.66</v>
      </c>
      <c r="M20" s="77"/>
      <c r="N20" s="77"/>
      <c r="O20" s="77"/>
      <c r="P20" s="77"/>
      <c r="Q20" s="77"/>
      <c r="R20" s="77"/>
      <c r="S20" s="77"/>
      <c r="T20" s="132"/>
      <c r="U20" s="77"/>
      <c r="V20" s="139"/>
    </row>
    <row r="21" spans="1:25" ht="39.9" x14ac:dyDescent="0.3">
      <c r="A21" s="149"/>
      <c r="B21" s="134"/>
      <c r="C21" s="71" t="s">
        <v>123</v>
      </c>
      <c r="D21" s="38">
        <f t="shared" ref="D21:L21" si="3">IF(((D19="")*AND(D20="")),"",(D19-D20)*1)</f>
        <v>1737.880000000001</v>
      </c>
      <c r="E21" s="38">
        <f t="shared" si="3"/>
        <v>1725.8999999999978</v>
      </c>
      <c r="F21" s="38">
        <f t="shared" si="3"/>
        <v>1715.7100000000028</v>
      </c>
      <c r="G21" s="38">
        <f t="shared" si="3"/>
        <v>1810.0200000000004</v>
      </c>
      <c r="H21" s="38">
        <f t="shared" si="3"/>
        <v>1853.7799999999988</v>
      </c>
      <c r="I21" s="38">
        <f t="shared" si="3"/>
        <v>1787.6899999999987</v>
      </c>
      <c r="J21" s="38">
        <f t="shared" si="3"/>
        <v>1749.9300000000003</v>
      </c>
      <c r="K21" s="38">
        <f t="shared" si="3"/>
        <v>1779.2900000000009</v>
      </c>
      <c r="L21" s="38">
        <f t="shared" si="3"/>
        <v>1796.9300000000003</v>
      </c>
      <c r="M21" s="135"/>
      <c r="N21" s="135"/>
      <c r="O21" s="135"/>
      <c r="P21" s="135"/>
      <c r="Q21" s="135"/>
      <c r="R21" s="135"/>
      <c r="S21" s="135"/>
      <c r="T21" s="136"/>
      <c r="U21" s="135"/>
      <c r="V21" s="140"/>
    </row>
    <row r="22" spans="1:25" x14ac:dyDescent="0.3">
      <c r="A22" s="129">
        <v>42590</v>
      </c>
      <c r="B22" s="68" t="s">
        <v>124</v>
      </c>
      <c r="C22" s="71" t="s">
        <v>88</v>
      </c>
      <c r="D22" s="56">
        <v>29132.67</v>
      </c>
      <c r="E22" s="56">
        <v>29087.78</v>
      </c>
      <c r="F22" s="56">
        <v>29156.33</v>
      </c>
      <c r="G22" s="56">
        <v>29123.05</v>
      </c>
      <c r="H22" s="56">
        <v>29332.63</v>
      </c>
      <c r="I22" s="56">
        <v>29273.39</v>
      </c>
      <c r="J22" s="56">
        <v>29105.14</v>
      </c>
      <c r="K22" s="56">
        <v>29096.55</v>
      </c>
      <c r="L22" s="56">
        <v>29296.32</v>
      </c>
      <c r="M22" s="69">
        <f>IF((L23=""),"",MAX(D24:L24))</f>
        <v>1945</v>
      </c>
      <c r="N22" s="69">
        <f>IF(L23="","",MIN(D24:L24))</f>
        <v>1700.1999999999971</v>
      </c>
      <c r="O22" s="69">
        <f>IF((L24=""),"",AVERAGE(D24:L24))</f>
        <v>1849.2999999999993</v>
      </c>
      <c r="P22" s="69">
        <v>1600</v>
      </c>
      <c r="Q22" s="69">
        <v>2000</v>
      </c>
      <c r="R22" s="69">
        <f>IF((L23=""),"",((M22-N22)/(M22+N22))*100)</f>
        <v>6.7156808954242049</v>
      </c>
      <c r="S22" s="69">
        <v>20</v>
      </c>
      <c r="T22" s="130" t="str">
        <f>IF(L23="","",IF(R23&lt;20,(IF(O22&gt;1730,IF(O22&lt;1970,"Pass","Fail"),"Fail"))))</f>
        <v>Pass</v>
      </c>
      <c r="U22" s="130">
        <v>1428</v>
      </c>
      <c r="V22" s="138"/>
      <c r="W22" s="56">
        <v>1730</v>
      </c>
      <c r="X22" s="56">
        <v>1970</v>
      </c>
      <c r="Y22" s="56">
        <v>6.2</v>
      </c>
    </row>
    <row r="23" spans="1:25" x14ac:dyDescent="0.3">
      <c r="A23" s="147"/>
      <c r="B23" s="76"/>
      <c r="C23" s="71" t="s">
        <v>89</v>
      </c>
      <c r="D23" s="56">
        <v>27432.47</v>
      </c>
      <c r="E23" s="56">
        <v>27299.19</v>
      </c>
      <c r="F23" s="56">
        <v>27331.99</v>
      </c>
      <c r="G23" s="56">
        <v>27197.56</v>
      </c>
      <c r="H23" s="56">
        <v>27387.63</v>
      </c>
      <c r="I23" s="56">
        <v>27409.96</v>
      </c>
      <c r="J23" s="56">
        <v>27260.880000000001</v>
      </c>
      <c r="K23" s="56">
        <v>27217.26</v>
      </c>
      <c r="L23" s="56">
        <v>27423.22</v>
      </c>
      <c r="M23" s="77"/>
      <c r="N23" s="77"/>
      <c r="O23" s="77"/>
      <c r="P23" s="77"/>
      <c r="Q23" s="77"/>
      <c r="R23" s="77"/>
      <c r="S23" s="77"/>
      <c r="T23" s="132"/>
      <c r="U23" s="132"/>
      <c r="V23" s="139"/>
    </row>
    <row r="24" spans="1:25" ht="39.9" x14ac:dyDescent="0.3">
      <c r="A24" s="149"/>
      <c r="B24" s="134"/>
      <c r="C24" s="71" t="s">
        <v>123</v>
      </c>
      <c r="D24" s="38">
        <f t="shared" ref="D24:L24" si="4">IF(((D22="")*AND(D23="")),"",(D22-D23)*1)</f>
        <v>1700.1999999999971</v>
      </c>
      <c r="E24" s="38">
        <f t="shared" si="4"/>
        <v>1788.5900000000001</v>
      </c>
      <c r="F24" s="38">
        <f t="shared" si="4"/>
        <v>1824.3400000000001</v>
      </c>
      <c r="G24" s="38">
        <f t="shared" si="4"/>
        <v>1925.489999999998</v>
      </c>
      <c r="H24" s="38">
        <f t="shared" si="4"/>
        <v>1945</v>
      </c>
      <c r="I24" s="38">
        <f t="shared" si="4"/>
        <v>1863.4300000000003</v>
      </c>
      <c r="J24" s="38">
        <f t="shared" si="4"/>
        <v>1844.2599999999984</v>
      </c>
      <c r="K24" s="38">
        <f t="shared" si="4"/>
        <v>1879.2900000000009</v>
      </c>
      <c r="L24" s="38">
        <f t="shared" si="4"/>
        <v>1873.0999999999985</v>
      </c>
      <c r="M24" s="135"/>
      <c r="N24" s="135"/>
      <c r="O24" s="135"/>
      <c r="P24" s="135"/>
      <c r="Q24" s="135"/>
      <c r="R24" s="135"/>
      <c r="S24" s="135"/>
      <c r="T24" s="136"/>
      <c r="U24" s="136"/>
      <c r="V24" s="140"/>
    </row>
    <row r="25" spans="1:25" x14ac:dyDescent="0.3">
      <c r="A25" s="129">
        <v>42594</v>
      </c>
      <c r="B25" s="68" t="s">
        <v>124</v>
      </c>
      <c r="C25" s="71" t="s">
        <v>88</v>
      </c>
      <c r="D25" s="56">
        <v>29190.2</v>
      </c>
      <c r="E25" s="56">
        <v>29190.2</v>
      </c>
      <c r="F25" s="56">
        <v>29149.5</v>
      </c>
      <c r="G25" s="56">
        <v>29084.43</v>
      </c>
      <c r="H25" s="56">
        <v>29299.38</v>
      </c>
      <c r="I25" s="56">
        <v>29289.9</v>
      </c>
      <c r="J25" s="56">
        <v>29073.43</v>
      </c>
      <c r="K25" s="56">
        <v>26863.87</v>
      </c>
      <c r="L25" s="56">
        <v>29278.61</v>
      </c>
      <c r="M25" s="69">
        <f>IF((L26=""),"",MAX(D27:L27))</f>
        <v>2047.7900000000009</v>
      </c>
      <c r="N25" s="69">
        <f>IF(L26="","",MIN(D27:L27))</f>
        <v>1914.869999999999</v>
      </c>
      <c r="O25" s="69">
        <f>IF((L27=""),"",AVERAGE(D27:L27))</f>
        <v>1982.3000000000004</v>
      </c>
      <c r="P25" s="69">
        <v>1600</v>
      </c>
      <c r="Q25" s="69">
        <v>2000</v>
      </c>
      <c r="R25" s="69">
        <f>IF((L26=""),"",((M25-N25)/(M25+N25))*100)</f>
        <v>3.3543125072552757</v>
      </c>
      <c r="S25" s="69">
        <v>20</v>
      </c>
      <c r="T25" s="130" t="str">
        <f>IF(L26="","",IF(R26&lt;20,(IF(O25&gt;1730,IF(O25&lt;1970,"Pass","Fail"),"Fail"))))</f>
        <v>Fail</v>
      </c>
      <c r="U25" s="69"/>
      <c r="V25" s="138"/>
      <c r="W25" s="56">
        <v>1730</v>
      </c>
      <c r="X25" s="56">
        <v>1970</v>
      </c>
      <c r="Y25" s="56">
        <v>6.2</v>
      </c>
    </row>
    <row r="26" spans="1:25" x14ac:dyDescent="0.3">
      <c r="A26" s="147"/>
      <c r="B26" s="76"/>
      <c r="C26" s="71" t="s">
        <v>89</v>
      </c>
      <c r="D26" s="56">
        <v>27275.33</v>
      </c>
      <c r="E26" s="56">
        <v>27142.41</v>
      </c>
      <c r="F26" s="56">
        <v>27149.94</v>
      </c>
      <c r="G26" s="56">
        <v>27107.5</v>
      </c>
      <c r="H26" s="56">
        <v>27286.22</v>
      </c>
      <c r="I26" s="56">
        <v>27273.3</v>
      </c>
      <c r="J26" s="56">
        <v>27128.3</v>
      </c>
      <c r="K26" s="56">
        <v>24890.26</v>
      </c>
      <c r="L26" s="56">
        <v>27325.56</v>
      </c>
      <c r="M26" s="77"/>
      <c r="N26" s="77"/>
      <c r="O26" s="77"/>
      <c r="P26" s="77"/>
      <c r="Q26" s="77"/>
      <c r="R26" s="77"/>
      <c r="S26" s="77"/>
      <c r="T26" s="132"/>
      <c r="U26" s="77"/>
      <c r="V26" s="139"/>
    </row>
    <row r="27" spans="1:25" ht="39.9" x14ac:dyDescent="0.3">
      <c r="A27" s="149"/>
      <c r="B27" s="134"/>
      <c r="C27" s="71" t="s">
        <v>123</v>
      </c>
      <c r="D27" s="38">
        <f t="shared" ref="D27:L27" si="5">IF(((D25="")*AND(D26="")),"",(D25-D26)*1)</f>
        <v>1914.869999999999</v>
      </c>
      <c r="E27" s="38">
        <f t="shared" si="5"/>
        <v>2047.7900000000009</v>
      </c>
      <c r="F27" s="38">
        <f t="shared" si="5"/>
        <v>1999.5600000000013</v>
      </c>
      <c r="G27" s="38">
        <f t="shared" si="5"/>
        <v>1976.9300000000003</v>
      </c>
      <c r="H27" s="38">
        <f t="shared" si="5"/>
        <v>2013.1599999999999</v>
      </c>
      <c r="I27" s="38">
        <f t="shared" si="5"/>
        <v>2016.6000000000022</v>
      </c>
      <c r="J27" s="38">
        <f t="shared" si="5"/>
        <v>1945.130000000001</v>
      </c>
      <c r="K27" s="38">
        <f t="shared" si="5"/>
        <v>1973.6100000000006</v>
      </c>
      <c r="L27" s="38">
        <f t="shared" si="5"/>
        <v>1953.0499999999993</v>
      </c>
      <c r="M27" s="135"/>
      <c r="N27" s="135"/>
      <c r="O27" s="135"/>
      <c r="P27" s="135"/>
      <c r="Q27" s="135"/>
      <c r="R27" s="135"/>
      <c r="S27" s="135"/>
      <c r="T27" s="136"/>
      <c r="U27" s="135"/>
      <c r="V27" s="140"/>
    </row>
    <row r="28" spans="1:25" x14ac:dyDescent="0.3">
      <c r="A28" s="129">
        <v>42604</v>
      </c>
      <c r="B28" s="68" t="s">
        <v>124</v>
      </c>
      <c r="C28" s="71" t="s">
        <v>88</v>
      </c>
      <c r="D28" s="56">
        <v>29358.46</v>
      </c>
      <c r="E28" s="56">
        <v>29179.08</v>
      </c>
      <c r="F28" s="56">
        <v>29264.42</v>
      </c>
      <c r="G28" s="56">
        <v>29165.29</v>
      </c>
      <c r="H28" s="56">
        <v>29397.17</v>
      </c>
      <c r="I28" s="56">
        <v>29315.33</v>
      </c>
      <c r="J28" s="56">
        <v>29195.42</v>
      </c>
      <c r="K28" s="56">
        <v>29167.54</v>
      </c>
      <c r="L28" s="56">
        <v>29457.5</v>
      </c>
      <c r="M28" s="69">
        <f>IF((L29=""),"",MAX(D30:L30))</f>
        <v>2028.239999999998</v>
      </c>
      <c r="N28" s="69">
        <f>IF(L29="","",MIN(D30:L30))</f>
        <v>1910.369999999999</v>
      </c>
      <c r="O28" s="69">
        <f>IF((L30=""),"",AVERAGE(D30:L30))</f>
        <v>1949.6833333333334</v>
      </c>
      <c r="P28" s="69">
        <v>1600</v>
      </c>
      <c r="Q28" s="69">
        <v>2000</v>
      </c>
      <c r="R28" s="69">
        <f>IF((L29=""),"",((M28-N28)/(M28+N28))*100)</f>
        <v>2.9926801587361807</v>
      </c>
      <c r="S28" s="69">
        <v>20</v>
      </c>
      <c r="T28" s="130" t="str">
        <f>IF(L29="","",IF(R29&lt;20,(IF(O28&gt;1730,IF(O28&lt;1970,"Pass","Fail"),"Fail"))))</f>
        <v>Pass</v>
      </c>
      <c r="U28" s="69">
        <v>1400</v>
      </c>
      <c r="V28" s="138"/>
      <c r="W28" s="56">
        <v>1730</v>
      </c>
      <c r="X28" s="56">
        <v>1970</v>
      </c>
      <c r="Y28" s="56">
        <v>6.2</v>
      </c>
    </row>
    <row r="29" spans="1:25" x14ac:dyDescent="0.3">
      <c r="A29" s="147"/>
      <c r="B29" s="76"/>
      <c r="C29" s="71" t="s">
        <v>89</v>
      </c>
      <c r="D29" s="56">
        <v>27385.42</v>
      </c>
      <c r="E29" s="56">
        <v>27255.5</v>
      </c>
      <c r="F29" s="56">
        <v>27339.24</v>
      </c>
      <c r="G29" s="56">
        <v>27188.02</v>
      </c>
      <c r="H29" s="56">
        <v>27368.93</v>
      </c>
      <c r="I29" s="56">
        <v>27383.919999999998</v>
      </c>
      <c r="J29" s="56">
        <v>27285.05</v>
      </c>
      <c r="K29" s="56">
        <v>27246.59</v>
      </c>
      <c r="L29" s="56">
        <v>27500.39</v>
      </c>
      <c r="M29" s="77"/>
      <c r="N29" s="77"/>
      <c r="O29" s="77"/>
      <c r="P29" s="77"/>
      <c r="Q29" s="77"/>
      <c r="R29" s="77"/>
      <c r="S29" s="77"/>
      <c r="T29" s="132"/>
      <c r="U29" s="77"/>
      <c r="V29" s="139"/>
    </row>
    <row r="30" spans="1:25" ht="39.9" x14ac:dyDescent="0.3">
      <c r="A30" s="149"/>
      <c r="B30" s="134"/>
      <c r="C30" s="71" t="s">
        <v>123</v>
      </c>
      <c r="D30" s="38">
        <f t="shared" ref="D30:L30" si="6">IF(((D28="")*AND(D29="")),"",(D28-D29)*1)</f>
        <v>1973.0400000000009</v>
      </c>
      <c r="E30" s="38">
        <f t="shared" si="6"/>
        <v>1923.5800000000017</v>
      </c>
      <c r="F30" s="38">
        <f t="shared" si="6"/>
        <v>1925.1799999999967</v>
      </c>
      <c r="G30" s="38">
        <f t="shared" si="6"/>
        <v>1977.2700000000004</v>
      </c>
      <c r="H30" s="38">
        <f t="shared" si="6"/>
        <v>2028.239999999998</v>
      </c>
      <c r="I30" s="38">
        <f t="shared" si="6"/>
        <v>1931.4100000000035</v>
      </c>
      <c r="J30" s="38">
        <f t="shared" si="6"/>
        <v>1910.369999999999</v>
      </c>
      <c r="K30" s="38">
        <f t="shared" si="6"/>
        <v>1920.9500000000007</v>
      </c>
      <c r="L30" s="38">
        <f t="shared" si="6"/>
        <v>1957.1100000000006</v>
      </c>
      <c r="M30" s="135"/>
      <c r="N30" s="135"/>
      <c r="O30" s="135"/>
      <c r="P30" s="135"/>
      <c r="Q30" s="135"/>
      <c r="R30" s="135"/>
      <c r="S30" s="135"/>
      <c r="T30" s="136"/>
      <c r="U30" s="135"/>
      <c r="V30" s="140"/>
    </row>
    <row r="31" spans="1:25" x14ac:dyDescent="0.3">
      <c r="A31" s="129">
        <v>42600</v>
      </c>
      <c r="B31" s="68" t="s">
        <v>124</v>
      </c>
      <c r="C31" s="71" t="s">
        <v>88</v>
      </c>
      <c r="D31" s="56">
        <v>29284.959999999999</v>
      </c>
      <c r="E31" s="56">
        <v>29147.74</v>
      </c>
      <c r="F31" s="56">
        <v>29199.17</v>
      </c>
      <c r="G31" s="56">
        <v>29152.87</v>
      </c>
      <c r="H31" s="56">
        <v>29349.46</v>
      </c>
      <c r="I31" s="56">
        <v>29344.28</v>
      </c>
      <c r="J31" s="56">
        <v>29159.18</v>
      </c>
      <c r="K31" s="56">
        <v>29121.79</v>
      </c>
      <c r="L31" s="56">
        <v>29311.91</v>
      </c>
      <c r="M31" s="69">
        <f>IF((L32=""),"",MAX(D33:L33))</f>
        <v>2001.6899999999987</v>
      </c>
      <c r="N31" s="69">
        <f>IF(L32="","",MIN(D33:L33))</f>
        <v>1869.5400000000009</v>
      </c>
      <c r="O31" s="69">
        <f>IF((L33=""),"",AVERAGE(D33:L33))</f>
        <v>1914.8399999999992</v>
      </c>
      <c r="P31" s="69">
        <v>1600</v>
      </c>
      <c r="Q31" s="69">
        <v>2000</v>
      </c>
      <c r="R31" s="69">
        <f>IF((L32=""),"",((M31-N31)/(M31+N31))*100)</f>
        <v>3.4136437256375323</v>
      </c>
      <c r="S31" s="69">
        <v>20</v>
      </c>
      <c r="T31" s="130" t="str">
        <f>IF(L32="","",IF(R32&lt;20,(IF(O31&gt;1730,IF(O31&lt;1970,"Pass","Fail"),"Fail"))))</f>
        <v>Pass</v>
      </c>
      <c r="U31" s="69">
        <v>1534</v>
      </c>
      <c r="V31" s="138"/>
      <c r="W31" s="56">
        <v>1730</v>
      </c>
      <c r="X31" s="56">
        <v>1970</v>
      </c>
      <c r="Y31" s="56">
        <v>6.2</v>
      </c>
    </row>
    <row r="32" spans="1:25" x14ac:dyDescent="0.3">
      <c r="A32" s="147"/>
      <c r="B32" s="76"/>
      <c r="C32" s="71" t="s">
        <v>89</v>
      </c>
      <c r="D32" s="56">
        <v>27410.18</v>
      </c>
      <c r="E32" s="56">
        <v>27278.2</v>
      </c>
      <c r="F32" s="56">
        <v>27326.81</v>
      </c>
      <c r="G32" s="56">
        <v>27200.38</v>
      </c>
      <c r="H32" s="56">
        <v>27347.77</v>
      </c>
      <c r="I32" s="56">
        <v>27392.959999999999</v>
      </c>
      <c r="J32" s="56">
        <v>27264.02</v>
      </c>
      <c r="K32" s="56">
        <v>27215.23</v>
      </c>
      <c r="L32" s="56">
        <v>27402.25</v>
      </c>
      <c r="M32" s="77"/>
      <c r="N32" s="77"/>
      <c r="O32" s="77"/>
      <c r="P32" s="77"/>
      <c r="Q32" s="77"/>
      <c r="R32" s="77"/>
      <c r="S32" s="77"/>
      <c r="T32" s="132"/>
      <c r="U32" s="77"/>
      <c r="V32" s="139"/>
    </row>
    <row r="33" spans="1:25" ht="39.9" x14ac:dyDescent="0.3">
      <c r="A33" s="149"/>
      <c r="B33" s="134"/>
      <c r="C33" s="71" t="s">
        <v>123</v>
      </c>
      <c r="D33" s="38">
        <f t="shared" ref="D33:L33" si="7">IF(((D31="")*AND(D32="")),"",(D31-D32)*1)</f>
        <v>1874.7799999999988</v>
      </c>
      <c r="E33" s="38">
        <f t="shared" si="7"/>
        <v>1869.5400000000009</v>
      </c>
      <c r="F33" s="38">
        <f t="shared" si="7"/>
        <v>1872.3599999999969</v>
      </c>
      <c r="G33" s="38">
        <f t="shared" si="7"/>
        <v>1952.489999999998</v>
      </c>
      <c r="H33" s="38">
        <f t="shared" si="7"/>
        <v>2001.6899999999987</v>
      </c>
      <c r="I33" s="38">
        <f t="shared" si="7"/>
        <v>1951.3199999999997</v>
      </c>
      <c r="J33" s="38">
        <f t="shared" si="7"/>
        <v>1895.1599999999999</v>
      </c>
      <c r="K33" s="38">
        <f t="shared" si="7"/>
        <v>1906.5600000000013</v>
      </c>
      <c r="L33" s="38">
        <f t="shared" si="7"/>
        <v>1909.6599999999999</v>
      </c>
      <c r="M33" s="135"/>
      <c r="N33" s="135"/>
      <c r="O33" s="135"/>
      <c r="P33" s="135"/>
      <c r="Q33" s="135"/>
      <c r="R33" s="135"/>
      <c r="S33" s="135"/>
      <c r="T33" s="136"/>
      <c r="U33" s="135"/>
      <c r="V33" s="140"/>
    </row>
    <row r="34" spans="1:25" x14ac:dyDescent="0.3">
      <c r="A34" s="129">
        <v>42608</v>
      </c>
      <c r="B34" s="68" t="s">
        <v>124</v>
      </c>
      <c r="C34" s="71" t="s">
        <v>88</v>
      </c>
      <c r="D34" s="56">
        <v>29220.36</v>
      </c>
      <c r="E34" s="56">
        <v>29096.41</v>
      </c>
      <c r="F34" s="56">
        <v>29127.360000000001</v>
      </c>
      <c r="G34" s="56">
        <v>29091.26</v>
      </c>
      <c r="H34" s="56">
        <v>29319.97</v>
      </c>
      <c r="I34" s="56">
        <v>29245.13</v>
      </c>
      <c r="J34" s="56">
        <v>29104.76</v>
      </c>
      <c r="K34" s="56">
        <v>29062.3</v>
      </c>
      <c r="L34" s="56">
        <v>29287.25</v>
      </c>
      <c r="M34" s="69">
        <f>IF((L35=""),"",MAX(D36:L36))</f>
        <v>2048.0300000000025</v>
      </c>
      <c r="N34" s="69">
        <f>IF(L35="","",MIN(D36:L36))</f>
        <v>1886.8100000000013</v>
      </c>
      <c r="O34" s="69">
        <f>IF((L36=""),"",AVERAGE(D36:L36))</f>
        <v>1952.7733333333333</v>
      </c>
      <c r="P34" s="69">
        <v>1600</v>
      </c>
      <c r="Q34" s="69">
        <v>2000</v>
      </c>
      <c r="R34" s="69">
        <f>IF((L35=""),"",((M34-N34)/(M34+N34))*100)</f>
        <v>4.0972441064948262</v>
      </c>
      <c r="S34" s="69">
        <v>20</v>
      </c>
      <c r="T34" s="130" t="str">
        <f>IF(L35="","",IF(R35&lt;20,(IF(O34&gt;1730,IF(O34&lt;1970,"Pass","Fail"),"Fail"))))</f>
        <v>Pass</v>
      </c>
      <c r="U34" s="69">
        <v>1428</v>
      </c>
      <c r="V34" s="138"/>
      <c r="W34" s="56">
        <v>1730</v>
      </c>
      <c r="X34" s="56">
        <v>1970</v>
      </c>
      <c r="Y34" s="56">
        <v>6.2</v>
      </c>
    </row>
    <row r="35" spans="1:25" x14ac:dyDescent="0.3">
      <c r="A35" s="147"/>
      <c r="B35" s="76"/>
      <c r="C35" s="71" t="s">
        <v>89</v>
      </c>
      <c r="D35" s="56">
        <v>27327.54</v>
      </c>
      <c r="E35" s="56">
        <v>27190.77</v>
      </c>
      <c r="F35" s="56">
        <v>27240.55</v>
      </c>
      <c r="G35" s="56">
        <v>27087.65</v>
      </c>
      <c r="H35" s="56">
        <v>27271.94</v>
      </c>
      <c r="I35" s="56">
        <v>27289.27</v>
      </c>
      <c r="J35" s="56">
        <v>27142.95</v>
      </c>
      <c r="K35" s="56">
        <v>27091.19</v>
      </c>
      <c r="L35" s="56">
        <v>27337.98</v>
      </c>
      <c r="M35" s="77"/>
      <c r="N35" s="77"/>
      <c r="O35" s="77"/>
      <c r="P35" s="77"/>
      <c r="Q35" s="77"/>
      <c r="R35" s="77"/>
      <c r="S35" s="77"/>
      <c r="T35" s="132"/>
      <c r="U35" s="77"/>
      <c r="V35" s="139"/>
    </row>
    <row r="36" spans="1:25" ht="39.9" x14ac:dyDescent="0.3">
      <c r="A36" s="149"/>
      <c r="B36" s="134"/>
      <c r="C36" s="71" t="s">
        <v>123</v>
      </c>
      <c r="D36" s="38">
        <f t="shared" ref="D36:L36" si="8">IF(((D34="")*AND(D35="")),"",(D34-D35)*1)</f>
        <v>1892.8199999999997</v>
      </c>
      <c r="E36" s="38">
        <f t="shared" si="8"/>
        <v>1905.6399999999994</v>
      </c>
      <c r="F36" s="38">
        <f t="shared" si="8"/>
        <v>1886.8100000000013</v>
      </c>
      <c r="G36" s="38">
        <f t="shared" si="8"/>
        <v>2003.6099999999969</v>
      </c>
      <c r="H36" s="38">
        <f t="shared" si="8"/>
        <v>2048.0300000000025</v>
      </c>
      <c r="I36" s="38">
        <f t="shared" si="8"/>
        <v>1955.8600000000006</v>
      </c>
      <c r="J36" s="38">
        <f t="shared" si="8"/>
        <v>1961.8099999999977</v>
      </c>
      <c r="K36" s="38">
        <f t="shared" si="8"/>
        <v>1971.1100000000006</v>
      </c>
      <c r="L36" s="38">
        <f t="shared" si="8"/>
        <v>1949.2700000000004</v>
      </c>
      <c r="M36" s="135"/>
      <c r="N36" s="135"/>
      <c r="O36" s="135"/>
      <c r="P36" s="135"/>
      <c r="Q36" s="135"/>
      <c r="R36" s="135"/>
      <c r="S36" s="135"/>
      <c r="T36" s="136"/>
      <c r="U36" s="135"/>
      <c r="V36" s="140"/>
    </row>
    <row r="37" spans="1:25" x14ac:dyDescent="0.3">
      <c r="A37" s="129">
        <v>42611</v>
      </c>
      <c r="B37" s="68" t="s">
        <v>124</v>
      </c>
      <c r="C37" s="71" t="s">
        <v>88</v>
      </c>
      <c r="D37" s="56">
        <v>29248.44</v>
      </c>
      <c r="E37" s="56">
        <v>29087.88</v>
      </c>
      <c r="F37" s="56">
        <v>29151.1</v>
      </c>
      <c r="G37" s="56">
        <v>29106.44</v>
      </c>
      <c r="H37" s="56">
        <v>29295.24</v>
      </c>
      <c r="I37" s="56">
        <v>29239.37</v>
      </c>
      <c r="J37" s="56">
        <v>29089.81</v>
      </c>
      <c r="K37" s="56">
        <v>29105.360000000001</v>
      </c>
      <c r="L37" s="56">
        <v>29282.86</v>
      </c>
      <c r="M37" s="69">
        <f>IF((L38=""),"",MAX(D39:L39))</f>
        <v>2088.6400000000031</v>
      </c>
      <c r="N37" s="69">
        <f>IF(L38="","",MIN(D39:L39))</f>
        <v>1903.6099999999969</v>
      </c>
      <c r="O37" s="69">
        <f>IF((L39=""),"",AVERAGE(D39:L39))</f>
        <v>1975.1388888888894</v>
      </c>
      <c r="P37" s="69">
        <v>1600</v>
      </c>
      <c r="Q37" s="69">
        <v>2000</v>
      </c>
      <c r="R37" s="69">
        <f>IF((L38=""),"",((M37-N37)/(M37+N37))*100)</f>
        <v>4.6347297889662746</v>
      </c>
      <c r="S37" s="69">
        <v>20</v>
      </c>
      <c r="T37" s="130" t="str">
        <f>IF(L38="","",IF(R38&lt;20,(IF(O37&gt;1730,IF(O37&lt;1970,"Pass","Fail"),"Fail"))))</f>
        <v>Fail</v>
      </c>
      <c r="U37" s="69">
        <v>1335</v>
      </c>
      <c r="V37" s="138"/>
      <c r="W37" s="56">
        <v>1730</v>
      </c>
      <c r="X37" s="56">
        <v>1970</v>
      </c>
      <c r="Y37" s="56">
        <v>6.2</v>
      </c>
    </row>
    <row r="38" spans="1:25" x14ac:dyDescent="0.3">
      <c r="A38" s="147"/>
      <c r="B38" s="76"/>
      <c r="C38" s="71" t="s">
        <v>89</v>
      </c>
      <c r="D38" s="56">
        <v>27344.83</v>
      </c>
      <c r="E38" s="56">
        <v>27173.85</v>
      </c>
      <c r="F38" s="56">
        <v>27177.439999999999</v>
      </c>
      <c r="G38" s="56">
        <v>27070.66</v>
      </c>
      <c r="H38" s="56">
        <v>27206.6</v>
      </c>
      <c r="I38" s="56">
        <v>27272.61</v>
      </c>
      <c r="J38" s="56">
        <v>27112.44</v>
      </c>
      <c r="K38" s="56">
        <v>27116.23</v>
      </c>
      <c r="L38" s="56">
        <v>27355.59</v>
      </c>
      <c r="M38" s="77"/>
      <c r="N38" s="77"/>
      <c r="O38" s="77"/>
      <c r="P38" s="77"/>
      <c r="Q38" s="77"/>
      <c r="R38" s="77"/>
      <c r="S38" s="77"/>
      <c r="T38" s="132"/>
      <c r="U38" s="77"/>
      <c r="V38" s="139"/>
    </row>
    <row r="39" spans="1:25" ht="39.9" x14ac:dyDescent="0.3">
      <c r="A39" s="149"/>
      <c r="B39" s="134"/>
      <c r="C39" s="71" t="s">
        <v>123</v>
      </c>
      <c r="D39" s="38">
        <f t="shared" ref="D39:L39" si="9">IF(((D37="")*AND(D38="")),"",(D37-D38)*1)</f>
        <v>1903.6099999999969</v>
      </c>
      <c r="E39" s="38">
        <f t="shared" si="9"/>
        <v>1914.0300000000025</v>
      </c>
      <c r="F39" s="38">
        <f t="shared" si="9"/>
        <v>1973.6599999999999</v>
      </c>
      <c r="G39" s="38">
        <f t="shared" si="9"/>
        <v>2035.7799999999988</v>
      </c>
      <c r="H39" s="38">
        <f t="shared" si="9"/>
        <v>2088.6400000000031</v>
      </c>
      <c r="I39" s="38">
        <f t="shared" si="9"/>
        <v>1966.7599999999984</v>
      </c>
      <c r="J39" s="38">
        <f t="shared" si="9"/>
        <v>1977.3700000000026</v>
      </c>
      <c r="K39" s="38">
        <f t="shared" si="9"/>
        <v>1989.130000000001</v>
      </c>
      <c r="L39" s="38">
        <f t="shared" si="9"/>
        <v>1927.2700000000004</v>
      </c>
      <c r="M39" s="135"/>
      <c r="N39" s="135"/>
      <c r="O39" s="135"/>
      <c r="P39" s="135"/>
      <c r="Q39" s="135"/>
      <c r="R39" s="135"/>
      <c r="S39" s="135"/>
      <c r="T39" s="136"/>
      <c r="U39" s="135"/>
      <c r="V39" s="140"/>
    </row>
    <row r="40" spans="1:25" x14ac:dyDescent="0.3">
      <c r="A40" s="129">
        <v>42615</v>
      </c>
      <c r="B40" s="68" t="s">
        <v>124</v>
      </c>
      <c r="C40" s="71" t="s">
        <v>88</v>
      </c>
      <c r="D40" s="56">
        <v>29220.27</v>
      </c>
      <c r="E40" s="56">
        <v>29066.37</v>
      </c>
      <c r="F40" s="56">
        <v>29073.35</v>
      </c>
      <c r="G40" s="56">
        <v>29064.51</v>
      </c>
      <c r="H40" s="56">
        <v>29289.59</v>
      </c>
      <c r="I40" s="56">
        <v>29230.560000000001</v>
      </c>
      <c r="J40" s="56">
        <v>29068.34</v>
      </c>
      <c r="K40" s="56">
        <v>29056.28</v>
      </c>
      <c r="L40" s="56">
        <v>29269.63</v>
      </c>
      <c r="M40" s="69">
        <f>IF((L41=""),"",MAX(D42:L42))</f>
        <v>1939.9000000000015</v>
      </c>
      <c r="N40" s="69">
        <f>IF(L41="","",MIN(D42:L42))</f>
        <v>1797.8099999999977</v>
      </c>
      <c r="O40" s="69">
        <f>IF((L42=""),"",AVERAGE(D42:L42))</f>
        <v>1853.9822222222219</v>
      </c>
      <c r="P40" s="69">
        <v>1600</v>
      </c>
      <c r="Q40" s="69">
        <v>2000</v>
      </c>
      <c r="R40" s="69">
        <f>IF((L41=""),"",((M40-N40)/(M40+N40))*100)</f>
        <v>3.8015255330136317</v>
      </c>
      <c r="S40" s="69">
        <v>20</v>
      </c>
      <c r="T40" s="130" t="str">
        <f>IF(L41="","",IF(R41&lt;20,(IF(O40&gt;1730,IF(O40&lt;1970,"Pass","Fail"),"Fail"))))</f>
        <v>Pass</v>
      </c>
      <c r="U40" s="69">
        <v>1335</v>
      </c>
      <c r="V40" s="138"/>
      <c r="W40" s="56">
        <v>1730</v>
      </c>
      <c r="X40" s="56">
        <v>1970</v>
      </c>
      <c r="Y40" s="56">
        <v>6.2</v>
      </c>
    </row>
    <row r="41" spans="1:25" x14ac:dyDescent="0.3">
      <c r="A41" s="147"/>
      <c r="B41" s="76"/>
      <c r="C41" s="71" t="s">
        <v>89</v>
      </c>
      <c r="D41" s="56">
        <v>27400.9</v>
      </c>
      <c r="E41" s="56">
        <v>27268.560000000001</v>
      </c>
      <c r="F41" s="56">
        <v>27266.36</v>
      </c>
      <c r="G41" s="56">
        <v>27181.919999999998</v>
      </c>
      <c r="H41" s="56">
        <v>27349.69</v>
      </c>
      <c r="I41" s="56">
        <v>27335.88</v>
      </c>
      <c r="J41" s="56">
        <v>27231.61</v>
      </c>
      <c r="K41" s="56">
        <v>27195.51</v>
      </c>
      <c r="L41" s="56">
        <v>27422.63</v>
      </c>
      <c r="M41" s="77"/>
      <c r="N41" s="77"/>
      <c r="O41" s="77"/>
      <c r="P41" s="77"/>
      <c r="Q41" s="77"/>
      <c r="R41" s="77"/>
      <c r="S41" s="77"/>
      <c r="T41" s="132"/>
      <c r="U41" s="77"/>
      <c r="V41" s="139"/>
    </row>
    <row r="42" spans="1:25" ht="39.9" x14ac:dyDescent="0.3">
      <c r="A42" s="149"/>
      <c r="B42" s="134"/>
      <c r="C42" s="71" t="s">
        <v>123</v>
      </c>
      <c r="D42" s="38">
        <f t="shared" ref="D42:L42" si="10">IF(((D40="")*AND(D41="")),"",(D40-D41)*1)</f>
        <v>1819.369999999999</v>
      </c>
      <c r="E42" s="38">
        <f t="shared" si="10"/>
        <v>1797.8099999999977</v>
      </c>
      <c r="F42" s="38">
        <f t="shared" si="10"/>
        <v>1806.989999999998</v>
      </c>
      <c r="G42" s="38">
        <f t="shared" si="10"/>
        <v>1882.5900000000001</v>
      </c>
      <c r="H42" s="38">
        <f t="shared" si="10"/>
        <v>1939.9000000000015</v>
      </c>
      <c r="I42" s="38">
        <f t="shared" si="10"/>
        <v>1894.6800000000003</v>
      </c>
      <c r="J42" s="38">
        <f t="shared" si="10"/>
        <v>1836.7299999999996</v>
      </c>
      <c r="K42" s="38">
        <f t="shared" si="10"/>
        <v>1860.7700000000004</v>
      </c>
      <c r="L42" s="38">
        <f t="shared" si="10"/>
        <v>1847</v>
      </c>
      <c r="M42" s="135"/>
      <c r="N42" s="135"/>
      <c r="O42" s="135"/>
      <c r="P42" s="135"/>
      <c r="Q42" s="135"/>
      <c r="R42" s="135"/>
      <c r="S42" s="135"/>
      <c r="T42" s="136"/>
      <c r="U42" s="135"/>
      <c r="V42" s="140"/>
    </row>
    <row r="43" spans="1:25" x14ac:dyDescent="0.3">
      <c r="A43" s="129">
        <v>42618</v>
      </c>
      <c r="B43" s="68" t="s">
        <v>124</v>
      </c>
      <c r="C43" s="71" t="s">
        <v>88</v>
      </c>
      <c r="D43" s="56">
        <v>27038.01</v>
      </c>
      <c r="E43" s="56">
        <v>29067.62</v>
      </c>
      <c r="F43" s="56">
        <v>29171.35</v>
      </c>
      <c r="G43" s="56">
        <v>29054.18</v>
      </c>
      <c r="H43" s="56">
        <v>29308.44</v>
      </c>
      <c r="I43" s="56">
        <v>29215.11</v>
      </c>
      <c r="J43" s="56">
        <v>29105.16</v>
      </c>
      <c r="K43" s="56">
        <v>29082.2</v>
      </c>
      <c r="L43" s="56">
        <v>29273.21</v>
      </c>
      <c r="M43" s="69">
        <f>IF((L44=""),"",MAX(D45:L45))</f>
        <v>2087.2899999999972</v>
      </c>
      <c r="N43" s="69">
        <f>IF(L44="","",MIN(D45:L45))</f>
        <v>-298.46000000000276</v>
      </c>
      <c r="O43" s="69">
        <f>IF((L45=""),"",AVERAGE(D45:L45))</f>
        <v>1708.6144444444431</v>
      </c>
      <c r="P43" s="69">
        <v>1600</v>
      </c>
      <c r="Q43" s="69">
        <v>2000</v>
      </c>
      <c r="R43" s="69">
        <f>IF((L44=""),"",((M43-N43)/(M43+N43))*100)</f>
        <v>133.36929725015833</v>
      </c>
      <c r="S43" s="69">
        <v>20</v>
      </c>
      <c r="T43" s="130" t="str">
        <f>IF(L44="","",IF(R44&lt;20,(IF(O43&gt;1730,IF(O43&lt;1970,"Pass","Fail"),"Fail"))))</f>
        <v>Fail</v>
      </c>
      <c r="U43" s="69">
        <v>1428</v>
      </c>
      <c r="V43" s="138"/>
      <c r="W43" s="56">
        <v>1730</v>
      </c>
      <c r="X43" s="56">
        <v>1970</v>
      </c>
      <c r="Y43" s="56">
        <v>6.2</v>
      </c>
    </row>
    <row r="44" spans="1:25" x14ac:dyDescent="0.3">
      <c r="A44" s="147"/>
      <c r="B44" s="76"/>
      <c r="C44" s="71" t="s">
        <v>89</v>
      </c>
      <c r="D44" s="56">
        <v>27336.47</v>
      </c>
      <c r="E44" s="56">
        <v>27146.31</v>
      </c>
      <c r="F44" s="56">
        <v>27249.4</v>
      </c>
      <c r="G44" s="56">
        <v>27105.74</v>
      </c>
      <c r="H44" s="56">
        <v>27221.15</v>
      </c>
      <c r="I44" s="56">
        <v>27223.49</v>
      </c>
      <c r="J44" s="56">
        <v>27172.16</v>
      </c>
      <c r="K44" s="56">
        <v>27106.5</v>
      </c>
      <c r="L44" s="56">
        <v>27376.53</v>
      </c>
      <c r="M44" s="77"/>
      <c r="N44" s="77"/>
      <c r="O44" s="77"/>
      <c r="P44" s="77"/>
      <c r="Q44" s="77"/>
      <c r="R44" s="77"/>
      <c r="S44" s="77"/>
      <c r="T44" s="132"/>
      <c r="U44" s="77"/>
      <c r="V44" s="139"/>
    </row>
    <row r="45" spans="1:25" ht="39.9" x14ac:dyDescent="0.3">
      <c r="A45" s="149"/>
      <c r="B45" s="134"/>
      <c r="C45" s="71" t="s">
        <v>123</v>
      </c>
      <c r="D45" s="38">
        <f t="shared" ref="D45:L45" si="11">IF(((D43="")*AND(D44="")),"",(D43-D44)*1)</f>
        <v>-298.46000000000276</v>
      </c>
      <c r="E45" s="38">
        <f t="shared" si="11"/>
        <v>1921.3099999999977</v>
      </c>
      <c r="F45" s="38">
        <f t="shared" si="11"/>
        <v>1921.9499999999971</v>
      </c>
      <c r="G45" s="38">
        <f t="shared" si="11"/>
        <v>1948.4399999999987</v>
      </c>
      <c r="H45" s="38">
        <f t="shared" si="11"/>
        <v>2087.2899999999972</v>
      </c>
      <c r="I45" s="38">
        <f t="shared" si="11"/>
        <v>1991.619999999999</v>
      </c>
      <c r="J45" s="38">
        <f t="shared" si="11"/>
        <v>1933</v>
      </c>
      <c r="K45" s="38">
        <f t="shared" si="11"/>
        <v>1975.7000000000007</v>
      </c>
      <c r="L45" s="38">
        <f t="shared" si="11"/>
        <v>1896.6800000000003</v>
      </c>
      <c r="M45" s="135"/>
      <c r="N45" s="135"/>
      <c r="O45" s="135"/>
      <c r="P45" s="135"/>
      <c r="Q45" s="135"/>
      <c r="R45" s="135"/>
      <c r="S45" s="135"/>
      <c r="T45" s="136"/>
      <c r="U45" s="135"/>
      <c r="V45" s="140"/>
    </row>
    <row r="46" spans="1:25" x14ac:dyDescent="0.3">
      <c r="A46" s="129">
        <v>42621</v>
      </c>
      <c r="B46" s="68"/>
      <c r="C46" s="71" t="s">
        <v>88</v>
      </c>
      <c r="D46" s="56">
        <v>29252.16</v>
      </c>
      <c r="E46" s="56">
        <v>29090.71</v>
      </c>
      <c r="F46" s="56">
        <v>29152.880000000001</v>
      </c>
      <c r="G46" s="56">
        <v>29091.38</v>
      </c>
      <c r="H46" s="56">
        <v>29312.92</v>
      </c>
      <c r="I46" s="56">
        <v>29236.13</v>
      </c>
      <c r="J46" s="56">
        <v>29077.93</v>
      </c>
      <c r="K46" s="56">
        <v>29089.29</v>
      </c>
      <c r="L46" s="56">
        <v>29294.79</v>
      </c>
      <c r="M46" s="69">
        <f>IF((L47=""),"",MAX(D48:L48))</f>
        <v>2008.6999999999971</v>
      </c>
      <c r="N46" s="69">
        <f>IF(L47="","",MIN(D48:L48))</f>
        <v>1874.0799999999981</v>
      </c>
      <c r="O46" s="69">
        <f>IF((L48=""),"",AVERAGE(D48:L48))</f>
        <v>1918.1788888888889</v>
      </c>
      <c r="P46" s="69">
        <v>1600</v>
      </c>
      <c r="Q46" s="69">
        <v>2000</v>
      </c>
      <c r="R46" s="69">
        <f>IF((L47=""),"",((M46-N46)/(M46+N46))*100)</f>
        <v>3.4671034671034455</v>
      </c>
      <c r="S46" s="69">
        <v>20</v>
      </c>
      <c r="T46" s="130" t="str">
        <f>IF(L47="","",IF(R47&lt;20,(IF(O46&gt;1600,IF(O46&lt;2000,"Pass","Fail"),"Fail"))))</f>
        <v>Pass</v>
      </c>
      <c r="U46" s="69"/>
      <c r="V46" s="138"/>
      <c r="W46" s="56">
        <v>1730</v>
      </c>
      <c r="X46" s="56">
        <v>1970</v>
      </c>
      <c r="Y46" s="56">
        <v>6.2</v>
      </c>
    </row>
    <row r="47" spans="1:25" x14ac:dyDescent="0.3">
      <c r="A47" s="147"/>
      <c r="B47" s="76"/>
      <c r="C47" s="71" t="s">
        <v>89</v>
      </c>
      <c r="D47" s="56">
        <v>27367.14</v>
      </c>
      <c r="E47" s="56">
        <v>27216.63</v>
      </c>
      <c r="F47" s="56">
        <v>27265.88</v>
      </c>
      <c r="G47" s="56">
        <v>27120.71</v>
      </c>
      <c r="H47" s="56">
        <v>27304.22</v>
      </c>
      <c r="I47" s="56">
        <v>27317.919999999998</v>
      </c>
      <c r="J47" s="56">
        <v>27182.560000000001</v>
      </c>
      <c r="K47" s="56">
        <v>27165.99</v>
      </c>
      <c r="L47" s="56">
        <v>27393.53</v>
      </c>
      <c r="M47" s="77"/>
      <c r="N47" s="77"/>
      <c r="O47" s="77"/>
      <c r="P47" s="77"/>
      <c r="Q47" s="77"/>
      <c r="R47" s="77"/>
      <c r="S47" s="77"/>
      <c r="T47" s="132"/>
      <c r="U47" s="77"/>
      <c r="V47" s="139"/>
    </row>
    <row r="48" spans="1:25" ht="39.9" x14ac:dyDescent="0.3">
      <c r="A48" s="149"/>
      <c r="B48" s="134"/>
      <c r="C48" s="71" t="s">
        <v>123</v>
      </c>
      <c r="D48" s="38">
        <f t="shared" ref="D48:L48" si="12">IF(((D46="")*AND(D47="")),"",(D46-D47)*1)</f>
        <v>1885.0200000000004</v>
      </c>
      <c r="E48" s="38">
        <f t="shared" si="12"/>
        <v>1874.0799999999981</v>
      </c>
      <c r="F48" s="38">
        <f t="shared" si="12"/>
        <v>1887</v>
      </c>
      <c r="G48" s="38">
        <f t="shared" si="12"/>
        <v>1970.6700000000019</v>
      </c>
      <c r="H48" s="38">
        <f t="shared" si="12"/>
        <v>2008.6999999999971</v>
      </c>
      <c r="I48" s="38">
        <f t="shared" si="12"/>
        <v>1918.2100000000028</v>
      </c>
      <c r="J48" s="38">
        <f t="shared" si="12"/>
        <v>1895.369999999999</v>
      </c>
      <c r="K48" s="38">
        <f t="shared" si="12"/>
        <v>1923.2999999999993</v>
      </c>
      <c r="L48" s="38">
        <f t="shared" si="12"/>
        <v>1901.260000000002</v>
      </c>
      <c r="M48" s="135"/>
      <c r="N48" s="135"/>
      <c r="O48" s="135"/>
      <c r="P48" s="135"/>
      <c r="Q48" s="135"/>
      <c r="R48" s="135"/>
      <c r="S48" s="135"/>
      <c r="T48" s="136"/>
      <c r="U48" s="135"/>
      <c r="V48" s="140"/>
    </row>
    <row r="49" spans="1:25" x14ac:dyDescent="0.3">
      <c r="A49" s="129">
        <v>42625</v>
      </c>
      <c r="B49" s="68" t="s">
        <v>124</v>
      </c>
      <c r="C49" s="71" t="s">
        <v>88</v>
      </c>
      <c r="D49" s="56">
        <v>27433.46</v>
      </c>
      <c r="E49" s="56">
        <v>27278.16</v>
      </c>
      <c r="F49" s="56">
        <v>27327.95</v>
      </c>
      <c r="G49" s="56">
        <v>27190.560000000001</v>
      </c>
      <c r="H49" s="56">
        <v>27363.49</v>
      </c>
      <c r="I49" s="56">
        <v>27363.29</v>
      </c>
      <c r="J49" s="56">
        <v>27230.36</v>
      </c>
      <c r="K49" s="56">
        <v>27212.12</v>
      </c>
      <c r="L49" s="56">
        <v>27410.54</v>
      </c>
      <c r="M49" s="69">
        <f>IF((L50=""),"",MAX(D51:L51))</f>
        <v>2003.1100000000006</v>
      </c>
      <c r="N49" s="69">
        <f>IF(L50="","",MIN(D51:L51))</f>
        <v>1858.3100000000013</v>
      </c>
      <c r="O49" s="69">
        <f>IF((L51=""),"",AVERAGE(D51:L51))</f>
        <v>1907.2800000000004</v>
      </c>
      <c r="P49" s="69">
        <v>1600</v>
      </c>
      <c r="Q49" s="69">
        <v>2000</v>
      </c>
      <c r="R49" s="69">
        <f>IF((L50=""),"",((M49-N49)/(M49+N49))*100)</f>
        <v>3.7499158340713832</v>
      </c>
      <c r="S49" s="69">
        <v>20</v>
      </c>
      <c r="T49" s="130" t="str">
        <f>IF(L50="","",IF(R50&lt;20,(IF(O49&gt;1730,IF(O49&lt;1970,"Pass","Fail"),"Fail"))))</f>
        <v>Pass</v>
      </c>
      <c r="U49" s="69">
        <v>1400</v>
      </c>
      <c r="V49" s="138"/>
      <c r="W49" s="56">
        <v>1730</v>
      </c>
      <c r="X49" s="56">
        <v>1970</v>
      </c>
      <c r="Y49" s="56">
        <v>6.2</v>
      </c>
    </row>
    <row r="50" spans="1:25" x14ac:dyDescent="0.3">
      <c r="A50" s="147"/>
      <c r="B50" s="76"/>
      <c r="C50" s="71" t="s">
        <v>89</v>
      </c>
      <c r="D50" s="56">
        <v>25567.05</v>
      </c>
      <c r="E50" s="56">
        <v>25412.07</v>
      </c>
      <c r="F50" s="56">
        <v>25469.64</v>
      </c>
      <c r="G50" s="56">
        <v>25229.200000000001</v>
      </c>
      <c r="H50" s="56">
        <v>25360.38</v>
      </c>
      <c r="I50" s="56">
        <v>25452.45</v>
      </c>
      <c r="J50" s="56">
        <v>25346.37</v>
      </c>
      <c r="K50" s="56">
        <v>25296.42</v>
      </c>
      <c r="L50" s="56">
        <v>25510.83</v>
      </c>
      <c r="M50" s="77"/>
      <c r="N50" s="77"/>
      <c r="O50" s="77"/>
      <c r="P50" s="77"/>
      <c r="Q50" s="77"/>
      <c r="R50" s="77"/>
      <c r="S50" s="77"/>
      <c r="T50" s="132"/>
      <c r="U50" s="77"/>
      <c r="V50" s="139"/>
    </row>
    <row r="51" spans="1:25" ht="39.9" x14ac:dyDescent="0.3">
      <c r="A51" s="149"/>
      <c r="B51" s="134"/>
      <c r="C51" s="71" t="s">
        <v>123</v>
      </c>
      <c r="D51" s="38">
        <f t="shared" ref="D51:L51" si="13">IF(((D49="")*AND(D50="")),"",(D49-D50)*1)</f>
        <v>1866.4099999999999</v>
      </c>
      <c r="E51" s="38">
        <f t="shared" si="13"/>
        <v>1866.0900000000001</v>
      </c>
      <c r="F51" s="38">
        <f t="shared" si="13"/>
        <v>1858.3100000000013</v>
      </c>
      <c r="G51" s="38">
        <f t="shared" si="13"/>
        <v>1961.3600000000006</v>
      </c>
      <c r="H51" s="38">
        <f t="shared" si="13"/>
        <v>2003.1100000000006</v>
      </c>
      <c r="I51" s="38">
        <f t="shared" si="13"/>
        <v>1910.8400000000001</v>
      </c>
      <c r="J51" s="38">
        <f t="shared" si="13"/>
        <v>1883.9900000000016</v>
      </c>
      <c r="K51" s="38">
        <f t="shared" si="13"/>
        <v>1915.7000000000007</v>
      </c>
      <c r="L51" s="38">
        <f t="shared" si="13"/>
        <v>1899.7099999999991</v>
      </c>
      <c r="M51" s="135"/>
      <c r="N51" s="135"/>
      <c r="O51" s="135"/>
      <c r="P51" s="135"/>
      <c r="Q51" s="135"/>
      <c r="R51" s="135"/>
      <c r="S51" s="135"/>
      <c r="T51" s="136"/>
      <c r="U51" s="135"/>
      <c r="V51" s="140"/>
    </row>
    <row r="52" spans="1:25" x14ac:dyDescent="0.3">
      <c r="A52" s="129">
        <v>42628</v>
      </c>
      <c r="B52" s="68" t="s">
        <v>124</v>
      </c>
      <c r="C52" s="71" t="s">
        <v>88</v>
      </c>
      <c r="D52" s="56">
        <v>29261.79</v>
      </c>
      <c r="E52" s="56">
        <v>29041.73</v>
      </c>
      <c r="F52" s="56">
        <v>29127.52</v>
      </c>
      <c r="G52" s="56">
        <v>29082.9</v>
      </c>
      <c r="H52" s="56">
        <v>29356.62</v>
      </c>
      <c r="I52" s="56">
        <v>26930.81</v>
      </c>
      <c r="J52" s="56">
        <v>29038.86</v>
      </c>
      <c r="K52" s="56">
        <v>29088.58</v>
      </c>
      <c r="L52" s="56">
        <v>29297.200000000001</v>
      </c>
      <c r="M52" s="69">
        <f>IF((L53=""),"",MAX(D54:L54))</f>
        <v>2012.6399999999994</v>
      </c>
      <c r="N52" s="69">
        <f>IF(L53="","",MIN(D54:L54))</f>
        <v>-355.78999999999724</v>
      </c>
      <c r="O52" s="69">
        <f>IF((L54=""),"",AVERAGE(D54:L54))</f>
        <v>1661.386666666667</v>
      </c>
      <c r="P52" s="69">
        <v>1600</v>
      </c>
      <c r="Q52" s="69">
        <v>2000</v>
      </c>
      <c r="R52" s="69">
        <f>IF((L53=""),"",((M52-N52)/(M52+N52))*100)</f>
        <v>142.94776232006478</v>
      </c>
      <c r="S52" s="69">
        <v>20</v>
      </c>
      <c r="T52" s="130" t="str">
        <f>IF(L53="","",IF(R53&lt;20,(IF(O52&gt;1730,IF(O52&lt;1970,"Pass","Fail"),"Fail"))))</f>
        <v>Fail</v>
      </c>
      <c r="U52" s="69">
        <v>1428</v>
      </c>
      <c r="V52" s="138"/>
      <c r="W52" s="56">
        <v>1730</v>
      </c>
      <c r="X52" s="56">
        <v>1970</v>
      </c>
      <c r="Y52" s="56">
        <v>6.2</v>
      </c>
    </row>
    <row r="53" spans="1:25" x14ac:dyDescent="0.3">
      <c r="A53" s="147"/>
      <c r="B53" s="76"/>
      <c r="C53" s="71" t="s">
        <v>89</v>
      </c>
      <c r="D53" s="56">
        <v>27353.24</v>
      </c>
      <c r="E53" s="56">
        <v>27199.200000000001</v>
      </c>
      <c r="F53" s="56">
        <v>27204.720000000001</v>
      </c>
      <c r="G53" s="56">
        <v>27134.84</v>
      </c>
      <c r="H53" s="56">
        <v>27343.98</v>
      </c>
      <c r="I53" s="56">
        <v>27286.6</v>
      </c>
      <c r="J53" s="56">
        <v>27182.31</v>
      </c>
      <c r="K53" s="56">
        <v>27150.87</v>
      </c>
      <c r="L53" s="56">
        <v>27417.77</v>
      </c>
      <c r="M53" s="77"/>
      <c r="N53" s="77"/>
      <c r="O53" s="77"/>
      <c r="P53" s="77"/>
      <c r="Q53" s="77"/>
      <c r="R53" s="77"/>
      <c r="S53" s="77"/>
      <c r="T53" s="132"/>
      <c r="U53" s="77"/>
      <c r="V53" s="139"/>
    </row>
    <row r="54" spans="1:25" ht="39.9" x14ac:dyDescent="0.3">
      <c r="A54" s="149"/>
      <c r="B54" s="134"/>
      <c r="C54" s="71" t="s">
        <v>123</v>
      </c>
      <c r="D54" s="38">
        <f t="shared" ref="D54:L54" si="14">IF(((D52="")*AND(D53="")),"",(D52-D53)*1)</f>
        <v>1908.5499999999993</v>
      </c>
      <c r="E54" s="38">
        <f t="shared" si="14"/>
        <v>1842.5299999999988</v>
      </c>
      <c r="F54" s="38">
        <f t="shared" si="14"/>
        <v>1922.7999999999993</v>
      </c>
      <c r="G54" s="38">
        <f t="shared" si="14"/>
        <v>1948.0600000000013</v>
      </c>
      <c r="H54" s="38">
        <f t="shared" si="14"/>
        <v>2012.6399999999994</v>
      </c>
      <c r="I54" s="38">
        <f t="shared" si="14"/>
        <v>-355.78999999999724</v>
      </c>
      <c r="J54" s="38">
        <f t="shared" si="14"/>
        <v>1856.5499999999993</v>
      </c>
      <c r="K54" s="38">
        <f t="shared" si="14"/>
        <v>1937.7100000000028</v>
      </c>
      <c r="L54" s="38">
        <f t="shared" si="14"/>
        <v>1879.4300000000003</v>
      </c>
      <c r="M54" s="135"/>
      <c r="N54" s="135"/>
      <c r="O54" s="135"/>
      <c r="P54" s="135"/>
      <c r="Q54" s="135"/>
      <c r="R54" s="135"/>
      <c r="S54" s="135"/>
      <c r="T54" s="136"/>
      <c r="U54" s="135"/>
      <c r="V54" s="140"/>
    </row>
    <row r="55" spans="1:25" x14ac:dyDescent="0.3">
      <c r="A55" s="129">
        <v>42631</v>
      </c>
      <c r="B55" s="68" t="s">
        <v>124</v>
      </c>
      <c r="C55" s="71" t="s">
        <v>88</v>
      </c>
      <c r="D55" s="56">
        <v>29341.99</v>
      </c>
      <c r="E55" s="56">
        <v>29188.94</v>
      </c>
      <c r="F55" s="56">
        <v>29196.38</v>
      </c>
      <c r="G55" s="56">
        <v>29223.96</v>
      </c>
      <c r="H55" s="56">
        <v>29433.81</v>
      </c>
      <c r="I55" s="56">
        <v>29360.12</v>
      </c>
      <c r="J55" s="56">
        <v>29199.27</v>
      </c>
      <c r="K55" s="56">
        <v>29195.16</v>
      </c>
      <c r="L55" s="56">
        <v>29429.55</v>
      </c>
      <c r="M55" s="69">
        <f>IF((L56=""),"",MAX(D57:L57))</f>
        <v>2039.6100000000006</v>
      </c>
      <c r="N55" s="69">
        <f>IF(L56="","",MIN(D57:L57))</f>
        <v>1856.3400000000001</v>
      </c>
      <c r="O55" s="69">
        <f>IF((L57=""),"",AVERAGE(D57:L57))</f>
        <v>1957.8333333333333</v>
      </c>
      <c r="P55" s="69">
        <v>1600</v>
      </c>
      <c r="Q55" s="69">
        <v>2000</v>
      </c>
      <c r="R55" s="69">
        <f>IF((L56=""),"",((M55-N55)/(M55+N55))*100)</f>
        <v>4.7041158125746074</v>
      </c>
      <c r="S55" s="69">
        <v>20</v>
      </c>
      <c r="T55" s="130" t="str">
        <f>IF(L56="","",IF(R56&lt;20,(IF(O55&gt;1730,IF(O55&lt;1970,"Pass","Fail"),"Fail"))))</f>
        <v>Pass</v>
      </c>
      <c r="U55" s="69">
        <v>64</v>
      </c>
      <c r="V55" s="138"/>
      <c r="W55" s="56">
        <v>1730</v>
      </c>
      <c r="X55" s="56">
        <v>1970</v>
      </c>
      <c r="Y55" s="56">
        <v>6.2</v>
      </c>
    </row>
    <row r="56" spans="1:25" x14ac:dyDescent="0.3">
      <c r="A56" s="147"/>
      <c r="B56" s="76"/>
      <c r="C56" s="71" t="s">
        <v>89</v>
      </c>
      <c r="D56" s="56">
        <v>27428.25</v>
      </c>
      <c r="E56" s="56">
        <v>27271.89</v>
      </c>
      <c r="F56" s="56">
        <v>27340.04</v>
      </c>
      <c r="G56" s="56">
        <v>27205.360000000001</v>
      </c>
      <c r="H56" s="56">
        <v>27394.2</v>
      </c>
      <c r="I56" s="56">
        <v>27389.46</v>
      </c>
      <c r="J56" s="56">
        <v>27243.63</v>
      </c>
      <c r="K56" s="56">
        <v>27214.68</v>
      </c>
      <c r="L56" s="56">
        <v>27461.17</v>
      </c>
      <c r="M56" s="77"/>
      <c r="N56" s="77"/>
      <c r="O56" s="77"/>
      <c r="P56" s="77"/>
      <c r="Q56" s="77"/>
      <c r="R56" s="77"/>
      <c r="S56" s="77"/>
      <c r="T56" s="132"/>
      <c r="U56" s="77"/>
      <c r="V56" s="139"/>
    </row>
    <row r="57" spans="1:25" ht="39.9" x14ac:dyDescent="0.3">
      <c r="A57" s="149"/>
      <c r="B57" s="134"/>
      <c r="C57" s="71" t="s">
        <v>123</v>
      </c>
      <c r="D57" s="38">
        <f t="shared" ref="D57:L57" si="15">IF(((D55="")*AND(D56="")),"",(D55-D56)*1)</f>
        <v>1913.7400000000016</v>
      </c>
      <c r="E57" s="38">
        <f t="shared" si="15"/>
        <v>1917.0499999999993</v>
      </c>
      <c r="F57" s="38">
        <f t="shared" si="15"/>
        <v>1856.3400000000001</v>
      </c>
      <c r="G57" s="38">
        <f t="shared" si="15"/>
        <v>2018.5999999999985</v>
      </c>
      <c r="H57" s="38">
        <f t="shared" si="15"/>
        <v>2039.6100000000006</v>
      </c>
      <c r="I57" s="38">
        <f t="shared" si="15"/>
        <v>1970.6599999999999</v>
      </c>
      <c r="J57" s="38">
        <f t="shared" si="15"/>
        <v>1955.6399999999994</v>
      </c>
      <c r="K57" s="38">
        <f t="shared" si="15"/>
        <v>1980.4799999999996</v>
      </c>
      <c r="L57" s="38">
        <f t="shared" si="15"/>
        <v>1968.380000000001</v>
      </c>
      <c r="M57" s="135"/>
      <c r="N57" s="135"/>
      <c r="O57" s="135"/>
      <c r="P57" s="135"/>
      <c r="Q57" s="135"/>
      <c r="R57" s="135"/>
      <c r="S57" s="135"/>
      <c r="T57" s="136"/>
      <c r="U57" s="135"/>
      <c r="V57" s="140"/>
    </row>
    <row r="58" spans="1:25" x14ac:dyDescent="0.3">
      <c r="A58" s="129">
        <v>42634</v>
      </c>
      <c r="B58" s="68" t="s">
        <v>124</v>
      </c>
      <c r="C58" s="71" t="s">
        <v>88</v>
      </c>
      <c r="D58" s="56">
        <v>29390.67</v>
      </c>
      <c r="E58" s="56">
        <v>29243.55</v>
      </c>
      <c r="F58" s="56">
        <v>29291.75</v>
      </c>
      <c r="G58" s="56">
        <v>29205.05</v>
      </c>
      <c r="H58" s="56">
        <v>29433.05</v>
      </c>
      <c r="I58" s="56">
        <v>29371.46</v>
      </c>
      <c r="J58" s="56">
        <v>29208.38</v>
      </c>
      <c r="K58" s="56">
        <v>29218.67</v>
      </c>
      <c r="L58" s="56">
        <v>29439.22</v>
      </c>
      <c r="M58" s="69">
        <f>IF((L59=""),"",MAX(D60:L60))</f>
        <v>2045.5400000000009</v>
      </c>
      <c r="N58" s="69">
        <f>IF(L59="","",MIN(D60:L60))</f>
        <v>1861.5900000000001</v>
      </c>
      <c r="O58" s="69">
        <f>IF((L60=""),"",AVERAGE(D60:L60))</f>
        <v>1950.3799999999994</v>
      </c>
      <c r="P58" s="69">
        <v>1600</v>
      </c>
      <c r="Q58" s="69">
        <v>2000</v>
      </c>
      <c r="R58" s="69">
        <f>IF((L59=""),"",((M58-N58)/(M58+N58))*100)</f>
        <v>4.7080593683855074</v>
      </c>
      <c r="S58" s="69">
        <v>20</v>
      </c>
      <c r="T58" s="130" t="str">
        <f>IF(L59="","",IF(R59&lt;20,(IF(O58&gt;1730,IF(O58&lt;1970,"Pass","Fail"),"Fail"))))</f>
        <v>Pass</v>
      </c>
      <c r="U58" s="69">
        <v>1400</v>
      </c>
      <c r="V58" s="138"/>
      <c r="W58" s="56">
        <v>1730</v>
      </c>
      <c r="X58" s="56">
        <v>1970</v>
      </c>
      <c r="Y58" s="56">
        <v>6.2</v>
      </c>
    </row>
    <row r="59" spans="1:25" x14ac:dyDescent="0.3">
      <c r="A59" s="147"/>
      <c r="B59" s="76"/>
      <c r="C59" s="71" t="s">
        <v>89</v>
      </c>
      <c r="D59" s="56">
        <v>27491.08</v>
      </c>
      <c r="E59" s="56">
        <v>27332.55</v>
      </c>
      <c r="F59" s="56">
        <v>27430.16</v>
      </c>
      <c r="G59" s="56">
        <v>27200.74</v>
      </c>
      <c r="H59" s="56">
        <v>27387.51</v>
      </c>
      <c r="I59" s="56">
        <v>27387.87</v>
      </c>
      <c r="J59" s="56">
        <v>27255.83</v>
      </c>
      <c r="K59" s="56">
        <v>27248.85</v>
      </c>
      <c r="L59" s="56">
        <v>27513.79</v>
      </c>
      <c r="M59" s="77"/>
      <c r="N59" s="77"/>
      <c r="O59" s="77"/>
      <c r="P59" s="77"/>
      <c r="Q59" s="77"/>
      <c r="R59" s="77"/>
      <c r="S59" s="77"/>
      <c r="T59" s="132"/>
      <c r="U59" s="77"/>
      <c r="V59" s="139"/>
    </row>
    <row r="60" spans="1:25" ht="39.9" x14ac:dyDescent="0.3">
      <c r="A60" s="149"/>
      <c r="B60" s="134"/>
      <c r="C60" s="71" t="s">
        <v>123</v>
      </c>
      <c r="D60" s="38">
        <f t="shared" ref="D60:L60" si="16">IF(((D58="")*AND(D59="")),"",(D58-D59)*1)</f>
        <v>1899.5899999999965</v>
      </c>
      <c r="E60" s="38">
        <f t="shared" si="16"/>
        <v>1911</v>
      </c>
      <c r="F60" s="38">
        <f t="shared" si="16"/>
        <v>1861.5900000000001</v>
      </c>
      <c r="G60" s="38">
        <f t="shared" si="16"/>
        <v>2004.3099999999977</v>
      </c>
      <c r="H60" s="38">
        <f t="shared" si="16"/>
        <v>2045.5400000000009</v>
      </c>
      <c r="I60" s="38">
        <f t="shared" si="16"/>
        <v>1983.5900000000001</v>
      </c>
      <c r="J60" s="38">
        <f t="shared" si="16"/>
        <v>1952.5499999999993</v>
      </c>
      <c r="K60" s="38">
        <f t="shared" si="16"/>
        <v>1969.8199999999997</v>
      </c>
      <c r="L60" s="38">
        <f t="shared" si="16"/>
        <v>1925.4300000000003</v>
      </c>
      <c r="M60" s="135"/>
      <c r="N60" s="135"/>
      <c r="O60" s="135"/>
      <c r="P60" s="135"/>
      <c r="Q60" s="135"/>
      <c r="R60" s="135"/>
      <c r="S60" s="135"/>
      <c r="T60" s="136"/>
      <c r="U60" s="135"/>
      <c r="V60" s="140"/>
    </row>
    <row r="61" spans="1:25" x14ac:dyDescent="0.3">
      <c r="A61" s="129">
        <v>42639</v>
      </c>
      <c r="B61" s="68" t="s">
        <v>124</v>
      </c>
      <c r="C61" s="71" t="s">
        <v>88</v>
      </c>
      <c r="D61" s="56">
        <v>29217.94</v>
      </c>
      <c r="E61" s="56">
        <v>29061.74</v>
      </c>
      <c r="F61" s="56">
        <v>29193.96</v>
      </c>
      <c r="G61" s="56">
        <v>29094.799999999999</v>
      </c>
      <c r="H61" s="56">
        <v>29341.19</v>
      </c>
      <c r="I61" s="56">
        <v>29318.12</v>
      </c>
      <c r="J61" s="56">
        <v>26931.26</v>
      </c>
      <c r="K61" s="56">
        <v>29092.65</v>
      </c>
      <c r="L61" s="56">
        <v>29318.81</v>
      </c>
      <c r="M61" s="69">
        <f>IF((L62=""),"",MAX(D63:L63))</f>
        <v>4313.489999999998</v>
      </c>
      <c r="N61" s="69">
        <f>IF(L62="","",MIN(D63:L63))</f>
        <v>-237.29000000000087</v>
      </c>
      <c r="O61" s="69">
        <f>IF((L63=""),"",AVERAGE(D63:L63))</f>
        <v>1950.1966666666663</v>
      </c>
      <c r="P61" s="69">
        <v>1600</v>
      </c>
      <c r="Q61" s="69">
        <v>2000</v>
      </c>
      <c r="R61" s="69">
        <f>IF((L62=""),"",((M61-N61)/(M61+N61))*100)</f>
        <v>111.64270644227472</v>
      </c>
      <c r="S61" s="69">
        <v>20</v>
      </c>
      <c r="T61" s="130" t="str">
        <f>IF(L62="","",IF(R62&lt;20,(IF(O61&gt;1730,IF(O61&lt;1970,"Pass","Fail"),"Fail"))))</f>
        <v>Pass</v>
      </c>
      <c r="U61" s="69">
        <v>1400</v>
      </c>
      <c r="V61" s="138"/>
      <c r="W61" s="56">
        <v>1730</v>
      </c>
      <c r="X61" s="56">
        <v>1970</v>
      </c>
      <c r="Y61" s="56">
        <v>6.2</v>
      </c>
    </row>
    <row r="62" spans="1:25" x14ac:dyDescent="0.3">
      <c r="A62" s="147"/>
      <c r="B62" s="76"/>
      <c r="C62" s="71" t="s">
        <v>89</v>
      </c>
      <c r="D62" s="56">
        <v>27389.13</v>
      </c>
      <c r="E62" s="56">
        <v>27200.33</v>
      </c>
      <c r="F62" s="56">
        <v>27264.52</v>
      </c>
      <c r="G62" s="56">
        <v>27115.48</v>
      </c>
      <c r="H62" s="56">
        <v>27264.57</v>
      </c>
      <c r="I62" s="56">
        <v>25004.63</v>
      </c>
      <c r="J62" s="56">
        <v>27168.55</v>
      </c>
      <c r="K62" s="56">
        <v>27209.26</v>
      </c>
      <c r="L62" s="56">
        <v>27402.23</v>
      </c>
      <c r="M62" s="77"/>
      <c r="N62" s="77"/>
      <c r="O62" s="77"/>
      <c r="P62" s="77"/>
      <c r="Q62" s="77"/>
      <c r="R62" s="77"/>
      <c r="S62" s="77"/>
      <c r="T62" s="132"/>
      <c r="U62" s="77"/>
      <c r="V62" s="139"/>
    </row>
    <row r="63" spans="1:25" ht="39.9" x14ac:dyDescent="0.3">
      <c r="A63" s="149"/>
      <c r="B63" s="134"/>
      <c r="C63" s="71" t="s">
        <v>123</v>
      </c>
      <c r="D63" s="38">
        <f t="shared" ref="D63:L63" si="17">IF(((D61="")*AND(D62="")),"",(D61-D62)*1)</f>
        <v>1828.8099999999977</v>
      </c>
      <c r="E63" s="38">
        <f t="shared" si="17"/>
        <v>1861.4099999999999</v>
      </c>
      <c r="F63" s="38">
        <f t="shared" si="17"/>
        <v>1929.4399999999987</v>
      </c>
      <c r="G63" s="38">
        <f t="shared" si="17"/>
        <v>1979.3199999999997</v>
      </c>
      <c r="H63" s="38">
        <f t="shared" si="17"/>
        <v>2076.619999999999</v>
      </c>
      <c r="I63" s="38">
        <f t="shared" si="17"/>
        <v>4313.489999999998</v>
      </c>
      <c r="J63" s="38">
        <f t="shared" si="17"/>
        <v>-237.29000000000087</v>
      </c>
      <c r="K63" s="38">
        <f t="shared" si="17"/>
        <v>1883.3900000000031</v>
      </c>
      <c r="L63" s="38">
        <f t="shared" si="17"/>
        <v>1916.5800000000017</v>
      </c>
      <c r="M63" s="135"/>
      <c r="N63" s="135"/>
      <c r="O63" s="135"/>
      <c r="P63" s="135"/>
      <c r="Q63" s="135"/>
      <c r="R63" s="135"/>
      <c r="S63" s="135"/>
      <c r="T63" s="136"/>
      <c r="U63" s="135"/>
      <c r="V63" s="140"/>
    </row>
    <row r="64" spans="1:25" x14ac:dyDescent="0.3">
      <c r="A64" s="129">
        <v>42642</v>
      </c>
      <c r="B64" s="68" t="s">
        <v>124</v>
      </c>
      <c r="C64" s="71" t="s">
        <v>88</v>
      </c>
      <c r="D64" s="56">
        <v>29354.83</v>
      </c>
      <c r="E64" s="56">
        <v>29216.68</v>
      </c>
      <c r="F64" s="56">
        <v>29225.11</v>
      </c>
      <c r="G64" s="56">
        <v>29223.72</v>
      </c>
      <c r="H64" s="56">
        <v>29427.67</v>
      </c>
      <c r="I64" s="56">
        <v>29408.53</v>
      </c>
      <c r="J64" s="56">
        <v>29229.62</v>
      </c>
      <c r="K64" s="56">
        <v>29192.29</v>
      </c>
      <c r="L64" s="56">
        <v>29407.14</v>
      </c>
      <c r="M64" s="69">
        <f>IF((L65=""),"",MAX(D66:L66))</f>
        <v>2002.4699999999975</v>
      </c>
      <c r="N64" s="69">
        <f>IF(L65="","",MIN(D66:L66))</f>
        <v>1843.3300000000017</v>
      </c>
      <c r="O64" s="69">
        <f>IF((L66=""),"",AVERAGE(D66:L66))</f>
        <v>1907.1388888888885</v>
      </c>
      <c r="P64" s="69">
        <v>1600</v>
      </c>
      <c r="Q64" s="69">
        <v>2000</v>
      </c>
      <c r="R64" s="69">
        <f>IF((L65=""),"",((M64-N64)/(M64+N64))*100)</f>
        <v>4.1380206979040981</v>
      </c>
      <c r="S64" s="69">
        <v>20</v>
      </c>
      <c r="T64" s="130" t="str">
        <f>IF(L65="","",IF(R65&lt;20,(IF(O64&gt;1730,IF(O64&lt;1970,"Pass","Fail"),"Fail"))))</f>
        <v>Pass</v>
      </c>
      <c r="U64" s="69"/>
      <c r="V64" s="138"/>
      <c r="W64" s="56">
        <v>1730</v>
      </c>
      <c r="X64" s="56">
        <v>1970</v>
      </c>
      <c r="Y64" s="56">
        <v>6.2</v>
      </c>
    </row>
    <row r="65" spans="1:25" x14ac:dyDescent="0.3">
      <c r="A65" s="147"/>
      <c r="B65" s="76"/>
      <c r="C65" s="71" t="s">
        <v>89</v>
      </c>
      <c r="D65" s="56">
        <v>27489.18</v>
      </c>
      <c r="E65" s="56">
        <v>27351.64</v>
      </c>
      <c r="F65" s="56">
        <v>27381.78</v>
      </c>
      <c r="G65" s="56">
        <v>27282.97</v>
      </c>
      <c r="H65" s="56">
        <v>27425.200000000001</v>
      </c>
      <c r="I65" s="56">
        <v>27473.18</v>
      </c>
      <c r="J65" s="56">
        <v>27341.52</v>
      </c>
      <c r="K65" s="56">
        <v>27284.81</v>
      </c>
      <c r="L65" s="56">
        <v>27491.06</v>
      </c>
      <c r="M65" s="77"/>
      <c r="N65" s="77"/>
      <c r="O65" s="77"/>
      <c r="P65" s="77"/>
      <c r="Q65" s="77"/>
      <c r="R65" s="77"/>
      <c r="S65" s="77"/>
      <c r="T65" s="132"/>
      <c r="U65" s="77"/>
      <c r="V65" s="139"/>
    </row>
    <row r="66" spans="1:25" ht="39.9" x14ac:dyDescent="0.3">
      <c r="A66" s="149"/>
      <c r="B66" s="134"/>
      <c r="C66" s="71" t="s">
        <v>123</v>
      </c>
      <c r="D66" s="38">
        <f t="shared" ref="D66:L66" si="18">IF(((D64="")*AND(D65="")),"",(D64-D65)*1)</f>
        <v>1865.6500000000015</v>
      </c>
      <c r="E66" s="38">
        <f t="shared" si="18"/>
        <v>1865.0400000000009</v>
      </c>
      <c r="F66" s="38">
        <f t="shared" si="18"/>
        <v>1843.3300000000017</v>
      </c>
      <c r="G66" s="38">
        <f t="shared" si="18"/>
        <v>1940.75</v>
      </c>
      <c r="H66" s="38">
        <f t="shared" si="18"/>
        <v>2002.4699999999975</v>
      </c>
      <c r="I66" s="38">
        <f t="shared" si="18"/>
        <v>1935.3499999999985</v>
      </c>
      <c r="J66" s="38">
        <f t="shared" si="18"/>
        <v>1888.0999999999985</v>
      </c>
      <c r="K66" s="38">
        <f t="shared" si="18"/>
        <v>1907.4799999999996</v>
      </c>
      <c r="L66" s="38">
        <f t="shared" si="18"/>
        <v>1916.0799999999981</v>
      </c>
      <c r="M66" s="135"/>
      <c r="N66" s="135"/>
      <c r="O66" s="135"/>
      <c r="P66" s="135"/>
      <c r="Q66" s="135"/>
      <c r="R66" s="135"/>
      <c r="S66" s="135"/>
      <c r="T66" s="136"/>
      <c r="U66" s="135"/>
      <c r="V66" s="140"/>
    </row>
    <row r="67" spans="1:25" x14ac:dyDescent="0.3">
      <c r="A67" s="129">
        <v>42646</v>
      </c>
      <c r="B67" s="68" t="s">
        <v>124</v>
      </c>
      <c r="C67" s="71" t="s">
        <v>88</v>
      </c>
      <c r="D67" s="56">
        <v>29365.99</v>
      </c>
      <c r="E67" s="56">
        <v>29191.46</v>
      </c>
      <c r="F67" s="56">
        <v>29218.67</v>
      </c>
      <c r="G67" s="56">
        <v>29232.58</v>
      </c>
      <c r="H67" s="56">
        <v>29461.279999999999</v>
      </c>
      <c r="I67" s="56">
        <v>29338.75</v>
      </c>
      <c r="J67" s="56">
        <v>29191.51</v>
      </c>
      <c r="K67" s="56">
        <v>29211.45</v>
      </c>
      <c r="L67" s="56">
        <v>29428.3</v>
      </c>
      <c r="M67" s="69">
        <f>IF((L68=""),"",MAX(D69:L69))</f>
        <v>2001.4499999999971</v>
      </c>
      <c r="N67" s="69">
        <f>IF(L68="","",MIN(D69:L69))</f>
        <v>1854.8099999999977</v>
      </c>
      <c r="O67" s="69">
        <f>IF((L69=""),"",AVERAGE(D69:L69))</f>
        <v>1907.1366666666659</v>
      </c>
      <c r="P67" s="69">
        <v>1600</v>
      </c>
      <c r="Q67" s="69">
        <v>2000</v>
      </c>
      <c r="R67" s="69">
        <f>IF((L68=""),"",((M67-N67)/(M67+N67))*100)</f>
        <v>3.8026481616903327</v>
      </c>
      <c r="S67" s="69">
        <v>20</v>
      </c>
      <c r="T67" s="130" t="str">
        <f>IF(L68="","",IF(R68&lt;20,(IF(O67&gt;1730,IF(O67&lt;1970,"Pass","Fail"),"Fail"))))</f>
        <v>Pass</v>
      </c>
      <c r="U67" s="69">
        <v>1335</v>
      </c>
      <c r="V67" s="138"/>
      <c r="W67" s="56">
        <v>1730</v>
      </c>
      <c r="X67" s="56">
        <v>1970</v>
      </c>
      <c r="Y67" s="56">
        <v>6.2</v>
      </c>
    </row>
    <row r="68" spans="1:25" x14ac:dyDescent="0.3">
      <c r="A68" s="147"/>
      <c r="B68" s="76"/>
      <c r="C68" s="71" t="s">
        <v>89</v>
      </c>
      <c r="D68" s="56">
        <v>27490.07</v>
      </c>
      <c r="E68" s="56">
        <v>27334.26</v>
      </c>
      <c r="F68" s="56">
        <v>27363.86</v>
      </c>
      <c r="G68" s="56">
        <v>27287.31</v>
      </c>
      <c r="H68" s="56">
        <v>27459.83</v>
      </c>
      <c r="I68" s="56">
        <v>27416.59</v>
      </c>
      <c r="J68" s="56">
        <v>27310.13</v>
      </c>
      <c r="K68" s="56">
        <v>27305.24</v>
      </c>
      <c r="L68" s="56">
        <v>27508.47</v>
      </c>
      <c r="M68" s="77"/>
      <c r="N68" s="77"/>
      <c r="O68" s="77"/>
      <c r="P68" s="77"/>
      <c r="Q68" s="77"/>
      <c r="R68" s="77"/>
      <c r="S68" s="77"/>
      <c r="T68" s="132"/>
      <c r="U68" s="77"/>
      <c r="V68" s="139"/>
    </row>
    <row r="69" spans="1:25" ht="39.9" x14ac:dyDescent="0.3">
      <c r="A69" s="149"/>
      <c r="B69" s="134"/>
      <c r="C69" s="71" t="s">
        <v>123</v>
      </c>
      <c r="D69" s="38">
        <f t="shared" ref="D69:L69" si="19">IF(((D67="")*AND(D68="")),"",(D67-D68)*1)</f>
        <v>1875.9200000000019</v>
      </c>
      <c r="E69" s="38">
        <f t="shared" si="19"/>
        <v>1857.2000000000007</v>
      </c>
      <c r="F69" s="38">
        <f t="shared" si="19"/>
        <v>1854.8099999999977</v>
      </c>
      <c r="G69" s="38">
        <f t="shared" si="19"/>
        <v>1945.2700000000004</v>
      </c>
      <c r="H69" s="38">
        <f t="shared" si="19"/>
        <v>2001.4499999999971</v>
      </c>
      <c r="I69" s="38">
        <f t="shared" si="19"/>
        <v>1922.1599999999999</v>
      </c>
      <c r="J69" s="38">
        <f t="shared" si="19"/>
        <v>1881.3799999999974</v>
      </c>
      <c r="K69" s="38">
        <f t="shared" si="19"/>
        <v>1906.2099999999991</v>
      </c>
      <c r="L69" s="38">
        <f t="shared" si="19"/>
        <v>1919.8299999999981</v>
      </c>
      <c r="M69" s="135"/>
      <c r="N69" s="135"/>
      <c r="O69" s="135"/>
      <c r="P69" s="135"/>
      <c r="Q69" s="135"/>
      <c r="R69" s="135"/>
      <c r="S69" s="135"/>
      <c r="T69" s="136"/>
      <c r="U69" s="135"/>
      <c r="V69" s="140"/>
    </row>
    <row r="70" spans="1:25" x14ac:dyDescent="0.3">
      <c r="A70" s="129">
        <v>42649</v>
      </c>
      <c r="B70" s="68" t="s">
        <v>124</v>
      </c>
      <c r="C70" s="71" t="s">
        <v>88</v>
      </c>
      <c r="D70" s="56">
        <v>29327.71</v>
      </c>
      <c r="E70" s="56">
        <v>29174.42</v>
      </c>
      <c r="F70" s="56">
        <v>29170.37</v>
      </c>
      <c r="G70" s="56">
        <v>29175.29</v>
      </c>
      <c r="H70" s="56">
        <v>29409</v>
      </c>
      <c r="I70" s="56">
        <v>29355.19</v>
      </c>
      <c r="J70" s="56">
        <v>29186.37</v>
      </c>
      <c r="K70" s="56">
        <v>29148.21</v>
      </c>
      <c r="L70" s="56">
        <v>29376.27</v>
      </c>
      <c r="M70" s="69">
        <f>IF((L71=""),"",MAX(D72:L72))</f>
        <v>1986.869999999999</v>
      </c>
      <c r="N70" s="69">
        <f>IF(L71="","",MIN(D72:L72))</f>
        <v>1825.4099999999999</v>
      </c>
      <c r="O70" s="69">
        <f>IF((L72=""),"",AVERAGE(D72:L72))</f>
        <v>1896.1944444444441</v>
      </c>
      <c r="P70" s="69">
        <v>1600</v>
      </c>
      <c r="Q70" s="69">
        <v>2000</v>
      </c>
      <c r="R70" s="69">
        <f>IF((L71=""),"",((M70-N70)/(M70+N70))*100)</f>
        <v>4.2352607888192679</v>
      </c>
      <c r="S70" s="69">
        <v>20</v>
      </c>
      <c r="T70" s="130" t="str">
        <f>IF(L71="","",IF(R71&lt;20,(IF(O70&gt;1730,IF(O70&lt;1970,"Pass","Fail"),"Fail"))))</f>
        <v>Pass</v>
      </c>
      <c r="U70" s="69">
        <v>1400</v>
      </c>
      <c r="V70" s="138"/>
      <c r="W70" s="56">
        <v>1730</v>
      </c>
      <c r="X70" s="56">
        <v>1970</v>
      </c>
      <c r="Y70" s="56">
        <v>6.2</v>
      </c>
    </row>
    <row r="71" spans="1:25" x14ac:dyDescent="0.3">
      <c r="A71" s="147"/>
      <c r="B71" s="76"/>
      <c r="C71" s="71" t="s">
        <v>89</v>
      </c>
      <c r="D71" s="56">
        <v>27488.6</v>
      </c>
      <c r="E71" s="56">
        <v>27318.11</v>
      </c>
      <c r="F71" s="56">
        <v>27344.959999999999</v>
      </c>
      <c r="G71" s="56">
        <v>27230.01</v>
      </c>
      <c r="H71" s="56">
        <v>27422.13</v>
      </c>
      <c r="I71" s="56">
        <v>27450.17</v>
      </c>
      <c r="J71" s="56">
        <v>27296.39</v>
      </c>
      <c r="K71" s="56">
        <v>27237.31</v>
      </c>
      <c r="L71" s="56">
        <v>27469.4</v>
      </c>
      <c r="M71" s="77"/>
      <c r="N71" s="77"/>
      <c r="O71" s="77"/>
      <c r="P71" s="77"/>
      <c r="Q71" s="77"/>
      <c r="R71" s="77"/>
      <c r="S71" s="77"/>
      <c r="T71" s="132"/>
      <c r="U71" s="77"/>
      <c r="V71" s="139"/>
    </row>
    <row r="72" spans="1:25" ht="39.9" x14ac:dyDescent="0.3">
      <c r="A72" s="149"/>
      <c r="B72" s="134"/>
      <c r="C72" s="71" t="s">
        <v>123</v>
      </c>
      <c r="D72" s="38">
        <f t="shared" ref="D72:L72" si="20">IF(((D70="")*AND(D71="")),"",(D70-D71)*1)</f>
        <v>1839.1100000000006</v>
      </c>
      <c r="E72" s="38">
        <f t="shared" si="20"/>
        <v>1856.3099999999977</v>
      </c>
      <c r="F72" s="38">
        <f t="shared" si="20"/>
        <v>1825.4099999999999</v>
      </c>
      <c r="G72" s="38">
        <f t="shared" si="20"/>
        <v>1945.2800000000025</v>
      </c>
      <c r="H72" s="38">
        <f t="shared" si="20"/>
        <v>1986.869999999999</v>
      </c>
      <c r="I72" s="38">
        <f t="shared" si="20"/>
        <v>1905.0200000000004</v>
      </c>
      <c r="J72" s="38">
        <f t="shared" si="20"/>
        <v>1889.9799999999996</v>
      </c>
      <c r="K72" s="38">
        <f t="shared" si="20"/>
        <v>1910.8999999999978</v>
      </c>
      <c r="L72" s="38">
        <f t="shared" si="20"/>
        <v>1906.869999999999</v>
      </c>
      <c r="M72" s="135"/>
      <c r="N72" s="135"/>
      <c r="O72" s="135"/>
      <c r="P72" s="135"/>
      <c r="Q72" s="135"/>
      <c r="R72" s="135"/>
      <c r="S72" s="135"/>
      <c r="T72" s="136"/>
      <c r="U72" s="135"/>
      <c r="V72" s="140"/>
    </row>
    <row r="73" spans="1:25" x14ac:dyDescent="0.3">
      <c r="A73" s="129">
        <v>42653</v>
      </c>
      <c r="B73" s="68" t="s">
        <v>124</v>
      </c>
      <c r="C73" s="71" t="s">
        <v>88</v>
      </c>
      <c r="D73" s="56">
        <v>29224</v>
      </c>
      <c r="E73" s="56">
        <v>29099.34</v>
      </c>
      <c r="F73" s="56">
        <v>29158.93</v>
      </c>
      <c r="G73" s="56">
        <v>29119.119999999999</v>
      </c>
      <c r="H73" s="56">
        <v>29356.400000000001</v>
      </c>
      <c r="I73" s="56">
        <v>29271.15</v>
      </c>
      <c r="J73" s="56">
        <v>29090.62</v>
      </c>
      <c r="K73" s="56">
        <v>29098.09</v>
      </c>
      <c r="L73" s="56">
        <v>29296.91</v>
      </c>
      <c r="M73" s="69">
        <f>IF((L74=""),"",MAX(D75:L75))</f>
        <v>1992.8700000000026</v>
      </c>
      <c r="N73" s="69">
        <f>IF(L74="","",MIN(D75:L75))</f>
        <v>1845.5400000000009</v>
      </c>
      <c r="O73" s="69">
        <f>IF((L75=""),"",AVERAGE(D75:L75))</f>
        <v>1898.7888888888899</v>
      </c>
      <c r="P73" s="69">
        <v>1600</v>
      </c>
      <c r="Q73" s="69">
        <v>2000</v>
      </c>
      <c r="R73" s="69">
        <f>IF((L74=""),"",((M73-N73)/(M73+N73))*100)</f>
        <v>3.8383080494267579</v>
      </c>
      <c r="S73" s="69">
        <v>20</v>
      </c>
      <c r="T73" s="130" t="str">
        <f>IF(L74="","",IF(R74&lt;20,(IF(O73&gt;1730,IF(O73&lt;1970,"Pass","Fail"),"Fail"))))</f>
        <v>Pass</v>
      </c>
      <c r="U73" s="69">
        <v>1428</v>
      </c>
      <c r="V73" s="138"/>
      <c r="W73" s="56">
        <v>1730</v>
      </c>
      <c r="X73" s="56">
        <v>1970</v>
      </c>
      <c r="Y73" s="56">
        <v>6.2</v>
      </c>
    </row>
    <row r="74" spans="1:25" x14ac:dyDescent="0.3">
      <c r="A74" s="147"/>
      <c r="B74" s="76"/>
      <c r="C74" s="71" t="s">
        <v>89</v>
      </c>
      <c r="D74" s="56">
        <v>27378.46</v>
      </c>
      <c r="E74" s="56">
        <v>27250.32</v>
      </c>
      <c r="F74" s="56">
        <v>27310.3</v>
      </c>
      <c r="G74" s="56">
        <v>27186.35</v>
      </c>
      <c r="H74" s="56">
        <v>27363.53</v>
      </c>
      <c r="I74" s="56">
        <v>27360.1</v>
      </c>
      <c r="J74" s="56">
        <v>27211.43</v>
      </c>
      <c r="K74" s="56">
        <v>27193.759999999998</v>
      </c>
      <c r="L74" s="56">
        <v>27371.21</v>
      </c>
      <c r="M74" s="77"/>
      <c r="N74" s="77"/>
      <c r="O74" s="77"/>
      <c r="P74" s="77"/>
      <c r="Q74" s="77"/>
      <c r="R74" s="77"/>
      <c r="S74" s="77"/>
      <c r="T74" s="132"/>
      <c r="U74" s="77"/>
      <c r="V74" s="139"/>
    </row>
    <row r="75" spans="1:25" ht="39.9" x14ac:dyDescent="0.3">
      <c r="A75" s="149"/>
      <c r="B75" s="134"/>
      <c r="C75" s="71" t="s">
        <v>123</v>
      </c>
      <c r="D75" s="38">
        <f t="shared" ref="D75:L75" si="21">IF(((D73="")*AND(D74="")),"",(D73-D74)*1)</f>
        <v>1845.5400000000009</v>
      </c>
      <c r="E75" s="38">
        <f t="shared" si="21"/>
        <v>1849.0200000000004</v>
      </c>
      <c r="F75" s="38">
        <f t="shared" si="21"/>
        <v>1848.630000000001</v>
      </c>
      <c r="G75" s="38">
        <f t="shared" si="21"/>
        <v>1932.7700000000004</v>
      </c>
      <c r="H75" s="38">
        <f t="shared" si="21"/>
        <v>1992.8700000000026</v>
      </c>
      <c r="I75" s="38">
        <f t="shared" si="21"/>
        <v>1911.0500000000029</v>
      </c>
      <c r="J75" s="38">
        <f t="shared" si="21"/>
        <v>1879.1899999999987</v>
      </c>
      <c r="K75" s="38">
        <f t="shared" si="21"/>
        <v>1904.3300000000017</v>
      </c>
      <c r="L75" s="38">
        <f t="shared" si="21"/>
        <v>1925.7000000000007</v>
      </c>
      <c r="M75" s="135"/>
      <c r="N75" s="135"/>
      <c r="O75" s="135"/>
      <c r="P75" s="135"/>
      <c r="Q75" s="135"/>
      <c r="R75" s="135"/>
      <c r="S75" s="135"/>
      <c r="T75" s="136"/>
      <c r="U75" s="135"/>
      <c r="V75" s="140"/>
    </row>
    <row r="76" spans="1:25" x14ac:dyDescent="0.3">
      <c r="A76" s="129">
        <v>42657</v>
      </c>
      <c r="B76" s="68" t="s">
        <v>124</v>
      </c>
      <c r="C76" s="71" t="s">
        <v>88</v>
      </c>
      <c r="D76" s="56">
        <v>29241.38</v>
      </c>
      <c r="E76" s="56">
        <v>29094.78</v>
      </c>
      <c r="F76" s="56">
        <v>26993.46</v>
      </c>
      <c r="G76" s="56">
        <v>29074.13</v>
      </c>
      <c r="H76" s="56">
        <v>29317.71</v>
      </c>
      <c r="I76" s="56">
        <v>29226.54</v>
      </c>
      <c r="J76" s="56">
        <v>29176.15</v>
      </c>
      <c r="K76" s="56">
        <v>29087.51</v>
      </c>
      <c r="L76" s="56">
        <v>29315.119999999999</v>
      </c>
      <c r="M76" s="69">
        <f>IF((L77=""),"",MAX(D78:L78))</f>
        <v>1958.3099999999977</v>
      </c>
      <c r="N76" s="69">
        <f>IF(L77="","",MIN(D78:L78))</f>
        <v>-273.63999999999942</v>
      </c>
      <c r="O76" s="69">
        <f>IF((L78=""),"",AVERAGE(D78:L78))</f>
        <v>1661.1711111111113</v>
      </c>
      <c r="P76" s="69">
        <v>1600</v>
      </c>
      <c r="Q76" s="69">
        <v>2000</v>
      </c>
      <c r="R76" s="69">
        <f>IF((L77=""),"",((M76-N76)/(M76+N76))*100)</f>
        <v>132.4858874438317</v>
      </c>
      <c r="S76" s="69">
        <v>20</v>
      </c>
      <c r="T76" s="130" t="str">
        <f>IF(L77="","",IF(R77&lt;20,(IF(O76&gt;1730,IF(O76&lt;1970,"Pass","Fail"),"Fail"))))</f>
        <v>Fail</v>
      </c>
      <c r="U76" s="69">
        <v>1335</v>
      </c>
      <c r="V76" s="138"/>
      <c r="W76" s="56">
        <v>1730</v>
      </c>
      <c r="X76" s="56">
        <v>1970</v>
      </c>
      <c r="Y76" s="56">
        <v>6.2</v>
      </c>
    </row>
    <row r="77" spans="1:25" x14ac:dyDescent="0.3">
      <c r="A77" s="147"/>
      <c r="B77" s="76"/>
      <c r="C77" s="71" t="s">
        <v>89</v>
      </c>
      <c r="D77" s="56">
        <v>27370.78</v>
      </c>
      <c r="E77" s="56">
        <v>27243.95</v>
      </c>
      <c r="F77" s="56">
        <v>27267.1</v>
      </c>
      <c r="G77" s="56">
        <v>27160.46</v>
      </c>
      <c r="H77" s="56">
        <v>27359.4</v>
      </c>
      <c r="I77" s="56">
        <v>27330.51</v>
      </c>
      <c r="J77" s="56">
        <v>27222.76</v>
      </c>
      <c r="K77" s="56">
        <v>27195.9</v>
      </c>
      <c r="L77" s="56">
        <v>27425.38</v>
      </c>
      <c r="M77" s="77"/>
      <c r="N77" s="77"/>
      <c r="O77" s="77"/>
      <c r="P77" s="77"/>
      <c r="Q77" s="77"/>
      <c r="R77" s="77"/>
      <c r="S77" s="77"/>
      <c r="T77" s="132"/>
      <c r="U77" s="77"/>
      <c r="V77" s="139"/>
    </row>
    <row r="78" spans="1:25" ht="39.9" x14ac:dyDescent="0.3">
      <c r="A78" s="149"/>
      <c r="B78" s="134"/>
      <c r="C78" s="71" t="s">
        <v>123</v>
      </c>
      <c r="D78" s="38">
        <f t="shared" ref="D78:L78" si="22">IF(((D76="")*AND(D77="")),"",(D76-D77)*1)</f>
        <v>1870.6000000000022</v>
      </c>
      <c r="E78" s="38">
        <f t="shared" si="22"/>
        <v>1850.8299999999981</v>
      </c>
      <c r="F78" s="38">
        <f t="shared" si="22"/>
        <v>-273.63999999999942</v>
      </c>
      <c r="G78" s="38">
        <f t="shared" si="22"/>
        <v>1913.6700000000019</v>
      </c>
      <c r="H78" s="38">
        <f t="shared" si="22"/>
        <v>1958.3099999999977</v>
      </c>
      <c r="I78" s="38">
        <f t="shared" si="22"/>
        <v>1896.0300000000025</v>
      </c>
      <c r="J78" s="38">
        <f t="shared" si="22"/>
        <v>1953.3900000000031</v>
      </c>
      <c r="K78" s="38">
        <f t="shared" si="22"/>
        <v>1891.6099999999969</v>
      </c>
      <c r="L78" s="38">
        <f t="shared" si="22"/>
        <v>1889.739999999998</v>
      </c>
      <c r="M78" s="135"/>
      <c r="N78" s="135"/>
      <c r="O78" s="135"/>
      <c r="P78" s="135"/>
      <c r="Q78" s="135"/>
      <c r="R78" s="135"/>
      <c r="S78" s="135"/>
      <c r="T78" s="136"/>
      <c r="U78" s="135"/>
      <c r="V78" s="140"/>
    </row>
    <row r="79" spans="1:25" x14ac:dyDescent="0.3">
      <c r="A79" s="129">
        <v>42660</v>
      </c>
      <c r="B79" s="68" t="s">
        <v>124</v>
      </c>
      <c r="C79" s="71" t="s">
        <v>88</v>
      </c>
      <c r="D79" s="56">
        <v>29186.29</v>
      </c>
      <c r="E79" s="56">
        <v>29021.82</v>
      </c>
      <c r="F79" s="56">
        <v>29111.41</v>
      </c>
      <c r="G79" s="56">
        <v>29053.39</v>
      </c>
      <c r="H79" s="56">
        <v>29237.64</v>
      </c>
      <c r="I79" s="56">
        <v>29169.81</v>
      </c>
      <c r="J79" s="56">
        <v>29029.18</v>
      </c>
      <c r="K79" s="56">
        <v>29031.16</v>
      </c>
      <c r="L79" s="56">
        <v>29235.42</v>
      </c>
      <c r="M79" s="69">
        <f>IF((L80=""),"",MAX(D81:L81))</f>
        <v>1977.1699999999983</v>
      </c>
      <c r="N79" s="69">
        <f>IF(L80="","",MIN(D81:L81))</f>
        <v>1821.2900000000009</v>
      </c>
      <c r="O79" s="69">
        <f>IF((L81=""),"",AVERAGE(D81:L81))</f>
        <v>1907.751111111111</v>
      </c>
      <c r="P79" s="69">
        <v>1600</v>
      </c>
      <c r="Q79" s="69">
        <v>2000</v>
      </c>
      <c r="R79" s="69">
        <f>IF((L80=""),"",((M79-N79)/(M79+N79))*100)</f>
        <v>4.1037683692864322</v>
      </c>
      <c r="S79" s="69">
        <v>20</v>
      </c>
      <c r="T79" s="130" t="str">
        <f>IF(L80="","",IF(R80&lt;20,(IF(O79&gt;1730,IF(O79&lt;1970,"Pass","Fail"),"Fail"))))</f>
        <v>Pass</v>
      </c>
      <c r="U79" s="69">
        <v>1428</v>
      </c>
      <c r="V79" s="138"/>
      <c r="W79" s="56">
        <v>1730</v>
      </c>
      <c r="X79" s="56">
        <v>1970</v>
      </c>
      <c r="Y79" s="56">
        <v>6.2</v>
      </c>
    </row>
    <row r="80" spans="1:25" x14ac:dyDescent="0.3">
      <c r="A80" s="147"/>
      <c r="B80" s="76"/>
      <c r="C80" s="71" t="s">
        <v>89</v>
      </c>
      <c r="D80" s="56">
        <v>27308.95</v>
      </c>
      <c r="E80" s="56">
        <v>27143.72</v>
      </c>
      <c r="F80" s="56">
        <v>27290.12</v>
      </c>
      <c r="G80" s="56">
        <v>27089.75</v>
      </c>
      <c r="H80" s="56">
        <v>27260.47</v>
      </c>
      <c r="I80" s="56">
        <v>27237.200000000001</v>
      </c>
      <c r="J80" s="56">
        <v>27118.21</v>
      </c>
      <c r="K80" s="56">
        <v>27109.62</v>
      </c>
      <c r="L80" s="56">
        <v>27348.32</v>
      </c>
      <c r="M80" s="77"/>
      <c r="N80" s="77"/>
      <c r="O80" s="77"/>
      <c r="P80" s="77"/>
      <c r="Q80" s="77"/>
      <c r="R80" s="77"/>
      <c r="S80" s="77"/>
      <c r="T80" s="132"/>
      <c r="U80" s="77"/>
      <c r="V80" s="139"/>
    </row>
    <row r="81" spans="1:25" ht="39.9" x14ac:dyDescent="0.3">
      <c r="A81" s="149"/>
      <c r="B81" s="134"/>
      <c r="C81" s="71" t="s">
        <v>123</v>
      </c>
      <c r="D81" s="38">
        <f t="shared" ref="D81:L81" si="23">IF(((D79="")*AND(D80="")),"",(D79-D80)*1)</f>
        <v>1877.3400000000001</v>
      </c>
      <c r="E81" s="38">
        <f t="shared" si="23"/>
        <v>1878.0999999999985</v>
      </c>
      <c r="F81" s="38">
        <f t="shared" si="23"/>
        <v>1821.2900000000009</v>
      </c>
      <c r="G81" s="38">
        <f t="shared" si="23"/>
        <v>1963.6399999999994</v>
      </c>
      <c r="H81" s="38">
        <f t="shared" si="23"/>
        <v>1977.1699999999983</v>
      </c>
      <c r="I81" s="38">
        <f t="shared" si="23"/>
        <v>1932.6100000000006</v>
      </c>
      <c r="J81" s="38">
        <f t="shared" si="23"/>
        <v>1910.9700000000012</v>
      </c>
      <c r="K81" s="38">
        <f t="shared" si="23"/>
        <v>1921.5400000000009</v>
      </c>
      <c r="L81" s="38">
        <f t="shared" si="23"/>
        <v>1887.0999999999985</v>
      </c>
      <c r="M81" s="135"/>
      <c r="N81" s="135"/>
      <c r="O81" s="135"/>
      <c r="P81" s="135"/>
      <c r="Q81" s="135"/>
      <c r="R81" s="135"/>
      <c r="S81" s="135"/>
      <c r="T81" s="136"/>
      <c r="U81" s="135"/>
      <c r="V81" s="140"/>
    </row>
    <row r="82" spans="1:25" x14ac:dyDescent="0.3">
      <c r="A82" s="129">
        <v>42664</v>
      </c>
      <c r="B82" s="68" t="s">
        <v>124</v>
      </c>
      <c r="C82" s="71" t="s">
        <v>88</v>
      </c>
      <c r="D82" s="56">
        <v>29146.5</v>
      </c>
      <c r="E82" s="56">
        <v>28961.93</v>
      </c>
      <c r="F82" s="56">
        <v>28943.89</v>
      </c>
      <c r="G82" s="56">
        <v>28944.13</v>
      </c>
      <c r="H82" s="56">
        <v>29151.87</v>
      </c>
      <c r="I82" s="56">
        <v>29100.41</v>
      </c>
      <c r="J82" s="56">
        <v>28931.33</v>
      </c>
      <c r="K82" s="56">
        <v>28949.73</v>
      </c>
      <c r="L82" s="56">
        <v>29190.26</v>
      </c>
      <c r="M82" s="69">
        <f>IF((L83=""),"",MAX(D84:L84))</f>
        <v>2001.119999999999</v>
      </c>
      <c r="N82" s="69">
        <f>IF(L83="","",MIN(D84:L84))</f>
        <v>1819.1399999999994</v>
      </c>
      <c r="O82" s="69">
        <f>IF((L84=""),"",AVERAGE(D84:L84))</f>
        <v>1930.2366666666667</v>
      </c>
      <c r="P82" s="69">
        <v>1600</v>
      </c>
      <c r="Q82" s="69">
        <v>2000</v>
      </c>
      <c r="R82" s="69">
        <f>IF((L83=""),"",((M82-N82)/(M82+N82))*100)</f>
        <v>4.7635501248606023</v>
      </c>
      <c r="S82" s="69">
        <v>20</v>
      </c>
      <c r="T82" s="130" t="str">
        <f>IF(L83="","",IF(R83&lt;20,(IF(O82&gt;1730,IF(O82&lt;1970,"Pass","Fail"),"Fail"))))</f>
        <v>Pass</v>
      </c>
      <c r="U82" s="69">
        <v>1400</v>
      </c>
      <c r="V82" s="138"/>
      <c r="W82" s="56">
        <v>1730</v>
      </c>
      <c r="X82" s="56">
        <v>1970</v>
      </c>
      <c r="Y82" s="56">
        <v>6.2</v>
      </c>
    </row>
    <row r="83" spans="1:25" x14ac:dyDescent="0.3">
      <c r="A83" s="147"/>
      <c r="B83" s="76"/>
      <c r="C83" s="71" t="s">
        <v>89</v>
      </c>
      <c r="D83" s="56">
        <v>27248.84</v>
      </c>
      <c r="E83" s="56">
        <v>27070.89</v>
      </c>
      <c r="F83" s="56">
        <v>27124.75</v>
      </c>
      <c r="G83" s="56">
        <v>26947.360000000001</v>
      </c>
      <c r="H83" s="56">
        <v>27150.75</v>
      </c>
      <c r="I83" s="56">
        <v>27138.04</v>
      </c>
      <c r="J83" s="56">
        <v>26989.5</v>
      </c>
      <c r="K83" s="56">
        <v>26990.51</v>
      </c>
      <c r="L83" s="56">
        <v>27287.279999999999</v>
      </c>
      <c r="M83" s="77"/>
      <c r="N83" s="77"/>
      <c r="O83" s="77"/>
      <c r="P83" s="77"/>
      <c r="Q83" s="77"/>
      <c r="R83" s="77"/>
      <c r="S83" s="77"/>
      <c r="T83" s="132"/>
      <c r="U83" s="77"/>
      <c r="V83" s="139"/>
    </row>
    <row r="84" spans="1:25" ht="39.9" x14ac:dyDescent="0.3">
      <c r="A84" s="149"/>
      <c r="B84" s="134"/>
      <c r="C84" s="71" t="s">
        <v>123</v>
      </c>
      <c r="D84" s="38">
        <f t="shared" ref="D84:L84" si="24">IF(((D82="")*AND(D83="")),"",(D82-D83)*1)</f>
        <v>1897.6599999999999</v>
      </c>
      <c r="E84" s="38">
        <f t="shared" si="24"/>
        <v>1891.0400000000009</v>
      </c>
      <c r="F84" s="38">
        <f t="shared" si="24"/>
        <v>1819.1399999999994</v>
      </c>
      <c r="G84" s="38">
        <f t="shared" si="24"/>
        <v>1996.7700000000004</v>
      </c>
      <c r="H84" s="38">
        <f t="shared" si="24"/>
        <v>2001.119999999999</v>
      </c>
      <c r="I84" s="38">
        <f t="shared" si="24"/>
        <v>1962.369999999999</v>
      </c>
      <c r="J84" s="38">
        <f t="shared" si="24"/>
        <v>1941.8300000000017</v>
      </c>
      <c r="K84" s="38">
        <f t="shared" si="24"/>
        <v>1959.2200000000012</v>
      </c>
      <c r="L84" s="38">
        <f t="shared" si="24"/>
        <v>1902.9799999999996</v>
      </c>
      <c r="M84" s="135"/>
      <c r="N84" s="135"/>
      <c r="O84" s="135"/>
      <c r="P84" s="135"/>
      <c r="Q84" s="135"/>
      <c r="R84" s="135"/>
      <c r="S84" s="135"/>
      <c r="T84" s="136"/>
      <c r="U84" s="135"/>
      <c r="V84" s="140"/>
    </row>
    <row r="85" spans="1:25" x14ac:dyDescent="0.3">
      <c r="A85" s="129">
        <v>42667</v>
      </c>
      <c r="B85" s="68" t="s">
        <v>124</v>
      </c>
      <c r="C85" s="71" t="s">
        <v>88</v>
      </c>
      <c r="D85" s="56">
        <v>29122.14</v>
      </c>
      <c r="E85" s="56">
        <v>28933.4</v>
      </c>
      <c r="F85" s="56">
        <v>28985.84</v>
      </c>
      <c r="G85" s="56">
        <v>28902.1</v>
      </c>
      <c r="H85" s="56">
        <v>29157.74</v>
      </c>
      <c r="I85" s="56">
        <v>29067.45</v>
      </c>
      <c r="J85" s="56">
        <v>28947.599999999999</v>
      </c>
      <c r="K85" s="56">
        <v>28929.18</v>
      </c>
      <c r="L85" s="56">
        <v>29145.45</v>
      </c>
      <c r="M85" s="69">
        <f>IF((L86=""),"",MAX(D87:L87))</f>
        <v>1972.3900000000031</v>
      </c>
      <c r="N85" s="69">
        <f>IF(L86="","",MIN(D87:L87))</f>
        <v>1790.6700000000019</v>
      </c>
      <c r="O85" s="69">
        <f>IF((L87=""),"",AVERAGE(D87:L87))</f>
        <v>1850.9133333333339</v>
      </c>
      <c r="P85" s="69">
        <v>1600</v>
      </c>
      <c r="Q85" s="69">
        <v>2000</v>
      </c>
      <c r="R85" s="69">
        <f>IF((L86=""),"",((M85-N85)/(M85+N85))*100)</f>
        <v>4.8290486997284372</v>
      </c>
      <c r="S85" s="69">
        <v>20</v>
      </c>
      <c r="T85" s="130" t="str">
        <f>IF(L86="","",IF(R86&lt;20,(IF(O85&gt;1730,IF(O85&lt;1970,"Pass","Fail"),"Fail"))))</f>
        <v>Pass</v>
      </c>
      <c r="U85" s="69">
        <v>1159</v>
      </c>
      <c r="V85" s="138"/>
      <c r="W85" s="56">
        <v>1730</v>
      </c>
      <c r="X85" s="56">
        <v>1970</v>
      </c>
      <c r="Y85" s="56">
        <v>6.2</v>
      </c>
    </row>
    <row r="86" spans="1:25" x14ac:dyDescent="0.3">
      <c r="A86" s="147"/>
      <c r="B86" s="76"/>
      <c r="C86" s="71" t="s">
        <v>89</v>
      </c>
      <c r="D86" s="56">
        <v>27310.06</v>
      </c>
      <c r="E86" s="56">
        <v>27142.73</v>
      </c>
      <c r="F86" s="56">
        <v>27189.759999999998</v>
      </c>
      <c r="G86" s="56">
        <v>27027.17</v>
      </c>
      <c r="H86" s="56">
        <v>27185.35</v>
      </c>
      <c r="I86" s="56">
        <v>27266.7</v>
      </c>
      <c r="J86" s="56">
        <v>27073.54</v>
      </c>
      <c r="K86" s="56">
        <v>27062.94</v>
      </c>
      <c r="L86" s="56">
        <v>27274.43</v>
      </c>
      <c r="M86" s="77"/>
      <c r="N86" s="77"/>
      <c r="O86" s="77"/>
      <c r="P86" s="77"/>
      <c r="Q86" s="77"/>
      <c r="R86" s="77"/>
      <c r="S86" s="77"/>
      <c r="T86" s="132"/>
      <c r="U86" s="77"/>
      <c r="V86" s="139"/>
    </row>
    <row r="87" spans="1:25" ht="39.9" x14ac:dyDescent="0.3">
      <c r="A87" s="149"/>
      <c r="B87" s="134"/>
      <c r="C87" s="71" t="s">
        <v>123</v>
      </c>
      <c r="D87" s="38">
        <f t="shared" ref="D87:L87" si="25">IF(((D85="")*AND(D86="")),"",(D85-D86)*1)</f>
        <v>1812.0799999999981</v>
      </c>
      <c r="E87" s="38">
        <f t="shared" si="25"/>
        <v>1790.6700000000019</v>
      </c>
      <c r="F87" s="38">
        <f t="shared" si="25"/>
        <v>1796.0800000000017</v>
      </c>
      <c r="G87" s="38">
        <f t="shared" si="25"/>
        <v>1874.9300000000003</v>
      </c>
      <c r="H87" s="38">
        <f t="shared" si="25"/>
        <v>1972.3900000000031</v>
      </c>
      <c r="I87" s="38">
        <f t="shared" si="25"/>
        <v>1800.75</v>
      </c>
      <c r="J87" s="38">
        <f t="shared" si="25"/>
        <v>1874.0599999999977</v>
      </c>
      <c r="K87" s="38">
        <f t="shared" si="25"/>
        <v>1866.2400000000016</v>
      </c>
      <c r="L87" s="38">
        <f t="shared" si="25"/>
        <v>1871.0200000000004</v>
      </c>
      <c r="M87" s="135"/>
      <c r="N87" s="135"/>
      <c r="O87" s="135"/>
      <c r="P87" s="135"/>
      <c r="Q87" s="135"/>
      <c r="R87" s="135"/>
      <c r="S87" s="135"/>
      <c r="T87" s="136"/>
      <c r="U87" s="135"/>
      <c r="V87" s="140"/>
      <c r="X87" s="82"/>
    </row>
    <row r="88" spans="1:25" x14ac:dyDescent="0.3">
      <c r="A88" s="129">
        <v>42671</v>
      </c>
      <c r="B88" s="68" t="s">
        <v>124</v>
      </c>
      <c r="C88" s="71" t="s">
        <v>88</v>
      </c>
      <c r="D88" s="56">
        <v>29072</v>
      </c>
      <c r="E88" s="56">
        <v>28900.37</v>
      </c>
      <c r="F88" s="56">
        <v>28919.26</v>
      </c>
      <c r="G88" s="56">
        <v>28819.98</v>
      </c>
      <c r="H88" s="56">
        <v>29072.880000000001</v>
      </c>
      <c r="I88" s="56">
        <v>29045.01</v>
      </c>
      <c r="J88" s="56">
        <v>28845.17</v>
      </c>
      <c r="K88" s="56">
        <v>28859.87</v>
      </c>
      <c r="L88" s="56">
        <v>29069.58</v>
      </c>
      <c r="M88" s="69">
        <f>IF((L89=""),"",MAX(D90:L90))</f>
        <v>1989.1800000000003</v>
      </c>
      <c r="N88" s="69">
        <f>IF(L89="","",MIN(D90:L90))</f>
        <v>1812.5299999999988</v>
      </c>
      <c r="O88" s="69">
        <f>IF((L90=""),"",AVERAGE(D90:L90))</f>
        <v>1904.4599999999996</v>
      </c>
      <c r="P88" s="69">
        <v>1600</v>
      </c>
      <c r="Q88" s="69">
        <v>2000</v>
      </c>
      <c r="R88" s="69">
        <f>IF((L89=""),"",((M88-N88)/(M88+N88))*100)</f>
        <v>4.6465932435667501</v>
      </c>
      <c r="S88" s="69">
        <v>20</v>
      </c>
      <c r="T88" s="130" t="str">
        <f>IF(L89="","",IF(R89&lt;20,(IF(O88&gt;1730,IF(O88&lt;1970,"Pass","Fail"),"Fail"))))</f>
        <v>Pass</v>
      </c>
      <c r="U88" s="69">
        <v>1159</v>
      </c>
      <c r="V88" s="138"/>
      <c r="W88" s="56">
        <v>1730</v>
      </c>
      <c r="X88" s="56">
        <v>1970</v>
      </c>
      <c r="Y88" s="56">
        <v>6.2</v>
      </c>
    </row>
    <row r="89" spans="1:25" x14ac:dyDescent="0.3">
      <c r="A89" s="147"/>
      <c r="B89" s="76"/>
      <c r="C89" s="71" t="s">
        <v>89</v>
      </c>
      <c r="D89" s="56">
        <v>27206.18</v>
      </c>
      <c r="E89" s="56">
        <v>27035.9</v>
      </c>
      <c r="F89" s="56">
        <v>27106.73</v>
      </c>
      <c r="G89" s="56">
        <v>26882.1</v>
      </c>
      <c r="H89" s="56">
        <v>27083.7</v>
      </c>
      <c r="I89" s="56">
        <v>27125.35</v>
      </c>
      <c r="J89" s="56">
        <v>26953.99</v>
      </c>
      <c r="K89" s="56">
        <v>26899.02</v>
      </c>
      <c r="L89" s="56">
        <v>27171.01</v>
      </c>
      <c r="M89" s="77"/>
      <c r="N89" s="77"/>
      <c r="O89" s="77"/>
      <c r="P89" s="77"/>
      <c r="Q89" s="77"/>
      <c r="R89" s="77"/>
      <c r="S89" s="77"/>
      <c r="T89" s="132"/>
      <c r="U89" s="77"/>
      <c r="V89" s="139"/>
      <c r="X89" s="82"/>
    </row>
    <row r="90" spans="1:25" ht="39.9" x14ac:dyDescent="0.3">
      <c r="A90" s="149"/>
      <c r="B90" s="134"/>
      <c r="C90" s="71" t="s">
        <v>123</v>
      </c>
      <c r="D90" s="38">
        <f t="shared" ref="D90:L90" si="26">IF(((D88="")*AND(D89="")),"",(D88-D89)*1)</f>
        <v>1865.8199999999997</v>
      </c>
      <c r="E90" s="38">
        <f t="shared" si="26"/>
        <v>1864.4699999999975</v>
      </c>
      <c r="F90" s="38">
        <f t="shared" si="26"/>
        <v>1812.5299999999988</v>
      </c>
      <c r="G90" s="38">
        <f t="shared" si="26"/>
        <v>1937.880000000001</v>
      </c>
      <c r="H90" s="38">
        <f t="shared" si="26"/>
        <v>1989.1800000000003</v>
      </c>
      <c r="I90" s="38">
        <f t="shared" si="26"/>
        <v>1919.6599999999999</v>
      </c>
      <c r="J90" s="38">
        <f t="shared" si="26"/>
        <v>1891.1799999999967</v>
      </c>
      <c r="K90" s="38">
        <f t="shared" si="26"/>
        <v>1960.8499999999985</v>
      </c>
      <c r="L90" s="38">
        <f t="shared" si="26"/>
        <v>1898.5700000000033</v>
      </c>
      <c r="M90" s="135"/>
      <c r="N90" s="135"/>
      <c r="O90" s="135"/>
      <c r="P90" s="135"/>
      <c r="Q90" s="135"/>
      <c r="R90" s="135"/>
      <c r="S90" s="135"/>
      <c r="T90" s="136"/>
      <c r="U90" s="135"/>
      <c r="V90" s="140"/>
      <c r="X90" s="82"/>
    </row>
    <row r="91" spans="1:25" x14ac:dyDescent="0.3">
      <c r="A91" s="129">
        <v>42675</v>
      </c>
      <c r="B91" s="68" t="s">
        <v>124</v>
      </c>
      <c r="C91" s="71" t="s">
        <v>88</v>
      </c>
      <c r="D91" s="56">
        <v>29180.03</v>
      </c>
      <c r="E91" s="56">
        <v>29003.72</v>
      </c>
      <c r="F91" s="56">
        <v>29007.22</v>
      </c>
      <c r="G91" s="56">
        <v>29015.52</v>
      </c>
      <c r="H91" s="56">
        <v>29237</v>
      </c>
      <c r="I91" s="56">
        <v>29182.84</v>
      </c>
      <c r="J91" s="56">
        <v>28992</v>
      </c>
      <c r="K91" s="56">
        <v>28999.67</v>
      </c>
      <c r="L91" s="56">
        <v>29194.76</v>
      </c>
      <c r="M91" s="69">
        <f>IF((L92=""),"",MAX(D93:L93))</f>
        <v>2014.6699999999983</v>
      </c>
      <c r="N91" s="69">
        <f>IF(L92="","",MIN(D93:L93))</f>
        <v>1877.2700000000004</v>
      </c>
      <c r="O91" s="69">
        <f>IF((L93=""),"",AVERAGE(D93:L93))</f>
        <v>1931.9188888888877</v>
      </c>
      <c r="P91" s="69">
        <v>1600</v>
      </c>
      <c r="Q91" s="69">
        <v>2000</v>
      </c>
      <c r="R91" s="69">
        <f>IF((L92=""),"",((M91-N91)/(M91+N91))*100)</f>
        <v>3.5303730273333569</v>
      </c>
      <c r="S91" s="69">
        <v>20</v>
      </c>
      <c r="T91" s="130" t="str">
        <f>IF(L92="","",IF(R92&lt;20,(IF(O91&gt;1730,IF(O91&lt;1970,"Pass","Fail"),"Fail"))))</f>
        <v>Pass</v>
      </c>
      <c r="U91" s="69">
        <v>1400</v>
      </c>
      <c r="V91" s="138"/>
      <c r="W91" s="56">
        <v>1730</v>
      </c>
      <c r="X91" s="56">
        <v>1970</v>
      </c>
      <c r="Y91" s="56">
        <v>6.2</v>
      </c>
    </row>
    <row r="92" spans="1:25" x14ac:dyDescent="0.3">
      <c r="A92" s="147"/>
      <c r="B92" s="76"/>
      <c r="C92" s="71" t="s">
        <v>89</v>
      </c>
      <c r="D92" s="56">
        <v>27292.79</v>
      </c>
      <c r="E92" s="56">
        <v>27109.15</v>
      </c>
      <c r="F92" s="56">
        <v>27129.95</v>
      </c>
      <c r="G92" s="56">
        <v>27037.68</v>
      </c>
      <c r="H92" s="56">
        <v>27222.33</v>
      </c>
      <c r="I92" s="56">
        <v>27219.95</v>
      </c>
      <c r="J92" s="56">
        <v>27072.49</v>
      </c>
      <c r="K92" s="56">
        <v>27054.82</v>
      </c>
      <c r="L92" s="56">
        <v>27286.33</v>
      </c>
      <c r="M92" s="77"/>
      <c r="N92" s="77"/>
      <c r="O92" s="77"/>
      <c r="P92" s="77"/>
      <c r="Q92" s="77"/>
      <c r="R92" s="77"/>
      <c r="S92" s="77"/>
      <c r="T92" s="132"/>
      <c r="U92" s="77"/>
      <c r="V92" s="139"/>
      <c r="X92" s="82"/>
    </row>
    <row r="93" spans="1:25" ht="39.9" x14ac:dyDescent="0.3">
      <c r="A93" s="149"/>
      <c r="B93" s="134"/>
      <c r="C93" s="71" t="s">
        <v>123</v>
      </c>
      <c r="D93" s="38">
        <f t="shared" ref="D93:L93" si="27">IF(((D91="")*AND(D92="")),"",(D91-D92)*1)</f>
        <v>1887.239999999998</v>
      </c>
      <c r="E93" s="38">
        <f t="shared" si="27"/>
        <v>1894.5699999999997</v>
      </c>
      <c r="F93" s="38">
        <f t="shared" si="27"/>
        <v>1877.2700000000004</v>
      </c>
      <c r="G93" s="38">
        <f t="shared" si="27"/>
        <v>1977.8400000000001</v>
      </c>
      <c r="H93" s="38">
        <f t="shared" si="27"/>
        <v>2014.6699999999983</v>
      </c>
      <c r="I93" s="38">
        <f t="shared" si="27"/>
        <v>1962.8899999999994</v>
      </c>
      <c r="J93" s="38">
        <f t="shared" si="27"/>
        <v>1919.5099999999984</v>
      </c>
      <c r="K93" s="38">
        <f t="shared" si="27"/>
        <v>1944.8499999999985</v>
      </c>
      <c r="L93" s="38">
        <f t="shared" si="27"/>
        <v>1908.4299999999967</v>
      </c>
      <c r="M93" s="135"/>
      <c r="N93" s="135"/>
      <c r="O93" s="135"/>
      <c r="P93" s="135"/>
      <c r="Q93" s="135"/>
      <c r="R93" s="135"/>
      <c r="S93" s="135"/>
      <c r="T93" s="136"/>
      <c r="U93" s="135"/>
      <c r="V93" s="140"/>
    </row>
    <row r="94" spans="1:25" x14ac:dyDescent="0.3">
      <c r="A94" s="129">
        <v>42678</v>
      </c>
      <c r="B94" s="68" t="s">
        <v>124</v>
      </c>
      <c r="C94" s="71" t="s">
        <v>88</v>
      </c>
      <c r="D94" s="56">
        <v>29066.26</v>
      </c>
      <c r="E94" s="56">
        <v>28996.47</v>
      </c>
      <c r="F94" s="56">
        <v>28947.34</v>
      </c>
      <c r="G94" s="56">
        <v>28973.42</v>
      </c>
      <c r="H94" s="56">
        <v>29158.11</v>
      </c>
      <c r="I94" s="56">
        <v>29157.16</v>
      </c>
      <c r="J94" s="56">
        <v>28961.439999999999</v>
      </c>
      <c r="K94" s="56">
        <v>28967.57</v>
      </c>
      <c r="L94" s="56">
        <v>29213.27</v>
      </c>
      <c r="M94" s="69">
        <f>IF((L95=""),"",MAX(D96:L96))</f>
        <v>2013.869999999999</v>
      </c>
      <c r="N94" s="69">
        <f>IF(L95="","",MIN(D96:L96))</f>
        <v>1829.9599999999991</v>
      </c>
      <c r="O94" s="69">
        <f>IF((L96=""),"",AVERAGE(D96:L96))</f>
        <v>1912.0844444444438</v>
      </c>
      <c r="P94" s="69">
        <v>1600</v>
      </c>
      <c r="Q94" s="69">
        <v>2000</v>
      </c>
      <c r="R94" s="69">
        <f>IF((L95=""),"",((M94-N94)/(M94+N94))*100)</f>
        <v>4.7845508256088314</v>
      </c>
      <c r="S94" s="69">
        <v>20</v>
      </c>
      <c r="T94" s="130" t="str">
        <f>IF(L95="","",IF(R95&lt;20,(IF(O94&gt;1730,IF(O94&lt;1970,"Pass","Fail"),"Fail"))))</f>
        <v>Pass</v>
      </c>
      <c r="U94" s="69">
        <v>1400</v>
      </c>
      <c r="V94" s="138"/>
      <c r="W94" s="56">
        <v>1730</v>
      </c>
      <c r="X94" s="56">
        <v>1970</v>
      </c>
      <c r="Y94" s="56">
        <v>6.2</v>
      </c>
    </row>
    <row r="95" spans="1:25" x14ac:dyDescent="0.3">
      <c r="A95" s="147"/>
      <c r="B95" s="76"/>
      <c r="C95" s="71" t="s">
        <v>89</v>
      </c>
      <c r="D95" s="56">
        <v>27236.3</v>
      </c>
      <c r="E95" s="56">
        <v>27104.51</v>
      </c>
      <c r="F95" s="56">
        <v>27062.32</v>
      </c>
      <c r="G95" s="56">
        <v>27039.63</v>
      </c>
      <c r="H95" s="56">
        <v>27144.240000000002</v>
      </c>
      <c r="I95" s="56">
        <v>27193.99</v>
      </c>
      <c r="J95" s="56">
        <v>27079.09</v>
      </c>
      <c r="K95" s="56">
        <v>27047.66</v>
      </c>
      <c r="L95" s="56">
        <v>27324.54</v>
      </c>
      <c r="M95" s="77"/>
      <c r="N95" s="77"/>
      <c r="O95" s="77"/>
      <c r="P95" s="77"/>
      <c r="Q95" s="77"/>
      <c r="R95" s="77"/>
      <c r="S95" s="77"/>
      <c r="T95" s="132"/>
      <c r="U95" s="77"/>
      <c r="V95" s="139"/>
    </row>
    <row r="96" spans="1:25" ht="39.9" x14ac:dyDescent="0.3">
      <c r="A96" s="149"/>
      <c r="B96" s="134"/>
      <c r="C96" s="71" t="s">
        <v>123</v>
      </c>
      <c r="D96" s="38">
        <f t="shared" ref="D96:L96" si="28">IF(((D94="")*AND(D95="")),"",(D94-D95)*1)</f>
        <v>1829.9599999999991</v>
      </c>
      <c r="E96" s="38">
        <f t="shared" si="28"/>
        <v>1891.9600000000028</v>
      </c>
      <c r="F96" s="38">
        <f t="shared" si="28"/>
        <v>1885.0200000000004</v>
      </c>
      <c r="G96" s="38">
        <f t="shared" si="28"/>
        <v>1933.7899999999972</v>
      </c>
      <c r="H96" s="38">
        <f t="shared" si="28"/>
        <v>2013.869999999999</v>
      </c>
      <c r="I96" s="38">
        <f t="shared" si="28"/>
        <v>1963.1699999999983</v>
      </c>
      <c r="J96" s="38">
        <f t="shared" si="28"/>
        <v>1882.3499999999985</v>
      </c>
      <c r="K96" s="38">
        <f t="shared" si="28"/>
        <v>1919.9099999999999</v>
      </c>
      <c r="L96" s="38">
        <f t="shared" si="28"/>
        <v>1888.7299999999996</v>
      </c>
      <c r="M96" s="135"/>
      <c r="N96" s="135"/>
      <c r="O96" s="135"/>
      <c r="P96" s="135"/>
      <c r="Q96" s="135"/>
      <c r="R96" s="135"/>
      <c r="S96" s="135"/>
      <c r="T96" s="136"/>
      <c r="U96" s="135"/>
      <c r="V96" s="140"/>
    </row>
    <row r="97" spans="1:25" x14ac:dyDescent="0.3">
      <c r="A97" s="129">
        <v>42681</v>
      </c>
      <c r="B97" s="68" t="s">
        <v>124</v>
      </c>
      <c r="C97" s="71" t="s">
        <v>88</v>
      </c>
      <c r="D97" s="56">
        <v>29167.13</v>
      </c>
      <c r="E97" s="56">
        <v>28998</v>
      </c>
      <c r="F97" s="56">
        <v>29037.73</v>
      </c>
      <c r="G97" s="56">
        <v>28971.21</v>
      </c>
      <c r="H97" s="56">
        <v>29147.72</v>
      </c>
      <c r="I97" s="56">
        <v>29094.46</v>
      </c>
      <c r="J97" s="56">
        <v>28973.97</v>
      </c>
      <c r="K97" s="56">
        <v>28989</v>
      </c>
      <c r="L97" s="56">
        <v>29212.73</v>
      </c>
      <c r="M97" s="69">
        <f>IF((L98=""),"",MAX(D99:L99))</f>
        <v>2039.4700000000012</v>
      </c>
      <c r="N97" s="69">
        <f>IF(L98="","",MIN(D99:L99))</f>
        <v>1895.380000000001</v>
      </c>
      <c r="O97" s="69">
        <f>IF((L99=""),"",AVERAGE(D99:L99))</f>
        <v>1949.7866666666664</v>
      </c>
      <c r="P97" s="69">
        <v>1600</v>
      </c>
      <c r="Q97" s="69">
        <v>2000</v>
      </c>
      <c r="R97" s="69">
        <f>IF((L98=""),"",((M97-N97)/(M97+N97))*100)</f>
        <v>3.6618930835991224</v>
      </c>
      <c r="S97" s="69">
        <v>20</v>
      </c>
      <c r="T97" s="130" t="str">
        <f>IF(L98="","",IF(R98&lt;20,(IF(O97&gt;1730,IF(O97&lt;1970,"Pass","Fail"),"Fail"))))</f>
        <v>Pass</v>
      </c>
      <c r="U97" s="69">
        <v>1428</v>
      </c>
      <c r="V97" s="138"/>
      <c r="W97" s="56">
        <v>1730</v>
      </c>
      <c r="X97" s="56">
        <v>1970</v>
      </c>
      <c r="Y97" s="56">
        <v>6.2</v>
      </c>
    </row>
    <row r="98" spans="1:25" x14ac:dyDescent="0.3">
      <c r="A98" s="147"/>
      <c r="B98" s="76"/>
      <c r="C98" s="71" t="s">
        <v>89</v>
      </c>
      <c r="D98" s="56">
        <v>27271.75</v>
      </c>
      <c r="E98" s="56">
        <v>27098.66</v>
      </c>
      <c r="F98" s="56">
        <v>27126.81</v>
      </c>
      <c r="G98" s="56">
        <v>26974.42</v>
      </c>
      <c r="H98" s="56">
        <v>27108.25</v>
      </c>
      <c r="I98" s="56">
        <v>27121.43</v>
      </c>
      <c r="J98" s="56">
        <v>27036.65</v>
      </c>
      <c r="K98" s="56">
        <v>27027.84</v>
      </c>
      <c r="L98" s="56">
        <v>27278.06</v>
      </c>
      <c r="M98" s="77"/>
      <c r="N98" s="77"/>
      <c r="O98" s="77"/>
      <c r="P98" s="77"/>
      <c r="Q98" s="77"/>
      <c r="R98" s="77"/>
      <c r="S98" s="77"/>
      <c r="T98" s="132"/>
      <c r="U98" s="77"/>
      <c r="V98" s="139"/>
    </row>
    <row r="99" spans="1:25" ht="39.9" x14ac:dyDescent="0.3">
      <c r="A99" s="149"/>
      <c r="B99" s="134"/>
      <c r="C99" s="71" t="s">
        <v>123</v>
      </c>
      <c r="D99" s="38">
        <f t="shared" ref="D99:L99" si="29">IF(((D97="")*AND(D98="")),"",(D97-D98)*1)</f>
        <v>1895.380000000001</v>
      </c>
      <c r="E99" s="38">
        <f t="shared" si="29"/>
        <v>1899.3400000000001</v>
      </c>
      <c r="F99" s="38">
        <f t="shared" si="29"/>
        <v>1910.9199999999983</v>
      </c>
      <c r="G99" s="38">
        <f t="shared" si="29"/>
        <v>1996.7900000000009</v>
      </c>
      <c r="H99" s="38">
        <f t="shared" si="29"/>
        <v>2039.4700000000012</v>
      </c>
      <c r="I99" s="38">
        <f t="shared" si="29"/>
        <v>1973.0299999999988</v>
      </c>
      <c r="J99" s="38">
        <f t="shared" si="29"/>
        <v>1937.3199999999997</v>
      </c>
      <c r="K99" s="38">
        <f t="shared" si="29"/>
        <v>1961.1599999999999</v>
      </c>
      <c r="L99" s="38">
        <f t="shared" si="29"/>
        <v>1934.6699999999983</v>
      </c>
      <c r="M99" s="135"/>
      <c r="N99" s="135"/>
      <c r="O99" s="135"/>
      <c r="P99" s="135"/>
      <c r="Q99" s="135"/>
      <c r="R99" s="135"/>
      <c r="S99" s="135"/>
      <c r="T99" s="136"/>
      <c r="U99" s="135"/>
      <c r="V99" s="140"/>
    </row>
    <row r="100" spans="1:25" x14ac:dyDescent="0.3">
      <c r="A100" s="129">
        <v>42683</v>
      </c>
      <c r="B100" s="68" t="s">
        <v>124</v>
      </c>
      <c r="C100" s="71" t="s">
        <v>88</v>
      </c>
      <c r="D100" s="56">
        <v>29021.89</v>
      </c>
      <c r="E100" s="56">
        <v>28931.24</v>
      </c>
      <c r="F100" s="56">
        <v>28985.38</v>
      </c>
      <c r="G100" s="56">
        <v>28924.34</v>
      </c>
      <c r="H100" s="56">
        <v>29064</v>
      </c>
      <c r="I100" s="56">
        <v>29091.77</v>
      </c>
      <c r="J100" s="56">
        <v>28893.15</v>
      </c>
      <c r="K100" s="56">
        <v>28887.95</v>
      </c>
      <c r="L100" s="56">
        <v>29081.439999999999</v>
      </c>
      <c r="M100" s="69">
        <f>IF((L101=""),"",MAX(D102:L102))</f>
        <v>1988.8499999999985</v>
      </c>
      <c r="N100" s="69">
        <f>IF(L101="","",MIN(D102:L102))</f>
        <v>1807.5599999999977</v>
      </c>
      <c r="O100" s="69">
        <f>IF((L102=""),"",AVERAGE(D102:L102))</f>
        <v>1902.2388888888886</v>
      </c>
      <c r="P100" s="69">
        <v>1600</v>
      </c>
      <c r="Q100" s="69">
        <v>2000</v>
      </c>
      <c r="R100" s="69">
        <f>IF((L101=""),"",((M100-N100)/(M100+N100))*100)</f>
        <v>4.7753008763542679</v>
      </c>
      <c r="S100" s="69">
        <v>20</v>
      </c>
      <c r="T100" s="130" t="str">
        <f>IF(L101="","",IF(R101&lt;20,(IF(O100&gt;1730,IF(O100&lt;1970,"Pass","Fail"),"Fail"))))</f>
        <v>Pass</v>
      </c>
      <c r="U100" s="69">
        <v>1400</v>
      </c>
      <c r="V100" s="138"/>
      <c r="W100" s="56">
        <v>1730</v>
      </c>
      <c r="X100" s="56">
        <v>1970</v>
      </c>
      <c r="Y100" s="56">
        <v>6.2</v>
      </c>
    </row>
    <row r="101" spans="1:25" x14ac:dyDescent="0.3">
      <c r="A101" s="147"/>
      <c r="B101" s="76"/>
      <c r="C101" s="71" t="s">
        <v>89</v>
      </c>
      <c r="D101" s="56">
        <v>27214.33</v>
      </c>
      <c r="E101" s="56">
        <v>27068.560000000001</v>
      </c>
      <c r="F101" s="56">
        <v>27102.05</v>
      </c>
      <c r="G101" s="56">
        <v>26935.49</v>
      </c>
      <c r="H101" s="56">
        <v>27117.77</v>
      </c>
      <c r="I101" s="56">
        <v>27131.61</v>
      </c>
      <c r="J101" s="56">
        <v>27007.43</v>
      </c>
      <c r="K101" s="56">
        <v>27013.53</v>
      </c>
      <c r="L101" s="56">
        <v>27170.240000000002</v>
      </c>
      <c r="M101" s="77"/>
      <c r="N101" s="77"/>
      <c r="O101" s="77"/>
      <c r="P101" s="77"/>
      <c r="Q101" s="77"/>
      <c r="R101" s="77"/>
      <c r="S101" s="77"/>
      <c r="T101" s="132"/>
      <c r="U101" s="77"/>
      <c r="V101" s="139"/>
    </row>
    <row r="102" spans="1:25" ht="39.9" x14ac:dyDescent="0.3">
      <c r="A102" s="149"/>
      <c r="B102" s="134"/>
      <c r="C102" s="71" t="s">
        <v>123</v>
      </c>
      <c r="D102" s="38">
        <f t="shared" ref="D102:L102" si="30">IF(((D100="")*AND(D101="")),"",(D100-D101)*1)</f>
        <v>1807.5599999999977</v>
      </c>
      <c r="E102" s="38">
        <f t="shared" si="30"/>
        <v>1862.6800000000003</v>
      </c>
      <c r="F102" s="38">
        <f t="shared" si="30"/>
        <v>1883.3300000000017</v>
      </c>
      <c r="G102" s="38">
        <f t="shared" si="30"/>
        <v>1988.8499999999985</v>
      </c>
      <c r="H102" s="38">
        <f t="shared" si="30"/>
        <v>1946.2299999999996</v>
      </c>
      <c r="I102" s="38">
        <f t="shared" si="30"/>
        <v>1960.1599999999999</v>
      </c>
      <c r="J102" s="38">
        <f t="shared" si="30"/>
        <v>1885.7200000000012</v>
      </c>
      <c r="K102" s="38">
        <f t="shared" si="30"/>
        <v>1874.4200000000019</v>
      </c>
      <c r="L102" s="38">
        <f t="shared" si="30"/>
        <v>1911.1999999999971</v>
      </c>
      <c r="M102" s="135"/>
      <c r="N102" s="135"/>
      <c r="O102" s="135"/>
      <c r="P102" s="135"/>
      <c r="Q102" s="135"/>
      <c r="R102" s="135"/>
      <c r="S102" s="135"/>
      <c r="T102" s="136"/>
      <c r="U102" s="135"/>
      <c r="V102" s="140"/>
    </row>
    <row r="103" spans="1:25" x14ac:dyDescent="0.3">
      <c r="A103" s="129">
        <v>42689</v>
      </c>
      <c r="B103" s="68" t="s">
        <v>124</v>
      </c>
      <c r="C103" s="71" t="s">
        <v>88</v>
      </c>
      <c r="D103" s="56">
        <v>29568.87</v>
      </c>
      <c r="E103" s="56">
        <v>29357.89</v>
      </c>
      <c r="F103" s="56">
        <v>29405.93</v>
      </c>
      <c r="G103" s="56">
        <v>29372.05</v>
      </c>
      <c r="H103" s="56">
        <v>29607.34</v>
      </c>
      <c r="I103" s="56">
        <v>29465.66</v>
      </c>
      <c r="J103" s="56">
        <v>29078.89</v>
      </c>
      <c r="K103" s="56">
        <v>29355.57</v>
      </c>
      <c r="L103" s="56">
        <v>29616.11</v>
      </c>
      <c r="M103" s="69">
        <f>IF((L104=""),"",MAX(D105:L105))</f>
        <v>2017.9099999999999</v>
      </c>
      <c r="N103" s="69">
        <f>IF(L104="","",MIN(D105:L105))</f>
        <v>1658.3600000000006</v>
      </c>
      <c r="O103" s="69">
        <f>IF((L105=""),"",AVERAGE(D105:L105))</f>
        <v>1892.5666666666662</v>
      </c>
      <c r="P103" s="69">
        <v>1600</v>
      </c>
      <c r="Q103" s="69">
        <v>2000</v>
      </c>
      <c r="R103" s="69">
        <f>IF((L104=""),"",((M103-N103)/(M103+N103))*100)</f>
        <v>9.7802936128194951</v>
      </c>
      <c r="S103" s="69">
        <v>20</v>
      </c>
      <c r="T103" s="130" t="str">
        <f>IF(L104="","",IF(R104&lt;20,(IF(O103&gt;1730,IF(O103&lt;1970,"Pass","Fail"),"Fail"))))</f>
        <v>Pass</v>
      </c>
      <c r="U103" s="69">
        <v>1400</v>
      </c>
      <c r="V103" s="138"/>
      <c r="W103" s="56">
        <v>1730</v>
      </c>
      <c r="X103" s="56">
        <v>1970</v>
      </c>
      <c r="Y103" s="56">
        <v>6.2</v>
      </c>
    </row>
    <row r="104" spans="1:25" x14ac:dyDescent="0.3">
      <c r="A104" s="147"/>
      <c r="B104" s="76"/>
      <c r="C104" s="71" t="s">
        <v>89</v>
      </c>
      <c r="D104" s="56">
        <v>27697.15</v>
      </c>
      <c r="E104" s="56">
        <v>27478.82</v>
      </c>
      <c r="F104" s="56">
        <v>27568.37</v>
      </c>
      <c r="G104" s="56">
        <v>27385.11</v>
      </c>
      <c r="H104" s="56">
        <v>27589.43</v>
      </c>
      <c r="I104" s="56">
        <v>27533.29</v>
      </c>
      <c r="J104" s="56">
        <v>27420.53</v>
      </c>
      <c r="K104" s="56">
        <v>27418.58</v>
      </c>
      <c r="L104" s="56">
        <v>27703.93</v>
      </c>
      <c r="M104" s="77"/>
      <c r="N104" s="77"/>
      <c r="O104" s="77"/>
      <c r="P104" s="77"/>
      <c r="Q104" s="77"/>
      <c r="R104" s="77"/>
      <c r="S104" s="77"/>
      <c r="T104" s="132"/>
      <c r="U104" s="77"/>
      <c r="V104" s="139"/>
    </row>
    <row r="105" spans="1:25" ht="39.9" x14ac:dyDescent="0.3">
      <c r="A105" s="149"/>
      <c r="B105" s="134"/>
      <c r="C105" s="71" t="s">
        <v>123</v>
      </c>
      <c r="D105" s="38">
        <f t="shared" ref="D105:L105" si="31">IF(((D103="")*AND(D104="")),"",(D103-D104)*1)</f>
        <v>1871.7199999999975</v>
      </c>
      <c r="E105" s="38">
        <f t="shared" si="31"/>
        <v>1879.0699999999997</v>
      </c>
      <c r="F105" s="38">
        <f t="shared" si="31"/>
        <v>1837.5600000000013</v>
      </c>
      <c r="G105" s="38">
        <f t="shared" si="31"/>
        <v>1986.9399999999987</v>
      </c>
      <c r="H105" s="38">
        <f t="shared" si="31"/>
        <v>2017.9099999999999</v>
      </c>
      <c r="I105" s="38">
        <f t="shared" si="31"/>
        <v>1932.369999999999</v>
      </c>
      <c r="J105" s="38">
        <f t="shared" si="31"/>
        <v>1658.3600000000006</v>
      </c>
      <c r="K105" s="38">
        <f t="shared" si="31"/>
        <v>1936.989999999998</v>
      </c>
      <c r="L105" s="38">
        <f t="shared" si="31"/>
        <v>1912.1800000000003</v>
      </c>
      <c r="M105" s="135"/>
      <c r="N105" s="135"/>
      <c r="O105" s="135"/>
      <c r="P105" s="135"/>
      <c r="Q105" s="135"/>
      <c r="R105" s="135"/>
      <c r="S105" s="135"/>
      <c r="T105" s="136"/>
      <c r="U105" s="135"/>
      <c r="V105" s="140"/>
    </row>
    <row r="106" spans="1:25" x14ac:dyDescent="0.3">
      <c r="A106" s="129">
        <v>42692</v>
      </c>
      <c r="B106" s="68" t="s">
        <v>124</v>
      </c>
      <c r="C106" s="71" t="s">
        <v>88</v>
      </c>
      <c r="D106" s="56">
        <v>27711.13</v>
      </c>
      <c r="E106" s="56">
        <v>27512.68</v>
      </c>
      <c r="F106" s="56">
        <v>27613.05</v>
      </c>
      <c r="G106" s="56">
        <v>27458.31</v>
      </c>
      <c r="H106" s="56">
        <v>27635.94</v>
      </c>
      <c r="I106" s="56">
        <v>27582.34</v>
      </c>
      <c r="J106" s="56">
        <v>27472.240000000002</v>
      </c>
      <c r="K106" s="56">
        <v>27456.02</v>
      </c>
      <c r="L106" s="56">
        <v>27749.64</v>
      </c>
      <c r="M106" s="69">
        <f>IF((L107=""),"",MAX(D108:L108))</f>
        <v>1986.3199999999997</v>
      </c>
      <c r="N106" s="69">
        <f>IF(L107="","",MIN(D108:L108))</f>
        <v>1817.6400000000031</v>
      </c>
      <c r="O106" s="69">
        <f>IF((L108=""),"",AVERAGE(D108:L108))</f>
        <v>1897.5822222222232</v>
      </c>
      <c r="P106" s="69">
        <v>1600</v>
      </c>
      <c r="Q106" s="69">
        <v>2000</v>
      </c>
      <c r="R106" s="69">
        <f>IF((L107=""),"",((M106-N106)/(M106+N106))*100)</f>
        <v>4.4343263336101471</v>
      </c>
      <c r="S106" s="69">
        <v>20</v>
      </c>
      <c r="T106" s="130" t="str">
        <f>IF(L107="","",IF(R107&lt;20,(IF(O106&gt;1730,IF(O106&lt;1970,"Pass","Fail"),"Fail"))))</f>
        <v>Pass</v>
      </c>
      <c r="U106" s="69">
        <v>1335</v>
      </c>
      <c r="V106" s="138"/>
      <c r="W106" s="56">
        <v>1730</v>
      </c>
      <c r="X106" s="56">
        <v>1970</v>
      </c>
      <c r="Y106" s="56">
        <v>6.2</v>
      </c>
    </row>
    <row r="107" spans="1:25" x14ac:dyDescent="0.3">
      <c r="A107" s="147"/>
      <c r="B107" s="76"/>
      <c r="C107" s="71" t="s">
        <v>89</v>
      </c>
      <c r="D107" s="56">
        <v>25754.3</v>
      </c>
      <c r="E107" s="56">
        <v>25610.3</v>
      </c>
      <c r="F107" s="56">
        <v>25794.3</v>
      </c>
      <c r="G107" s="56">
        <v>25517.5</v>
      </c>
      <c r="H107" s="56">
        <v>25649.62</v>
      </c>
      <c r="I107" s="56">
        <v>25687.66</v>
      </c>
      <c r="J107" s="56">
        <v>25654.6</v>
      </c>
      <c r="K107" s="56">
        <v>25575.759999999998</v>
      </c>
      <c r="L107" s="56">
        <v>25869.07</v>
      </c>
      <c r="M107" s="77"/>
      <c r="N107" s="77"/>
      <c r="O107" s="77"/>
      <c r="P107" s="77"/>
      <c r="Q107" s="77"/>
      <c r="R107" s="77"/>
      <c r="S107" s="77"/>
      <c r="T107" s="132"/>
      <c r="U107" s="77"/>
      <c r="V107" s="139"/>
    </row>
    <row r="108" spans="1:25" ht="39.9" x14ac:dyDescent="0.3">
      <c r="A108" s="149"/>
      <c r="B108" s="134"/>
      <c r="C108" s="71" t="s">
        <v>123</v>
      </c>
      <c r="D108" s="38">
        <f t="shared" ref="D108:L108" si="32">IF(((D106="")*AND(D107="")),"",(D106-D107)*1)</f>
        <v>1956.8300000000017</v>
      </c>
      <c r="E108" s="38">
        <f t="shared" si="32"/>
        <v>1902.380000000001</v>
      </c>
      <c r="F108" s="38">
        <f t="shared" si="32"/>
        <v>1818.75</v>
      </c>
      <c r="G108" s="38">
        <f t="shared" si="32"/>
        <v>1940.8100000000013</v>
      </c>
      <c r="H108" s="38">
        <f t="shared" si="32"/>
        <v>1986.3199999999997</v>
      </c>
      <c r="I108" s="38">
        <f t="shared" si="32"/>
        <v>1894.6800000000003</v>
      </c>
      <c r="J108" s="38">
        <f t="shared" si="32"/>
        <v>1817.6400000000031</v>
      </c>
      <c r="K108" s="38">
        <f t="shared" si="32"/>
        <v>1880.260000000002</v>
      </c>
      <c r="L108" s="38">
        <f t="shared" si="32"/>
        <v>1880.5699999999997</v>
      </c>
      <c r="M108" s="135"/>
      <c r="N108" s="135"/>
      <c r="O108" s="135"/>
      <c r="P108" s="135"/>
      <c r="Q108" s="135"/>
      <c r="R108" s="135"/>
      <c r="S108" s="135"/>
      <c r="T108" s="136"/>
      <c r="U108" s="135"/>
      <c r="V108" s="140"/>
    </row>
    <row r="109" spans="1:25" x14ac:dyDescent="0.3">
      <c r="A109" s="129">
        <v>42692</v>
      </c>
      <c r="B109" s="68" t="s">
        <v>124</v>
      </c>
      <c r="C109" s="71" t="s">
        <v>88</v>
      </c>
      <c r="D109" s="56">
        <v>29578.63</v>
      </c>
      <c r="E109" s="56">
        <v>29422.51</v>
      </c>
      <c r="F109" s="56">
        <v>29470.17</v>
      </c>
      <c r="G109" s="56">
        <v>29401.8</v>
      </c>
      <c r="H109" s="56">
        <v>29625.5</v>
      </c>
      <c r="I109" s="56">
        <v>29556.47</v>
      </c>
      <c r="J109" s="56">
        <v>29393.55</v>
      </c>
      <c r="K109" s="56">
        <v>29402.13</v>
      </c>
      <c r="L109" s="56">
        <v>29637.71</v>
      </c>
      <c r="M109" s="69">
        <f>IF((L110=""),"",MAX(D111:L111))</f>
        <v>1977.8100000000013</v>
      </c>
      <c r="N109" s="69">
        <f>IF(L110="","",MIN(D111:L111))</f>
        <v>1830.1499999999978</v>
      </c>
      <c r="O109" s="69">
        <f>IF((L111=""),"",AVERAGE(D111:L111))</f>
        <v>1894.4977777777781</v>
      </c>
      <c r="P109" s="69">
        <v>1600</v>
      </c>
      <c r="Q109" s="69">
        <v>2000</v>
      </c>
      <c r="R109" s="69">
        <f>IF((L110=""),"",((M109-N109)/(M109+N109))*100)</f>
        <v>3.8776667822141917</v>
      </c>
      <c r="S109" s="69">
        <v>20</v>
      </c>
      <c r="T109" s="130" t="str">
        <f>IF(L110="","",IF(R110&lt;20,(IF(O109&gt;1730,IF(O109&lt;1970,"Pass","Fail"),"Fail"))))</f>
        <v>Pass</v>
      </c>
      <c r="U109" s="69">
        <v>1335</v>
      </c>
      <c r="V109" s="138"/>
      <c r="W109" s="56">
        <v>1730</v>
      </c>
      <c r="X109" s="56">
        <v>1970</v>
      </c>
      <c r="Y109" s="56">
        <v>6.2</v>
      </c>
    </row>
    <row r="110" spans="1:25" x14ac:dyDescent="0.3">
      <c r="A110" s="147"/>
      <c r="B110" s="76"/>
      <c r="C110" s="71" t="s">
        <v>89</v>
      </c>
      <c r="D110" s="56">
        <v>27747.39</v>
      </c>
      <c r="E110" s="56">
        <v>27567.17</v>
      </c>
      <c r="F110" s="56">
        <v>27640.02</v>
      </c>
      <c r="G110" s="56">
        <v>27443.37</v>
      </c>
      <c r="H110" s="56">
        <v>27647.69</v>
      </c>
      <c r="I110" s="56">
        <v>27672.49</v>
      </c>
      <c r="J110" s="56">
        <v>27505.26</v>
      </c>
      <c r="K110" s="56">
        <v>27480.62</v>
      </c>
      <c r="L110" s="56">
        <v>27733.98</v>
      </c>
      <c r="M110" s="77"/>
      <c r="N110" s="77"/>
      <c r="O110" s="77"/>
      <c r="P110" s="77"/>
      <c r="Q110" s="77"/>
      <c r="R110" s="77"/>
      <c r="S110" s="77"/>
      <c r="T110" s="132"/>
      <c r="U110" s="77"/>
      <c r="V110" s="139"/>
    </row>
    <row r="111" spans="1:25" ht="39.9" x14ac:dyDescent="0.3">
      <c r="A111" s="149"/>
      <c r="B111" s="134"/>
      <c r="C111" s="71" t="s">
        <v>123</v>
      </c>
      <c r="D111" s="38">
        <f t="shared" ref="D111:L111" si="33">IF(((D109="")*AND(D110="")),"",(D109-D110)*1)</f>
        <v>1831.2400000000016</v>
      </c>
      <c r="E111" s="38">
        <f t="shared" si="33"/>
        <v>1855.3400000000001</v>
      </c>
      <c r="F111" s="38">
        <f t="shared" si="33"/>
        <v>1830.1499999999978</v>
      </c>
      <c r="G111" s="38">
        <f t="shared" si="33"/>
        <v>1958.4300000000003</v>
      </c>
      <c r="H111" s="38">
        <f t="shared" si="33"/>
        <v>1977.8100000000013</v>
      </c>
      <c r="I111" s="38">
        <f t="shared" si="33"/>
        <v>1883.9799999999996</v>
      </c>
      <c r="J111" s="38">
        <f t="shared" si="33"/>
        <v>1888.2900000000009</v>
      </c>
      <c r="K111" s="38">
        <f t="shared" si="33"/>
        <v>1921.510000000002</v>
      </c>
      <c r="L111" s="38">
        <f t="shared" si="33"/>
        <v>1903.7299999999996</v>
      </c>
      <c r="M111" s="135"/>
      <c r="N111" s="135"/>
      <c r="O111" s="135"/>
      <c r="P111" s="135"/>
      <c r="Q111" s="135"/>
      <c r="R111" s="135"/>
      <c r="S111" s="135"/>
      <c r="T111" s="136"/>
      <c r="U111" s="135"/>
      <c r="V111" s="140"/>
    </row>
    <row r="112" spans="1:25" x14ac:dyDescent="0.3">
      <c r="A112" s="129">
        <v>42695</v>
      </c>
      <c r="B112" s="68" t="s">
        <v>124</v>
      </c>
      <c r="C112" s="71" t="s">
        <v>88</v>
      </c>
      <c r="D112" s="56">
        <v>29555.38</v>
      </c>
      <c r="E112" s="56">
        <v>29418.74</v>
      </c>
      <c r="F112" s="56">
        <v>29477.040000000001</v>
      </c>
      <c r="G112" s="56">
        <v>29404.44</v>
      </c>
      <c r="H112" s="56">
        <v>29609.5</v>
      </c>
      <c r="I112" s="56">
        <v>29558.880000000001</v>
      </c>
      <c r="J112" s="56">
        <v>29389.040000000001</v>
      </c>
      <c r="K112" s="56">
        <v>29412.720000000001</v>
      </c>
      <c r="L112" s="56">
        <v>29622.14</v>
      </c>
      <c r="M112" s="69">
        <f>IF((L113=""),"",MAX(D114:L114))</f>
        <v>2021.1100000000006</v>
      </c>
      <c r="N112" s="69">
        <f>IF(L113="","",MIN(D114:L114))</f>
        <v>1868.2400000000016</v>
      </c>
      <c r="O112" s="69">
        <f>IF((L114=""),"",AVERAGE(D114:L114))</f>
        <v>1925.4300000000007</v>
      </c>
      <c r="P112" s="69">
        <v>1600</v>
      </c>
      <c r="Q112" s="69">
        <v>2000</v>
      </c>
      <c r="R112" s="69">
        <f>IF((L113=""),"",((M112-N112)/(M112+N112))*100)</f>
        <v>3.9304768148919198</v>
      </c>
      <c r="S112" s="69">
        <v>20</v>
      </c>
      <c r="T112" s="130" t="str">
        <f>IF(L113="","",IF(R113&lt;20,(IF(O112&gt;1730,IF(O112&lt;1970,"Pass","Fail"),"Fail"))))</f>
        <v>Pass</v>
      </c>
      <c r="U112" s="69">
        <v>1400</v>
      </c>
      <c r="V112" s="138"/>
      <c r="W112" s="56">
        <v>1730</v>
      </c>
      <c r="X112" s="56">
        <v>1970</v>
      </c>
      <c r="Y112" s="56">
        <v>6.2</v>
      </c>
    </row>
    <row r="113" spans="1:25" x14ac:dyDescent="0.3">
      <c r="A113" s="147"/>
      <c r="B113" s="76"/>
      <c r="C113" s="71" t="s">
        <v>89</v>
      </c>
      <c r="D113" s="56">
        <v>27683.66</v>
      </c>
      <c r="E113" s="56">
        <v>27537.119999999999</v>
      </c>
      <c r="F113" s="56">
        <v>27608.799999999999</v>
      </c>
      <c r="G113" s="56">
        <v>27431.79</v>
      </c>
      <c r="H113" s="56">
        <v>27588.39</v>
      </c>
      <c r="I113" s="56">
        <v>27620.36</v>
      </c>
      <c r="J113" s="56">
        <v>27482.04</v>
      </c>
      <c r="K113" s="56">
        <v>27482.48</v>
      </c>
      <c r="L113" s="56">
        <v>27684.37</v>
      </c>
      <c r="M113" s="77"/>
      <c r="N113" s="77"/>
      <c r="O113" s="77"/>
      <c r="P113" s="77"/>
      <c r="Q113" s="77"/>
      <c r="R113" s="77"/>
      <c r="S113" s="77"/>
      <c r="T113" s="132"/>
      <c r="U113" s="77"/>
      <c r="V113" s="139"/>
    </row>
    <row r="114" spans="1:25" ht="39.9" x14ac:dyDescent="0.3">
      <c r="A114" s="149"/>
      <c r="B114" s="134"/>
      <c r="C114" s="71" t="s">
        <v>123</v>
      </c>
      <c r="D114" s="38">
        <f t="shared" ref="D114:L114" si="34">IF(((D112="")*AND(D113="")),"",(D112-D113)*1)</f>
        <v>1871.7200000000012</v>
      </c>
      <c r="E114" s="38">
        <f t="shared" si="34"/>
        <v>1881.6200000000026</v>
      </c>
      <c r="F114" s="38">
        <f t="shared" si="34"/>
        <v>1868.2400000000016</v>
      </c>
      <c r="G114" s="38">
        <f t="shared" si="34"/>
        <v>1972.6499999999978</v>
      </c>
      <c r="H114" s="38">
        <f t="shared" si="34"/>
        <v>2021.1100000000006</v>
      </c>
      <c r="I114" s="38">
        <f t="shared" si="34"/>
        <v>1938.5200000000004</v>
      </c>
      <c r="J114" s="38">
        <f t="shared" si="34"/>
        <v>1907</v>
      </c>
      <c r="K114" s="38">
        <f t="shared" si="34"/>
        <v>1930.2400000000016</v>
      </c>
      <c r="L114" s="38">
        <f t="shared" si="34"/>
        <v>1937.7700000000004</v>
      </c>
      <c r="M114" s="135"/>
      <c r="N114" s="135"/>
      <c r="O114" s="135"/>
      <c r="P114" s="135"/>
      <c r="Q114" s="135"/>
      <c r="R114" s="135"/>
      <c r="S114" s="135"/>
      <c r="T114" s="136"/>
      <c r="U114" s="135"/>
      <c r="V114" s="140"/>
    </row>
    <row r="115" spans="1:25" x14ac:dyDescent="0.3">
      <c r="A115" s="129">
        <v>42698</v>
      </c>
      <c r="B115" s="68" t="s">
        <v>122</v>
      </c>
      <c r="C115" s="71" t="s">
        <v>88</v>
      </c>
      <c r="D115" s="56">
        <v>29576.12</v>
      </c>
      <c r="E115" s="56">
        <v>27108.1</v>
      </c>
      <c r="F115" s="56">
        <v>29416.62</v>
      </c>
      <c r="G115" s="56">
        <v>29376.42</v>
      </c>
      <c r="H115" s="56">
        <v>29576.65</v>
      </c>
      <c r="I115" s="56">
        <v>29603.56</v>
      </c>
      <c r="J115" s="56">
        <v>29350.07</v>
      </c>
      <c r="K115" s="56">
        <v>29381.69</v>
      </c>
      <c r="L115" s="56">
        <v>29534.14</v>
      </c>
      <c r="M115" s="69">
        <f>IF((L116=""),"",MAX(D117:L117))</f>
        <v>1984.4300000000003</v>
      </c>
      <c r="N115" s="69">
        <f>IF(L116="","",MIN(D117:L117))</f>
        <v>-383.65000000000146</v>
      </c>
      <c r="O115" s="69">
        <f>IF((L117=""),"",AVERAGE(D117:L117))</f>
        <v>1625.2933333333317</v>
      </c>
      <c r="P115" s="69">
        <v>1600</v>
      </c>
      <c r="Q115" s="69">
        <v>2000</v>
      </c>
      <c r="R115" s="69">
        <f>IF((L116=""),"",((M115-N115)/(M115+N115))*100)</f>
        <v>147.93288271967438</v>
      </c>
      <c r="S115" s="69">
        <v>20</v>
      </c>
      <c r="T115" s="130" t="str">
        <f>IF(L116="","",IF(R116&lt;20,(IF(O115&gt;1730,IF(O115&lt;1970,"Pass","Fail"),"Fail"))))</f>
        <v>Fail</v>
      </c>
      <c r="U115" s="69">
        <v>1335</v>
      </c>
      <c r="V115" s="138"/>
      <c r="W115" s="56">
        <v>1730</v>
      </c>
      <c r="X115" s="56">
        <v>1970</v>
      </c>
      <c r="Y115" s="56">
        <v>6.2</v>
      </c>
    </row>
    <row r="116" spans="1:25" x14ac:dyDescent="0.3">
      <c r="A116" s="147"/>
      <c r="B116" s="76"/>
      <c r="C116" s="71" t="s">
        <v>89</v>
      </c>
      <c r="D116" s="56">
        <v>27748.99</v>
      </c>
      <c r="E116" s="56">
        <v>27491.75</v>
      </c>
      <c r="F116" s="56">
        <v>27575.06</v>
      </c>
      <c r="G116" s="56">
        <v>27499.58</v>
      </c>
      <c r="H116" s="56">
        <v>27592.22</v>
      </c>
      <c r="I116" s="56">
        <v>27700.400000000001</v>
      </c>
      <c r="J116" s="56">
        <v>27528.99</v>
      </c>
      <c r="K116" s="56">
        <v>27505.33</v>
      </c>
      <c r="L116" s="56">
        <v>27653.41</v>
      </c>
      <c r="M116" s="77"/>
      <c r="N116" s="77"/>
      <c r="O116" s="77"/>
      <c r="P116" s="77"/>
      <c r="Q116" s="77"/>
      <c r="R116" s="77"/>
      <c r="S116" s="77"/>
      <c r="T116" s="132"/>
      <c r="U116" s="77"/>
      <c r="V116" s="139"/>
    </row>
    <row r="117" spans="1:25" ht="39.9" x14ac:dyDescent="0.3">
      <c r="A117" s="149"/>
      <c r="B117" s="134"/>
      <c r="C117" s="71" t="s">
        <v>123</v>
      </c>
      <c r="D117" s="38">
        <f t="shared" ref="D117:L117" si="35">IF(((D115="")*AND(D116="")),"",(D115-D116)*1)</f>
        <v>1827.1299999999974</v>
      </c>
      <c r="E117" s="38">
        <f t="shared" si="35"/>
        <v>-383.65000000000146</v>
      </c>
      <c r="F117" s="38">
        <f t="shared" si="35"/>
        <v>1841.5599999999977</v>
      </c>
      <c r="G117" s="38">
        <f t="shared" si="35"/>
        <v>1876.8399999999965</v>
      </c>
      <c r="H117" s="38">
        <f t="shared" si="35"/>
        <v>1984.4300000000003</v>
      </c>
      <c r="I117" s="38">
        <f t="shared" si="35"/>
        <v>1903.1599999999999</v>
      </c>
      <c r="J117" s="38">
        <f t="shared" si="35"/>
        <v>1821.0799999999981</v>
      </c>
      <c r="K117" s="38">
        <f t="shared" si="35"/>
        <v>1876.3599999999969</v>
      </c>
      <c r="L117" s="38">
        <f t="shared" si="35"/>
        <v>1880.7299999999996</v>
      </c>
      <c r="M117" s="135"/>
      <c r="N117" s="135"/>
      <c r="O117" s="135"/>
      <c r="P117" s="135"/>
      <c r="Q117" s="135"/>
      <c r="R117" s="135"/>
      <c r="S117" s="135"/>
      <c r="T117" s="136"/>
      <c r="U117" s="135"/>
      <c r="V117" s="140"/>
    </row>
    <row r="118" spans="1:25" x14ac:dyDescent="0.3">
      <c r="A118" s="129">
        <v>42702</v>
      </c>
      <c r="B118" s="68" t="s">
        <v>124</v>
      </c>
      <c r="C118" s="71" t="s">
        <v>88</v>
      </c>
      <c r="D118" s="56">
        <v>29527.02</v>
      </c>
      <c r="E118" s="56">
        <v>29363.21</v>
      </c>
      <c r="F118" s="56">
        <v>29416.34</v>
      </c>
      <c r="G118" s="56">
        <v>29354.33</v>
      </c>
      <c r="H118" s="56">
        <v>29582.94</v>
      </c>
      <c r="I118" s="56">
        <v>29504.17</v>
      </c>
      <c r="J118" s="56">
        <v>29340.82</v>
      </c>
      <c r="K118" s="56">
        <v>29351.18</v>
      </c>
      <c r="L118" s="56">
        <v>29587.98</v>
      </c>
      <c r="M118" s="69">
        <f>IF((L119=""),"",MAX(D120:L120))</f>
        <v>2011.3400000000001</v>
      </c>
      <c r="N118" s="69">
        <f>IF(L119="","",MIN(D120:L120))</f>
        <v>1834.0099999999984</v>
      </c>
      <c r="O118" s="69">
        <f>IF((L120=""),"",AVERAGE(D120:L120))</f>
        <v>1912.8777777777775</v>
      </c>
      <c r="P118" s="69">
        <v>1600</v>
      </c>
      <c r="Q118" s="69">
        <v>2000</v>
      </c>
      <c r="R118" s="69">
        <f>IF((L119=""),"",((M118-N118)/(M118+N118))*100)</f>
        <v>4.6115438126568922</v>
      </c>
      <c r="S118" s="69">
        <v>20</v>
      </c>
      <c r="T118" s="130" t="str">
        <f>IF(L119="","",IF(R119&lt;20,(IF(O118&gt;1730,IF(O118&lt;1970,"Pass","Fail"),"Fail"))))</f>
        <v>Pass</v>
      </c>
      <c r="U118" s="69">
        <v>1400</v>
      </c>
      <c r="V118" s="138"/>
      <c r="W118" s="56">
        <v>1730</v>
      </c>
      <c r="X118" s="56">
        <v>1970</v>
      </c>
      <c r="Y118" s="56">
        <v>6.2</v>
      </c>
    </row>
    <row r="119" spans="1:25" x14ac:dyDescent="0.3">
      <c r="A119" s="147"/>
      <c r="B119" s="76"/>
      <c r="C119" s="71" t="s">
        <v>89</v>
      </c>
      <c r="D119" s="56">
        <v>27666.62</v>
      </c>
      <c r="E119" s="56">
        <v>27502.240000000002</v>
      </c>
      <c r="F119" s="56">
        <v>27582.33</v>
      </c>
      <c r="G119" s="56">
        <v>27378.07</v>
      </c>
      <c r="H119" s="56">
        <v>27571.599999999999</v>
      </c>
      <c r="I119" s="56">
        <v>27556.43</v>
      </c>
      <c r="J119" s="56">
        <v>27426.58</v>
      </c>
      <c r="K119" s="56">
        <v>27429.51</v>
      </c>
      <c r="L119" s="56">
        <v>27698.71</v>
      </c>
      <c r="M119" s="77"/>
      <c r="N119" s="77"/>
      <c r="O119" s="77"/>
      <c r="P119" s="77"/>
      <c r="Q119" s="77"/>
      <c r="R119" s="77"/>
      <c r="S119" s="77"/>
      <c r="T119" s="132"/>
      <c r="U119" s="77"/>
      <c r="V119" s="139"/>
    </row>
    <row r="120" spans="1:25" ht="39.9" x14ac:dyDescent="0.3">
      <c r="A120" s="149"/>
      <c r="B120" s="134"/>
      <c r="C120" s="71" t="s">
        <v>123</v>
      </c>
      <c r="D120" s="38">
        <f t="shared" ref="D120:L120" si="36">IF(((D118="")*AND(D119="")),"",(D118-D119)*1)</f>
        <v>1860.4000000000015</v>
      </c>
      <c r="E120" s="38">
        <f t="shared" si="36"/>
        <v>1860.9699999999975</v>
      </c>
      <c r="F120" s="38">
        <f t="shared" si="36"/>
        <v>1834.0099999999984</v>
      </c>
      <c r="G120" s="38">
        <f t="shared" si="36"/>
        <v>1976.260000000002</v>
      </c>
      <c r="H120" s="38">
        <f t="shared" si="36"/>
        <v>2011.3400000000001</v>
      </c>
      <c r="I120" s="38">
        <f t="shared" si="36"/>
        <v>1947.739999999998</v>
      </c>
      <c r="J120" s="38">
        <f t="shared" si="36"/>
        <v>1914.239999999998</v>
      </c>
      <c r="K120" s="38">
        <f t="shared" si="36"/>
        <v>1921.6700000000019</v>
      </c>
      <c r="L120" s="38">
        <f t="shared" si="36"/>
        <v>1889.2700000000004</v>
      </c>
      <c r="M120" s="135"/>
      <c r="N120" s="135"/>
      <c r="O120" s="135"/>
      <c r="P120" s="135"/>
      <c r="Q120" s="135"/>
      <c r="R120" s="135"/>
      <c r="S120" s="135"/>
      <c r="T120" s="136"/>
      <c r="U120" s="135"/>
      <c r="V120" s="140"/>
    </row>
    <row r="121" spans="1:25" x14ac:dyDescent="0.3">
      <c r="A121" s="129">
        <v>42705</v>
      </c>
      <c r="B121" s="68" t="s">
        <v>124</v>
      </c>
      <c r="C121" s="71" t="s">
        <v>88</v>
      </c>
      <c r="D121" s="56">
        <v>29500.02</v>
      </c>
      <c r="E121" s="56">
        <v>29325.46</v>
      </c>
      <c r="F121" s="56">
        <v>29396.68</v>
      </c>
      <c r="G121" s="56">
        <v>29325.33</v>
      </c>
      <c r="H121" s="56">
        <v>29532.35</v>
      </c>
      <c r="I121" s="56">
        <v>29492.11</v>
      </c>
      <c r="J121" s="56">
        <v>29332.37</v>
      </c>
      <c r="K121" s="56">
        <v>29309.67</v>
      </c>
      <c r="L121" s="56">
        <v>29543.09</v>
      </c>
      <c r="M121" s="69">
        <f>IF((L122=""),"",MAX(D123:L123))</f>
        <v>1992.869999999999</v>
      </c>
      <c r="N121" s="69">
        <f>IF(L122="","",MIN(D123:L123))</f>
        <v>1847.489999999998</v>
      </c>
      <c r="O121" s="69">
        <f>IF((L123=""),"",AVERAGE(D123:L123))</f>
        <v>1903.5644444444442</v>
      </c>
      <c r="P121" s="69">
        <v>1600</v>
      </c>
      <c r="Q121" s="69">
        <v>2000</v>
      </c>
      <c r="R121" s="69">
        <f>IF((L122=""),"",((M121-N121)/(M121+N121))*100)</f>
        <v>3.7855826016311269</v>
      </c>
      <c r="S121" s="69">
        <v>20</v>
      </c>
      <c r="T121" s="130" t="str">
        <f>IF(L122="","",IF(R122&lt;20,(IF(O121&gt;1730,IF(O121&lt;1970,"Pass","Fail"),"Fail"))))</f>
        <v>Pass</v>
      </c>
      <c r="U121" s="69">
        <v>1159</v>
      </c>
      <c r="V121" s="138"/>
      <c r="W121" s="56">
        <v>1730</v>
      </c>
      <c r="X121" s="56">
        <v>1970</v>
      </c>
      <c r="Y121" s="56">
        <v>6.2</v>
      </c>
    </row>
    <row r="122" spans="1:25" x14ac:dyDescent="0.3">
      <c r="A122" s="147"/>
      <c r="B122" s="76"/>
      <c r="C122" s="71" t="s">
        <v>89</v>
      </c>
      <c r="D122" s="56">
        <v>27651.75</v>
      </c>
      <c r="E122" s="56">
        <v>27477.97</v>
      </c>
      <c r="F122" s="56">
        <v>27536.71</v>
      </c>
      <c r="G122" s="56">
        <v>27374.32</v>
      </c>
      <c r="H122" s="56">
        <v>27539.48</v>
      </c>
      <c r="I122" s="56">
        <v>27553.65</v>
      </c>
      <c r="J122" s="56">
        <v>27433.52</v>
      </c>
      <c r="K122" s="56">
        <v>27397.57</v>
      </c>
      <c r="L122" s="56">
        <v>27660.03</v>
      </c>
      <c r="M122" s="77"/>
      <c r="N122" s="77"/>
      <c r="O122" s="77"/>
      <c r="P122" s="77"/>
      <c r="Q122" s="77"/>
      <c r="R122" s="77"/>
      <c r="S122" s="77"/>
      <c r="T122" s="132"/>
      <c r="U122" s="77"/>
      <c r="V122" s="139"/>
    </row>
    <row r="123" spans="1:25" ht="39.9" x14ac:dyDescent="0.3">
      <c r="A123" s="149"/>
      <c r="B123" s="134"/>
      <c r="C123" s="71" t="s">
        <v>123</v>
      </c>
      <c r="D123" s="38">
        <f t="shared" ref="D123:L123" si="37">IF(((D121="")*AND(D122="")),"",(D121-D122)*1)</f>
        <v>1848.2700000000004</v>
      </c>
      <c r="E123" s="38">
        <f t="shared" si="37"/>
        <v>1847.489999999998</v>
      </c>
      <c r="F123" s="38">
        <f t="shared" si="37"/>
        <v>1859.9700000000012</v>
      </c>
      <c r="G123" s="38">
        <f t="shared" si="37"/>
        <v>1951.010000000002</v>
      </c>
      <c r="H123" s="38">
        <f t="shared" si="37"/>
        <v>1992.869999999999</v>
      </c>
      <c r="I123" s="38">
        <f t="shared" si="37"/>
        <v>1938.4599999999991</v>
      </c>
      <c r="J123" s="38">
        <f t="shared" si="37"/>
        <v>1898.8499999999985</v>
      </c>
      <c r="K123" s="38">
        <f t="shared" si="37"/>
        <v>1912.0999999999985</v>
      </c>
      <c r="L123" s="38">
        <f t="shared" si="37"/>
        <v>1883.0600000000013</v>
      </c>
      <c r="M123" s="135"/>
      <c r="N123" s="135"/>
      <c r="O123" s="135"/>
      <c r="P123" s="135"/>
      <c r="Q123" s="135"/>
      <c r="R123" s="135"/>
      <c r="S123" s="135"/>
      <c r="T123" s="136"/>
      <c r="U123" s="135"/>
      <c r="V123" s="140"/>
    </row>
    <row r="124" spans="1:25" x14ac:dyDescent="0.3">
      <c r="A124" s="129">
        <v>42709</v>
      </c>
      <c r="B124" s="68" t="s">
        <v>124</v>
      </c>
      <c r="C124" s="71" t="s">
        <v>88</v>
      </c>
      <c r="D124" s="56">
        <v>29350.36</v>
      </c>
      <c r="E124" s="56">
        <v>29184.639999999999</v>
      </c>
      <c r="F124" s="56">
        <v>29250.48</v>
      </c>
      <c r="G124" s="56">
        <v>29201.46</v>
      </c>
      <c r="H124" s="56">
        <v>29408.98</v>
      </c>
      <c r="I124" s="56">
        <v>29332.04</v>
      </c>
      <c r="J124" s="56">
        <v>29192.91</v>
      </c>
      <c r="K124" s="56">
        <v>29187.18</v>
      </c>
      <c r="L124" s="56">
        <v>29394.37</v>
      </c>
      <c r="M124" s="69">
        <f>IF((L125=""),"",MAX(D126:L126))</f>
        <v>1979.4199999999983</v>
      </c>
      <c r="N124" s="69">
        <f>IF(L125="","",MIN(D126:L126))</f>
        <v>1812.9799999999996</v>
      </c>
      <c r="O124" s="69">
        <f>IF((L126=""),"",AVERAGE(D126:L126))</f>
        <v>1876.7055555555551</v>
      </c>
      <c r="P124" s="69">
        <v>1600</v>
      </c>
      <c r="Q124" s="69">
        <v>2000</v>
      </c>
      <c r="R124" s="69">
        <f>IF((L125=""),"",((M124-N124)/(M124+N124))*100)</f>
        <v>4.3887775551101882</v>
      </c>
      <c r="S124" s="69">
        <v>20</v>
      </c>
      <c r="T124" s="130" t="str">
        <f>IF(L125="","",IF(R125&lt;20,(IF(O124&gt;1730,IF(O124&lt;1970,"Pass","Fail"),"Fail"))))</f>
        <v>Pass</v>
      </c>
      <c r="U124" s="69">
        <v>1400</v>
      </c>
      <c r="V124" s="138"/>
      <c r="W124" s="56">
        <v>1730</v>
      </c>
      <c r="X124" s="56">
        <v>1970</v>
      </c>
      <c r="Y124" s="56">
        <v>6.2</v>
      </c>
    </row>
    <row r="125" spans="1:25" x14ac:dyDescent="0.3">
      <c r="A125" s="147"/>
      <c r="B125" s="76"/>
      <c r="C125" s="71" t="s">
        <v>89</v>
      </c>
      <c r="D125" s="56">
        <v>27535.77</v>
      </c>
      <c r="E125" s="56">
        <v>27371.66</v>
      </c>
      <c r="F125" s="56">
        <v>27408.69</v>
      </c>
      <c r="G125" s="56">
        <v>27288.1</v>
      </c>
      <c r="H125" s="56">
        <v>27429.56</v>
      </c>
      <c r="I125" s="56">
        <v>27406.9</v>
      </c>
      <c r="J125" s="56">
        <v>27329.08</v>
      </c>
      <c r="K125" s="56">
        <v>27303.86</v>
      </c>
      <c r="L125" s="56">
        <v>27538.45</v>
      </c>
      <c r="M125" s="77"/>
      <c r="N125" s="77"/>
      <c r="O125" s="77"/>
      <c r="P125" s="77"/>
      <c r="Q125" s="77"/>
      <c r="R125" s="77"/>
      <c r="S125" s="77"/>
      <c r="T125" s="132"/>
      <c r="U125" s="77"/>
      <c r="V125" s="139"/>
    </row>
    <row r="126" spans="1:25" ht="39.9" x14ac:dyDescent="0.3">
      <c r="A126" s="149"/>
      <c r="B126" s="134"/>
      <c r="C126" s="71" t="s">
        <v>123</v>
      </c>
      <c r="D126" s="38">
        <f t="shared" ref="D126:L126" si="38">IF(((D124="")*AND(D125="")),"",(D124-D125)*1)</f>
        <v>1814.5900000000001</v>
      </c>
      <c r="E126" s="38">
        <f t="shared" si="38"/>
        <v>1812.9799999999996</v>
      </c>
      <c r="F126" s="38">
        <f t="shared" si="38"/>
        <v>1841.7900000000009</v>
      </c>
      <c r="G126" s="38">
        <f t="shared" si="38"/>
        <v>1913.3600000000006</v>
      </c>
      <c r="H126" s="38">
        <f t="shared" si="38"/>
        <v>1979.4199999999983</v>
      </c>
      <c r="I126" s="38">
        <f t="shared" si="38"/>
        <v>1925.1399999999994</v>
      </c>
      <c r="J126" s="38">
        <f t="shared" si="38"/>
        <v>1863.8299999999981</v>
      </c>
      <c r="K126" s="38">
        <f t="shared" si="38"/>
        <v>1883.3199999999997</v>
      </c>
      <c r="L126" s="38">
        <f t="shared" si="38"/>
        <v>1855.9199999999983</v>
      </c>
      <c r="M126" s="135"/>
      <c r="N126" s="135"/>
      <c r="O126" s="135"/>
      <c r="P126" s="135"/>
      <c r="Q126" s="135"/>
      <c r="R126" s="135"/>
      <c r="S126" s="135"/>
      <c r="T126" s="136"/>
      <c r="U126" s="135"/>
      <c r="V126" s="140"/>
    </row>
    <row r="127" spans="1:25" x14ac:dyDescent="0.3">
      <c r="A127" s="129">
        <v>42712</v>
      </c>
      <c r="B127" s="68"/>
      <c r="C127" s="71" t="s">
        <v>88</v>
      </c>
      <c r="D127" s="56">
        <v>29441.200000000001</v>
      </c>
      <c r="E127" s="56">
        <v>29230.54</v>
      </c>
      <c r="F127" s="56">
        <v>29197.93</v>
      </c>
      <c r="G127" s="56">
        <v>29176.71</v>
      </c>
      <c r="H127" s="56">
        <v>29410.98</v>
      </c>
      <c r="I127" s="56">
        <v>29385.71</v>
      </c>
      <c r="J127" s="56">
        <v>29200.73</v>
      </c>
      <c r="K127" s="56">
        <v>29190.07</v>
      </c>
      <c r="L127" s="56">
        <v>29398.16</v>
      </c>
      <c r="M127" s="69">
        <f>IF((L128=""),"",MAX(D129:L129))</f>
        <v>1939.5999999999985</v>
      </c>
      <c r="N127" s="69">
        <f>IF(L128="","",MIN(D129:L129))</f>
        <v>1692.8400000000001</v>
      </c>
      <c r="O127" s="69">
        <f>IF((L129=""),"",AVERAGE(D129:L129))</f>
        <v>1845.0244444444438</v>
      </c>
      <c r="P127" s="69">
        <v>1600</v>
      </c>
      <c r="Q127" s="69">
        <v>2000</v>
      </c>
      <c r="R127" s="69">
        <f>IF((L128=""),"",((M127-N127)/(M127+N127))*100)</f>
        <v>6.7932298950567249</v>
      </c>
      <c r="S127" s="69">
        <v>20</v>
      </c>
      <c r="T127" s="130" t="str">
        <f>IF(L128="","",IF(R128&lt;20,(IF(O127&gt;1600,IF(O127&lt;2000,"Pass","Fail"),"Fail"))))</f>
        <v>Pass</v>
      </c>
      <c r="U127" s="69">
        <v>1428</v>
      </c>
      <c r="V127" s="138"/>
      <c r="W127" s="56">
        <v>1730</v>
      </c>
      <c r="X127" s="56">
        <v>1970</v>
      </c>
      <c r="Y127" s="56">
        <v>6.2</v>
      </c>
    </row>
    <row r="128" spans="1:25" x14ac:dyDescent="0.3">
      <c r="A128" s="147"/>
      <c r="B128" s="76"/>
      <c r="C128" s="71" t="s">
        <v>89</v>
      </c>
      <c r="D128" s="56">
        <v>27633.98</v>
      </c>
      <c r="E128" s="56">
        <v>27430.95</v>
      </c>
      <c r="F128" s="56">
        <v>27505.09</v>
      </c>
      <c r="G128" s="56">
        <v>27265.4</v>
      </c>
      <c r="H128" s="56">
        <v>27471.38</v>
      </c>
      <c r="I128" s="56">
        <v>27509.54</v>
      </c>
      <c r="J128" s="56">
        <v>27349.21</v>
      </c>
      <c r="K128" s="56">
        <v>27316.97</v>
      </c>
      <c r="L128" s="56">
        <v>27544.29</v>
      </c>
      <c r="M128" s="77"/>
      <c r="N128" s="77"/>
      <c r="O128" s="77"/>
      <c r="P128" s="77"/>
      <c r="Q128" s="77"/>
      <c r="R128" s="77"/>
      <c r="S128" s="77"/>
      <c r="T128" s="132"/>
      <c r="U128" s="77"/>
      <c r="V128" s="139"/>
    </row>
    <row r="129" spans="1:25" ht="39.9" x14ac:dyDescent="0.3">
      <c r="A129" s="149"/>
      <c r="B129" s="134"/>
      <c r="C129" s="71" t="s">
        <v>123</v>
      </c>
      <c r="D129" s="38">
        <f t="shared" ref="D129:L129" si="39">IF(((D127="")*AND(D128="")),"",(D127-D128)*1)</f>
        <v>1807.2200000000012</v>
      </c>
      <c r="E129" s="38">
        <f t="shared" si="39"/>
        <v>1799.5900000000001</v>
      </c>
      <c r="F129" s="38">
        <f t="shared" si="39"/>
        <v>1692.8400000000001</v>
      </c>
      <c r="G129" s="38">
        <f t="shared" si="39"/>
        <v>1911.3099999999977</v>
      </c>
      <c r="H129" s="38">
        <f t="shared" si="39"/>
        <v>1939.5999999999985</v>
      </c>
      <c r="I129" s="38">
        <f t="shared" si="39"/>
        <v>1876.1699999999983</v>
      </c>
      <c r="J129" s="38">
        <f t="shared" si="39"/>
        <v>1851.5200000000004</v>
      </c>
      <c r="K129" s="38">
        <f t="shared" si="39"/>
        <v>1873.0999999999985</v>
      </c>
      <c r="L129" s="38">
        <f t="shared" si="39"/>
        <v>1853.869999999999</v>
      </c>
      <c r="M129" s="135"/>
      <c r="N129" s="135"/>
      <c r="O129" s="135"/>
      <c r="P129" s="135"/>
      <c r="Q129" s="135"/>
      <c r="R129" s="135"/>
      <c r="S129" s="135"/>
      <c r="T129" s="136"/>
      <c r="U129" s="135"/>
      <c r="V129" s="140"/>
    </row>
    <row r="130" spans="1:25" x14ac:dyDescent="0.3">
      <c r="A130" s="129">
        <v>42716</v>
      </c>
      <c r="B130" s="68" t="s">
        <v>124</v>
      </c>
      <c r="C130" s="71" t="s">
        <v>88</v>
      </c>
      <c r="D130" s="56">
        <v>29376.34</v>
      </c>
      <c r="E130" s="56">
        <v>29189.78</v>
      </c>
      <c r="F130" s="56">
        <v>29201.24</v>
      </c>
      <c r="G130" s="56">
        <v>29197.18</v>
      </c>
      <c r="H130" s="56">
        <v>29427.94</v>
      </c>
      <c r="I130" s="56">
        <v>29331.46</v>
      </c>
      <c r="J130" s="56">
        <v>29164.29</v>
      </c>
      <c r="K130" s="56">
        <v>29208.5</v>
      </c>
      <c r="L130" s="56">
        <v>29461.58</v>
      </c>
      <c r="M130" s="69">
        <f>IF((L131=""),"",MAX(D132:L132))</f>
        <v>2002.3099999999977</v>
      </c>
      <c r="N130" s="69">
        <f>IF(L131="","",MIN(D132:L132))</f>
        <v>1836.0300000000025</v>
      </c>
      <c r="O130" s="69">
        <f>IF((L132=""),"",AVERAGE(D132:L132))</f>
        <v>1907.8511111111115</v>
      </c>
      <c r="P130" s="69">
        <v>1600</v>
      </c>
      <c r="Q130" s="69">
        <v>2000</v>
      </c>
      <c r="R130" s="69">
        <f>IF((L131=""),"",((M130-N130)/(M130+N130))*100)</f>
        <v>4.3320810558729859</v>
      </c>
      <c r="S130" s="69">
        <v>20</v>
      </c>
      <c r="T130" s="130" t="str">
        <f>IF(L131="","",IF(R131&lt;20,(IF(O130&gt;1730,IF(O130&lt;1970,"Pass","Fail"),"Fail"))))</f>
        <v>Pass</v>
      </c>
      <c r="U130" s="69">
        <v>1400</v>
      </c>
      <c r="V130" s="138"/>
      <c r="W130" s="56">
        <v>1730</v>
      </c>
      <c r="X130" s="56">
        <v>1970</v>
      </c>
      <c r="Y130" s="56">
        <v>6.2</v>
      </c>
    </row>
    <row r="131" spans="1:25" x14ac:dyDescent="0.3">
      <c r="A131" s="147"/>
      <c r="B131" s="76"/>
      <c r="C131" s="71" t="s">
        <v>89</v>
      </c>
      <c r="D131" s="56">
        <v>27505.75</v>
      </c>
      <c r="E131" s="56">
        <v>27319.1</v>
      </c>
      <c r="F131" s="56">
        <v>27365.21</v>
      </c>
      <c r="G131" s="56">
        <v>27241.74</v>
      </c>
      <c r="H131" s="56">
        <v>27425.63</v>
      </c>
      <c r="I131" s="56">
        <v>27381.17</v>
      </c>
      <c r="J131" s="56">
        <v>27265.25</v>
      </c>
      <c r="K131" s="56">
        <v>27291.88</v>
      </c>
      <c r="L131" s="56">
        <v>27591.919999999998</v>
      </c>
      <c r="M131" s="77"/>
      <c r="N131" s="77"/>
      <c r="O131" s="77"/>
      <c r="P131" s="77"/>
      <c r="Q131" s="77"/>
      <c r="R131" s="77"/>
      <c r="S131" s="77"/>
      <c r="T131" s="132"/>
      <c r="U131" s="77"/>
      <c r="V131" s="139"/>
    </row>
    <row r="132" spans="1:25" ht="39.9" x14ac:dyDescent="0.3">
      <c r="A132" s="149"/>
      <c r="B132" s="134"/>
      <c r="C132" s="71" t="s">
        <v>123</v>
      </c>
      <c r="D132" s="38">
        <f t="shared" ref="D132:L132" si="40">IF(((D130="")*AND(D131="")),"",(D130-D131)*1)</f>
        <v>1870.5900000000001</v>
      </c>
      <c r="E132" s="38">
        <f t="shared" si="40"/>
        <v>1870.6800000000003</v>
      </c>
      <c r="F132" s="38">
        <f t="shared" si="40"/>
        <v>1836.0300000000025</v>
      </c>
      <c r="G132" s="38">
        <f t="shared" si="40"/>
        <v>1955.4399999999987</v>
      </c>
      <c r="H132" s="38">
        <f t="shared" si="40"/>
        <v>2002.3099999999977</v>
      </c>
      <c r="I132" s="38">
        <f t="shared" si="40"/>
        <v>1950.2900000000009</v>
      </c>
      <c r="J132" s="38">
        <f t="shared" si="40"/>
        <v>1899.0400000000009</v>
      </c>
      <c r="K132" s="38">
        <f t="shared" si="40"/>
        <v>1916.619999999999</v>
      </c>
      <c r="L132" s="38">
        <f t="shared" si="40"/>
        <v>1869.6600000000035</v>
      </c>
      <c r="M132" s="135"/>
      <c r="N132" s="135"/>
      <c r="O132" s="135"/>
      <c r="P132" s="135"/>
      <c r="Q132" s="135"/>
      <c r="R132" s="135"/>
      <c r="S132" s="135"/>
      <c r="T132" s="136"/>
      <c r="U132" s="135"/>
      <c r="V132" s="140"/>
    </row>
    <row r="133" spans="1:25" x14ac:dyDescent="0.3">
      <c r="A133" s="129">
        <v>42719</v>
      </c>
      <c r="B133" s="68" t="s">
        <v>124</v>
      </c>
      <c r="C133" s="71" t="s">
        <v>88</v>
      </c>
      <c r="D133" s="56">
        <v>29365.73</v>
      </c>
      <c r="E133" s="56">
        <v>29168.19</v>
      </c>
      <c r="F133" s="56">
        <v>29171.63</v>
      </c>
      <c r="G133" s="56">
        <v>29149.53</v>
      </c>
      <c r="H133" s="56">
        <v>29396.43</v>
      </c>
      <c r="I133" s="56">
        <v>29296.06</v>
      </c>
      <c r="J133" s="56">
        <v>29136.42</v>
      </c>
      <c r="K133" s="56">
        <v>29135.63</v>
      </c>
      <c r="L133" s="56">
        <v>29372.6</v>
      </c>
      <c r="M133" s="69">
        <f>IF((L134=""),"",MAX(D135:L135))</f>
        <v>2015.2299999999996</v>
      </c>
      <c r="N133" s="69">
        <f>IF(L134="","",MIN(D135:L135))</f>
        <v>1851.2000000000007</v>
      </c>
      <c r="O133" s="69">
        <f>IF((L135=""),"",AVERAGE(D135:L135))</f>
        <v>1908.8288888888883</v>
      </c>
      <c r="P133" s="69">
        <v>1600</v>
      </c>
      <c r="Q133" s="69">
        <v>2000</v>
      </c>
      <c r="R133" s="69">
        <f>IF((L134=""),"",((M133-N133)/(M133+N133))*100)</f>
        <v>4.2424148374598483</v>
      </c>
      <c r="S133" s="69">
        <v>20</v>
      </c>
      <c r="T133" s="130" t="str">
        <f>IF(L134="","",IF(R134&lt;20,(IF(O133&gt;1730,IF(O133&lt;1970,"Pass","Fail"),"Fail"))))</f>
        <v>Pass</v>
      </c>
      <c r="U133" s="69">
        <v>1159</v>
      </c>
      <c r="V133" s="138"/>
      <c r="W133" s="56">
        <v>1730</v>
      </c>
      <c r="X133" s="56">
        <v>1970</v>
      </c>
      <c r="Y133" s="56">
        <v>6.2</v>
      </c>
    </row>
    <row r="134" spans="1:25" x14ac:dyDescent="0.3">
      <c r="A134" s="147"/>
      <c r="B134" s="76"/>
      <c r="C134" s="71" t="s">
        <v>89</v>
      </c>
      <c r="D134" s="56">
        <v>27514.53</v>
      </c>
      <c r="E134" s="56">
        <v>27310.34</v>
      </c>
      <c r="F134" s="56">
        <v>27303.11</v>
      </c>
      <c r="G134" s="56">
        <v>27196.43</v>
      </c>
      <c r="H134" s="56">
        <v>27381.200000000001</v>
      </c>
      <c r="I134" s="56">
        <v>27375.34</v>
      </c>
      <c r="J134" s="56">
        <v>27246.55</v>
      </c>
      <c r="K134" s="56">
        <v>27228.49</v>
      </c>
      <c r="L134" s="56">
        <v>27456.77</v>
      </c>
      <c r="M134" s="77"/>
      <c r="N134" s="77"/>
      <c r="O134" s="77"/>
      <c r="P134" s="77"/>
      <c r="Q134" s="77"/>
      <c r="R134" s="77"/>
      <c r="S134" s="77"/>
      <c r="T134" s="132"/>
      <c r="U134" s="77"/>
      <c r="V134" s="139"/>
    </row>
    <row r="135" spans="1:25" ht="39.9" x14ac:dyDescent="0.3">
      <c r="A135" s="149"/>
      <c r="B135" s="134"/>
      <c r="C135" s="71" t="s">
        <v>123</v>
      </c>
      <c r="D135" s="38">
        <f t="shared" ref="D135:L135" si="41">IF(((D133="")*AND(D134="")),"",(D133-D134)*1)</f>
        <v>1851.2000000000007</v>
      </c>
      <c r="E135" s="38">
        <f t="shared" si="41"/>
        <v>1857.8499999999985</v>
      </c>
      <c r="F135" s="38">
        <f t="shared" si="41"/>
        <v>1868.5200000000004</v>
      </c>
      <c r="G135" s="38">
        <f t="shared" si="41"/>
        <v>1953.0999999999985</v>
      </c>
      <c r="H135" s="38">
        <f t="shared" si="41"/>
        <v>2015.2299999999996</v>
      </c>
      <c r="I135" s="38">
        <f t="shared" si="41"/>
        <v>1920.7200000000012</v>
      </c>
      <c r="J135" s="38">
        <f t="shared" si="41"/>
        <v>1889.869999999999</v>
      </c>
      <c r="K135" s="38">
        <f t="shared" si="41"/>
        <v>1907.1399999999994</v>
      </c>
      <c r="L135" s="38">
        <f t="shared" si="41"/>
        <v>1915.8299999999981</v>
      </c>
      <c r="M135" s="135"/>
      <c r="N135" s="135"/>
      <c r="O135" s="135"/>
      <c r="P135" s="135"/>
      <c r="Q135" s="135"/>
      <c r="R135" s="135"/>
      <c r="S135" s="135"/>
      <c r="T135" s="136"/>
      <c r="U135" s="135"/>
      <c r="V135" s="140"/>
    </row>
    <row r="136" spans="1:25" x14ac:dyDescent="0.3">
      <c r="A136" s="129">
        <v>42723</v>
      </c>
      <c r="B136" s="68" t="s">
        <v>124</v>
      </c>
      <c r="C136" s="71" t="s">
        <v>88</v>
      </c>
      <c r="D136" s="56">
        <v>29233.73</v>
      </c>
      <c r="E136" s="56">
        <v>29048.3</v>
      </c>
      <c r="F136" s="56">
        <v>29074.12</v>
      </c>
      <c r="G136" s="56">
        <v>29086.45</v>
      </c>
      <c r="H136" s="56">
        <v>29319.03</v>
      </c>
      <c r="I136" s="56">
        <v>29204.05</v>
      </c>
      <c r="J136" s="56">
        <v>29047.59</v>
      </c>
      <c r="K136" s="56">
        <v>29056.720000000001</v>
      </c>
      <c r="L136" s="56">
        <v>29302.21</v>
      </c>
      <c r="M136" s="69">
        <f>IF((L137=""),"",MAX(D138:L138))</f>
        <v>2008.7999999999993</v>
      </c>
      <c r="N136" s="69">
        <f>IF(L137="","",MIN(D138:L138))</f>
        <v>1846.4799999999996</v>
      </c>
      <c r="O136" s="69">
        <f>IF((L138=""),"",AVERAGE(D138:L138))</f>
        <v>1900.6499999999994</v>
      </c>
      <c r="P136" s="69">
        <v>1600</v>
      </c>
      <c r="Q136" s="69">
        <v>2000</v>
      </c>
      <c r="R136" s="69">
        <f>IF((L137=""),"",((M136-N136)/(M136+N136))*100)</f>
        <v>4.2103297296175572</v>
      </c>
      <c r="S136" s="69">
        <v>20</v>
      </c>
      <c r="T136" s="130" t="str">
        <f>IF(L137="","",IF(R137&lt;20,(IF(O136&gt;1730,IF(O136&lt;1970,"Pass","Fail"),"Fail"))))</f>
        <v>Pass</v>
      </c>
      <c r="U136" s="69">
        <v>1159</v>
      </c>
      <c r="V136" s="138"/>
      <c r="W136" s="56">
        <v>1730</v>
      </c>
      <c r="X136" s="56">
        <v>1970</v>
      </c>
      <c r="Y136" s="56">
        <v>6.2</v>
      </c>
    </row>
    <row r="137" spans="1:25" x14ac:dyDescent="0.3">
      <c r="A137" s="147"/>
      <c r="B137" s="76"/>
      <c r="C137" s="71" t="s">
        <v>89</v>
      </c>
      <c r="D137" s="56">
        <v>27384.58</v>
      </c>
      <c r="E137" s="56">
        <v>27201.82</v>
      </c>
      <c r="F137" s="56">
        <v>27223.69</v>
      </c>
      <c r="G137" s="56">
        <v>27139</v>
      </c>
      <c r="H137" s="56">
        <v>27310.23</v>
      </c>
      <c r="I137" s="56">
        <v>27267.58</v>
      </c>
      <c r="J137" s="56">
        <v>27161.5</v>
      </c>
      <c r="K137" s="56">
        <v>27151.87</v>
      </c>
      <c r="L137" s="56">
        <v>27426.080000000002</v>
      </c>
      <c r="M137" s="77"/>
      <c r="N137" s="77"/>
      <c r="O137" s="77"/>
      <c r="P137" s="77"/>
      <c r="Q137" s="77"/>
      <c r="R137" s="77"/>
      <c r="S137" s="77"/>
      <c r="T137" s="132"/>
      <c r="U137" s="77"/>
      <c r="V137" s="139"/>
    </row>
    <row r="138" spans="1:25" ht="39.9" x14ac:dyDescent="0.3">
      <c r="A138" s="149"/>
      <c r="B138" s="134"/>
      <c r="C138" s="71" t="s">
        <v>123</v>
      </c>
      <c r="D138" s="38">
        <f t="shared" ref="D138:L138" si="42">IF(((D136="")*AND(D137="")),"",(D136-D137)*1)</f>
        <v>1849.1499999999978</v>
      </c>
      <c r="E138" s="38">
        <f t="shared" si="42"/>
        <v>1846.4799999999996</v>
      </c>
      <c r="F138" s="38">
        <f t="shared" si="42"/>
        <v>1850.4300000000003</v>
      </c>
      <c r="G138" s="38">
        <f t="shared" si="42"/>
        <v>1947.4500000000007</v>
      </c>
      <c r="H138" s="38">
        <f t="shared" si="42"/>
        <v>2008.7999999999993</v>
      </c>
      <c r="I138" s="38">
        <f t="shared" si="42"/>
        <v>1936.4699999999975</v>
      </c>
      <c r="J138" s="38">
        <f t="shared" si="42"/>
        <v>1886.0900000000001</v>
      </c>
      <c r="K138" s="38">
        <f t="shared" si="42"/>
        <v>1904.8500000000022</v>
      </c>
      <c r="L138" s="38">
        <f t="shared" si="42"/>
        <v>1876.1299999999974</v>
      </c>
      <c r="M138" s="135"/>
      <c r="N138" s="135"/>
      <c r="O138" s="135"/>
      <c r="P138" s="135"/>
      <c r="Q138" s="135"/>
      <c r="R138" s="135"/>
      <c r="S138" s="135"/>
      <c r="T138" s="136"/>
      <c r="U138" s="135"/>
      <c r="V138" s="140"/>
    </row>
    <row r="139" spans="1:25" x14ac:dyDescent="0.3">
      <c r="A139" s="129">
        <v>42726</v>
      </c>
      <c r="B139" s="68" t="s">
        <v>124</v>
      </c>
      <c r="C139" s="71" t="s">
        <v>88</v>
      </c>
      <c r="D139" s="56">
        <v>29214.83</v>
      </c>
      <c r="E139" s="56">
        <v>29052.83</v>
      </c>
      <c r="F139" s="56">
        <v>29093.16</v>
      </c>
      <c r="G139" s="56">
        <v>29041.15</v>
      </c>
      <c r="H139" s="56">
        <v>29247.42</v>
      </c>
      <c r="I139" s="56">
        <v>29199.25</v>
      </c>
      <c r="J139" s="56">
        <v>29045.360000000001</v>
      </c>
      <c r="K139" s="56">
        <v>29030.23</v>
      </c>
      <c r="L139" s="56">
        <v>29260.57</v>
      </c>
      <c r="M139" s="69">
        <f>IF((L140=""),"",MAX(D141:L141))</f>
        <v>1978.2299999999996</v>
      </c>
      <c r="N139" s="69">
        <f>IF(L140="","",MIN(D141:L141))</f>
        <v>1829.6500000000015</v>
      </c>
      <c r="O139" s="69">
        <f>IF((L141=""),"",AVERAGE(D141:L141))</f>
        <v>1881.7244444444452</v>
      </c>
      <c r="P139" s="69">
        <v>1600</v>
      </c>
      <c r="Q139" s="69">
        <v>2000</v>
      </c>
      <c r="R139" s="69">
        <f>IF((L140=""),"",((M139-N139)/(M139+N139))*100)</f>
        <v>3.9019086735926045</v>
      </c>
      <c r="S139" s="69">
        <v>20</v>
      </c>
      <c r="T139" s="130" t="str">
        <f>IF(L140="","",IF(R140&lt;20,(IF(O139&gt;1730,IF(O139&lt;1970,"Pass","Fail"),"Fail"))))</f>
        <v>Pass</v>
      </c>
      <c r="U139" s="69">
        <v>1159</v>
      </c>
      <c r="V139" s="138"/>
      <c r="W139" s="56">
        <v>1730</v>
      </c>
      <c r="X139" s="56">
        <v>1970</v>
      </c>
      <c r="Y139" s="56">
        <v>6.2</v>
      </c>
    </row>
    <row r="140" spans="1:25" x14ac:dyDescent="0.3">
      <c r="A140" s="147"/>
      <c r="B140" s="76"/>
      <c r="C140" s="71" t="s">
        <v>89</v>
      </c>
      <c r="D140" s="56">
        <v>27372.76</v>
      </c>
      <c r="E140" s="56">
        <v>27211.87</v>
      </c>
      <c r="F140" s="56">
        <v>27263.51</v>
      </c>
      <c r="G140" s="56">
        <v>27125.040000000001</v>
      </c>
      <c r="H140" s="56">
        <v>27269.19</v>
      </c>
      <c r="I140" s="56">
        <v>27301.52</v>
      </c>
      <c r="J140" s="56">
        <v>27186.73</v>
      </c>
      <c r="K140" s="56">
        <v>27144.39</v>
      </c>
      <c r="L140" s="56">
        <v>27374.27</v>
      </c>
      <c r="M140" s="77"/>
      <c r="N140" s="77"/>
      <c r="O140" s="77"/>
      <c r="P140" s="77"/>
      <c r="Q140" s="77"/>
      <c r="R140" s="77"/>
      <c r="S140" s="77"/>
      <c r="T140" s="132"/>
      <c r="U140" s="77"/>
      <c r="V140" s="139"/>
    </row>
    <row r="141" spans="1:25" ht="39.9" x14ac:dyDescent="0.3">
      <c r="A141" s="149"/>
      <c r="B141" s="134"/>
      <c r="C141" s="71" t="s">
        <v>123</v>
      </c>
      <c r="D141" s="38">
        <f t="shared" ref="D141:L141" si="43">IF(((D139="")*AND(D140="")),"",(D139-D140)*1)</f>
        <v>1842.0700000000033</v>
      </c>
      <c r="E141" s="38">
        <f t="shared" si="43"/>
        <v>1840.9600000000028</v>
      </c>
      <c r="F141" s="38">
        <f t="shared" si="43"/>
        <v>1829.6500000000015</v>
      </c>
      <c r="G141" s="38">
        <f t="shared" si="43"/>
        <v>1916.1100000000006</v>
      </c>
      <c r="H141" s="38">
        <f t="shared" si="43"/>
        <v>1978.2299999999996</v>
      </c>
      <c r="I141" s="38">
        <f t="shared" si="43"/>
        <v>1897.7299999999996</v>
      </c>
      <c r="J141" s="38">
        <f t="shared" si="43"/>
        <v>1858.630000000001</v>
      </c>
      <c r="K141" s="38">
        <f t="shared" si="43"/>
        <v>1885.8400000000001</v>
      </c>
      <c r="L141" s="38">
        <f t="shared" si="43"/>
        <v>1886.2999999999993</v>
      </c>
      <c r="M141" s="135"/>
      <c r="N141" s="135"/>
      <c r="O141" s="135"/>
      <c r="P141" s="135"/>
      <c r="Q141" s="135"/>
      <c r="R141" s="135"/>
      <c r="S141" s="135"/>
      <c r="T141" s="136"/>
      <c r="U141" s="135"/>
      <c r="V141" s="140"/>
    </row>
    <row r="142" spans="1:25" x14ac:dyDescent="0.3">
      <c r="A142" s="129">
        <v>42729</v>
      </c>
      <c r="B142" s="68" t="s">
        <v>124</v>
      </c>
      <c r="C142" s="71" t="s">
        <v>88</v>
      </c>
      <c r="D142" s="56">
        <v>29396.57</v>
      </c>
      <c r="E142" s="56">
        <v>29170.25</v>
      </c>
      <c r="F142" s="56">
        <v>29255.99</v>
      </c>
      <c r="G142" s="56">
        <v>29153.07</v>
      </c>
      <c r="H142" s="56">
        <v>29369.87</v>
      </c>
      <c r="I142" s="56">
        <v>29320.81</v>
      </c>
      <c r="J142" s="56">
        <v>29192.39</v>
      </c>
      <c r="K142" s="56">
        <v>29134.080000000002</v>
      </c>
      <c r="L142" s="56">
        <v>29379.52</v>
      </c>
      <c r="M142" s="69">
        <f>IF((L143=""),"",MAX(D144:L144))</f>
        <v>2001.9300000000003</v>
      </c>
      <c r="N142" s="69">
        <f>IF(L143="","",MIN(D144:L144))</f>
        <v>1803.9399999999987</v>
      </c>
      <c r="O142" s="69">
        <f>IF((L144=""),"",AVERAGE(D144:L144))</f>
        <v>1887.5833333333333</v>
      </c>
      <c r="P142" s="69">
        <v>1600</v>
      </c>
      <c r="Q142" s="69">
        <v>2000</v>
      </c>
      <c r="R142" s="69">
        <f>IF((L143=""),"",((M142-N142)/(M142+N142))*100)</f>
        <v>5.2022270860539548</v>
      </c>
      <c r="S142" s="69">
        <v>20</v>
      </c>
      <c r="T142" s="130" t="str">
        <f>IF(L143="","",IF(R143&lt;20,(IF(O142&gt;1730,IF(O142&lt;1970,"Pass","Fail"),"Fail"))))</f>
        <v>Pass</v>
      </c>
      <c r="U142" s="69">
        <v>1159</v>
      </c>
      <c r="V142" s="138"/>
      <c r="W142" s="56">
        <v>1730</v>
      </c>
      <c r="X142" s="56">
        <v>1970</v>
      </c>
      <c r="Y142" s="56">
        <v>6.2</v>
      </c>
    </row>
    <row r="143" spans="1:25" x14ac:dyDescent="0.3">
      <c r="A143" s="147"/>
      <c r="B143" s="76"/>
      <c r="C143" s="71" t="s">
        <v>89</v>
      </c>
      <c r="D143" s="56">
        <v>27530.37</v>
      </c>
      <c r="E143" s="56">
        <v>27366.31</v>
      </c>
      <c r="F143" s="56">
        <v>27437.24</v>
      </c>
      <c r="G143" s="56">
        <v>27233.32</v>
      </c>
      <c r="H143" s="56">
        <v>27396.04</v>
      </c>
      <c r="I143" s="56">
        <v>27487.31</v>
      </c>
      <c r="J143" s="56">
        <v>27190.46</v>
      </c>
      <c r="K143" s="56">
        <v>27242.66</v>
      </c>
      <c r="L143" s="56">
        <v>27500.59</v>
      </c>
      <c r="M143" s="77"/>
      <c r="N143" s="77"/>
      <c r="O143" s="77"/>
      <c r="P143" s="77"/>
      <c r="Q143" s="77"/>
      <c r="R143" s="77"/>
      <c r="S143" s="77"/>
      <c r="T143" s="132"/>
      <c r="U143" s="77"/>
      <c r="V143" s="139"/>
    </row>
    <row r="144" spans="1:25" ht="39.9" x14ac:dyDescent="0.3">
      <c r="A144" s="149"/>
      <c r="B144" s="134"/>
      <c r="C144" s="71" t="s">
        <v>123</v>
      </c>
      <c r="D144" s="38">
        <f t="shared" ref="D144:L144" si="44">IF(((D142="")*AND(D143="")),"",(D142-D143)*1)</f>
        <v>1866.2000000000007</v>
      </c>
      <c r="E144" s="38">
        <f t="shared" si="44"/>
        <v>1803.9399999999987</v>
      </c>
      <c r="F144" s="38">
        <f t="shared" si="44"/>
        <v>1818.75</v>
      </c>
      <c r="G144" s="38">
        <f t="shared" si="44"/>
        <v>1919.75</v>
      </c>
      <c r="H144" s="38">
        <f t="shared" si="44"/>
        <v>1973.8299999999981</v>
      </c>
      <c r="I144" s="38">
        <f t="shared" si="44"/>
        <v>1833.5</v>
      </c>
      <c r="J144" s="38">
        <f t="shared" si="44"/>
        <v>2001.9300000000003</v>
      </c>
      <c r="K144" s="38">
        <f t="shared" si="44"/>
        <v>1891.4200000000019</v>
      </c>
      <c r="L144" s="38">
        <f t="shared" si="44"/>
        <v>1878.9300000000003</v>
      </c>
      <c r="M144" s="135"/>
      <c r="N144" s="135"/>
      <c r="O144" s="135"/>
      <c r="P144" s="135"/>
      <c r="Q144" s="135"/>
      <c r="R144" s="135"/>
      <c r="S144" s="135"/>
      <c r="T144" s="136"/>
      <c r="U144" s="135"/>
      <c r="V144" s="140"/>
    </row>
    <row r="145" spans="1:25" x14ac:dyDescent="0.3">
      <c r="A145" s="129">
        <v>42732</v>
      </c>
      <c r="B145" s="68" t="s">
        <v>124</v>
      </c>
      <c r="C145" s="71" t="s">
        <v>88</v>
      </c>
      <c r="D145" s="56">
        <v>29314.91</v>
      </c>
      <c r="E145" s="56">
        <v>29144.36</v>
      </c>
      <c r="F145" s="56">
        <v>29169.13</v>
      </c>
      <c r="G145" s="56">
        <v>29176.04</v>
      </c>
      <c r="H145" s="56">
        <v>29423.55</v>
      </c>
      <c r="I145" s="56">
        <v>29275.54</v>
      </c>
      <c r="J145" s="56">
        <v>29131.77</v>
      </c>
      <c r="K145" s="56">
        <v>29157.599999999999</v>
      </c>
      <c r="L145" s="56">
        <v>29382.58</v>
      </c>
      <c r="M145" s="69">
        <f>IF((L146=""),"",MAX(D147:L147))</f>
        <v>1970.8600000000006</v>
      </c>
      <c r="N145" s="69">
        <f>IF(L146="","",MIN(D147:L147))</f>
        <v>1758.5900000000001</v>
      </c>
      <c r="O145" s="69">
        <f>IF((L147=""),"",AVERAGE(D147:L147))</f>
        <v>1874.6388888888894</v>
      </c>
      <c r="P145" s="69">
        <v>1600</v>
      </c>
      <c r="Q145" s="69">
        <v>2000</v>
      </c>
      <c r="R145" s="69">
        <f>IF((L146=""),"",((M145-N145)/(M145+N145))*100)</f>
        <v>5.6917239807478417</v>
      </c>
      <c r="S145" s="69">
        <v>20</v>
      </c>
      <c r="T145" s="130" t="str">
        <f>IF(L146="","",IF(R146&lt;20,(IF(O145&gt;1730,IF(O145&lt;1970,"Pass","Fail"),"Fail"))))</f>
        <v>Pass</v>
      </c>
      <c r="U145" s="69">
        <v>1335</v>
      </c>
      <c r="V145" s="138"/>
      <c r="W145" s="56">
        <v>1730</v>
      </c>
      <c r="X145" s="56">
        <v>1970</v>
      </c>
      <c r="Y145" s="56">
        <v>6.2</v>
      </c>
    </row>
    <row r="146" spans="1:25" x14ac:dyDescent="0.3">
      <c r="A146" s="147"/>
      <c r="B146" s="76"/>
      <c r="C146" s="71" t="s">
        <v>89</v>
      </c>
      <c r="D146" s="56">
        <v>27471.67</v>
      </c>
      <c r="E146" s="56">
        <v>27298.91</v>
      </c>
      <c r="F146" s="56">
        <v>27410.54</v>
      </c>
      <c r="G146" s="56">
        <v>27241.200000000001</v>
      </c>
      <c r="H146" s="56">
        <v>27452.69</v>
      </c>
      <c r="I146" s="56">
        <v>27362.26</v>
      </c>
      <c r="J146" s="56">
        <v>27259.88</v>
      </c>
      <c r="K146" s="56">
        <v>27261.58</v>
      </c>
      <c r="L146" s="56">
        <v>27545</v>
      </c>
      <c r="M146" s="77"/>
      <c r="N146" s="77"/>
      <c r="O146" s="77"/>
      <c r="P146" s="77"/>
      <c r="Q146" s="77"/>
      <c r="R146" s="77"/>
      <c r="S146" s="77"/>
      <c r="T146" s="132"/>
      <c r="U146" s="77"/>
      <c r="V146" s="139"/>
    </row>
    <row r="147" spans="1:25" ht="39.9" x14ac:dyDescent="0.3">
      <c r="A147" s="149"/>
      <c r="B147" s="134"/>
      <c r="C147" s="71" t="s">
        <v>123</v>
      </c>
      <c r="D147" s="38">
        <f t="shared" ref="D147:L147" si="45">IF(((D145="")*AND(D146="")),"",(D145-D146)*1)</f>
        <v>1843.2400000000016</v>
      </c>
      <c r="E147" s="38">
        <f t="shared" si="45"/>
        <v>1845.4500000000007</v>
      </c>
      <c r="F147" s="38">
        <f t="shared" si="45"/>
        <v>1758.5900000000001</v>
      </c>
      <c r="G147" s="38">
        <f t="shared" si="45"/>
        <v>1934.8400000000001</v>
      </c>
      <c r="H147" s="38">
        <f t="shared" si="45"/>
        <v>1970.8600000000006</v>
      </c>
      <c r="I147" s="38">
        <f t="shared" si="45"/>
        <v>1913.2800000000025</v>
      </c>
      <c r="J147" s="38">
        <f t="shared" si="45"/>
        <v>1871.8899999999994</v>
      </c>
      <c r="K147" s="38">
        <f t="shared" si="45"/>
        <v>1896.0199999999968</v>
      </c>
      <c r="L147" s="38">
        <f t="shared" si="45"/>
        <v>1837.5800000000017</v>
      </c>
      <c r="M147" s="135"/>
      <c r="N147" s="135"/>
      <c r="O147" s="135"/>
      <c r="P147" s="135"/>
      <c r="Q147" s="135"/>
      <c r="R147" s="135"/>
      <c r="S147" s="135"/>
      <c r="T147" s="136"/>
      <c r="U147" s="135"/>
      <c r="V147" s="140"/>
    </row>
    <row r="148" spans="1:25" x14ac:dyDescent="0.3">
      <c r="A148" s="129">
        <v>42737</v>
      </c>
      <c r="B148" s="68" t="s">
        <v>124</v>
      </c>
      <c r="C148" s="71" t="s">
        <v>88</v>
      </c>
      <c r="D148" s="56">
        <v>29314.53</v>
      </c>
      <c r="E148" s="56">
        <v>26878.12</v>
      </c>
      <c r="F148" s="56">
        <v>29124.7</v>
      </c>
      <c r="G148" s="56">
        <v>29105.21</v>
      </c>
      <c r="H148" s="56">
        <v>29340.09</v>
      </c>
      <c r="I148" s="56">
        <v>29286.36</v>
      </c>
      <c r="J148" s="56">
        <v>29116.98</v>
      </c>
      <c r="K148" s="56">
        <v>29119.98</v>
      </c>
      <c r="L148" s="56">
        <v>29341.759999999998</v>
      </c>
      <c r="M148" s="69">
        <f>IF((L149=""),"",MAX(D150:L150))</f>
        <v>1943.3600000000006</v>
      </c>
      <c r="N148" s="69">
        <f>IF(L149="","",MIN(D150:L150))</f>
        <v>-413.18000000000029</v>
      </c>
      <c r="O148" s="69">
        <f>IF((L150=""),"",AVERAGE(D150:L150))</f>
        <v>1610.9377777777777</v>
      </c>
      <c r="P148" s="69">
        <v>1600</v>
      </c>
      <c r="Q148" s="69">
        <v>2000</v>
      </c>
      <c r="R148" s="69">
        <f>IF((L149=""),"",((M148-N148)/(M148+N148))*100)</f>
        <v>154.00410409232904</v>
      </c>
      <c r="S148" s="69">
        <v>20</v>
      </c>
      <c r="T148" s="130" t="str">
        <f>IF(L149="","",IF(R149&lt;20,(IF(O148&gt;1730,IF(O148&lt;1970,"Pass","Fail"),"Fail"))))</f>
        <v>Fail</v>
      </c>
      <c r="U148" s="69">
        <v>1335</v>
      </c>
      <c r="V148" s="138"/>
      <c r="W148" s="56">
        <v>1730</v>
      </c>
      <c r="X148" s="56">
        <v>1970</v>
      </c>
      <c r="Y148" s="56">
        <v>6.2</v>
      </c>
    </row>
    <row r="149" spans="1:25" x14ac:dyDescent="0.3">
      <c r="A149" s="147"/>
      <c r="B149" s="76"/>
      <c r="C149" s="71" t="s">
        <v>89</v>
      </c>
      <c r="D149" s="56">
        <v>27488.080000000002</v>
      </c>
      <c r="E149" s="56">
        <v>27291.3</v>
      </c>
      <c r="F149" s="56">
        <v>27314.81</v>
      </c>
      <c r="G149" s="56">
        <v>27219.51</v>
      </c>
      <c r="H149" s="56">
        <v>27396.73</v>
      </c>
      <c r="I149" s="56">
        <v>27407.68</v>
      </c>
      <c r="J149" s="56">
        <v>27267.17</v>
      </c>
      <c r="K149" s="56">
        <v>27244.48</v>
      </c>
      <c r="L149" s="56">
        <v>27499.53</v>
      </c>
      <c r="M149" s="77"/>
      <c r="N149" s="77"/>
      <c r="O149" s="77"/>
      <c r="P149" s="77"/>
      <c r="Q149" s="77"/>
      <c r="R149" s="77"/>
      <c r="S149" s="77"/>
      <c r="T149" s="132"/>
      <c r="U149" s="77"/>
      <c r="V149" s="139"/>
    </row>
    <row r="150" spans="1:25" ht="39.9" x14ac:dyDescent="0.3">
      <c r="A150" s="149"/>
      <c r="B150" s="134"/>
      <c r="C150" s="71" t="s">
        <v>123</v>
      </c>
      <c r="D150" s="38">
        <f t="shared" ref="D150:L150" si="46">IF(((D148="")*AND(D149="")),"",(D148-D149)*1)</f>
        <v>1826.4499999999971</v>
      </c>
      <c r="E150" s="38">
        <f t="shared" si="46"/>
        <v>-413.18000000000029</v>
      </c>
      <c r="F150" s="38">
        <f t="shared" si="46"/>
        <v>1809.8899999999994</v>
      </c>
      <c r="G150" s="38">
        <f t="shared" si="46"/>
        <v>1885.7000000000007</v>
      </c>
      <c r="H150" s="38">
        <f t="shared" si="46"/>
        <v>1943.3600000000006</v>
      </c>
      <c r="I150" s="38">
        <f t="shared" si="46"/>
        <v>1878.6800000000003</v>
      </c>
      <c r="J150" s="38">
        <f t="shared" si="46"/>
        <v>1849.8100000000013</v>
      </c>
      <c r="K150" s="38">
        <f t="shared" si="46"/>
        <v>1875.5</v>
      </c>
      <c r="L150" s="38">
        <f t="shared" si="46"/>
        <v>1842.2299999999996</v>
      </c>
      <c r="M150" s="135"/>
      <c r="N150" s="135"/>
      <c r="O150" s="135"/>
      <c r="P150" s="135"/>
      <c r="Q150" s="135"/>
      <c r="R150" s="135"/>
      <c r="S150" s="135"/>
      <c r="T150" s="136"/>
      <c r="U150" s="135"/>
      <c r="V150" s="140"/>
    </row>
    <row r="151" spans="1:25" x14ac:dyDescent="0.3">
      <c r="A151" s="129">
        <v>42739</v>
      </c>
      <c r="B151" s="68" t="s">
        <v>124</v>
      </c>
      <c r="C151" s="71" t="s">
        <v>88</v>
      </c>
      <c r="D151" s="56">
        <v>29384.33</v>
      </c>
      <c r="E151" s="56">
        <v>29165.25</v>
      </c>
      <c r="F151" s="56">
        <v>29210.55</v>
      </c>
      <c r="G151" s="56">
        <v>29152.2</v>
      </c>
      <c r="H151" s="56">
        <v>29324.85</v>
      </c>
      <c r="I151" s="56">
        <v>29372.39</v>
      </c>
      <c r="J151" s="56">
        <v>29167.87</v>
      </c>
      <c r="K151" s="56">
        <v>29145.61</v>
      </c>
      <c r="L151" s="56">
        <v>29298.83</v>
      </c>
      <c r="M151" s="69">
        <f>IF((L152=""),"",MAX(D153:L153))</f>
        <v>1920.8599999999969</v>
      </c>
      <c r="N151" s="69">
        <f>IF(L152="","",MIN(D153:L153))</f>
        <v>1757.7099999999991</v>
      </c>
      <c r="O151" s="69">
        <f>IF((L153=""),"",AVERAGE(D153:L153))</f>
        <v>1824.768888888889</v>
      </c>
      <c r="P151" s="69">
        <v>1600</v>
      </c>
      <c r="Q151" s="69">
        <v>2000</v>
      </c>
      <c r="R151" s="69">
        <f>IF((L152=""),"",((M151-N151)/(M151+N151))*100)</f>
        <v>4.4351473534552284</v>
      </c>
      <c r="S151" s="69">
        <v>20</v>
      </c>
      <c r="T151" s="130" t="str">
        <f>IF(L152="","",IF(R152&lt;20,(IF(O151&gt;1730,IF(O151&lt;1970,"Pass","Fail"),"Fail"))))</f>
        <v>Pass</v>
      </c>
      <c r="U151" s="69">
        <v>102</v>
      </c>
      <c r="V151" s="138"/>
      <c r="W151" s="56">
        <v>1730</v>
      </c>
      <c r="X151" s="56">
        <v>1970</v>
      </c>
      <c r="Y151" s="56">
        <v>6.2</v>
      </c>
    </row>
    <row r="152" spans="1:25" x14ac:dyDescent="0.3">
      <c r="A152" s="147"/>
      <c r="B152" s="76"/>
      <c r="C152" s="71" t="s">
        <v>89</v>
      </c>
      <c r="D152" s="56">
        <v>27611.919999999998</v>
      </c>
      <c r="E152" s="56">
        <v>27407.54</v>
      </c>
      <c r="F152" s="56">
        <v>27391.42</v>
      </c>
      <c r="G152" s="56">
        <v>27283.99</v>
      </c>
      <c r="H152" s="56">
        <v>27403.99</v>
      </c>
      <c r="I152" s="56">
        <v>27556.61</v>
      </c>
      <c r="J152" s="56">
        <v>27357.23</v>
      </c>
      <c r="K152" s="56">
        <v>27328.639999999999</v>
      </c>
      <c r="L152" s="56">
        <v>27457.62</v>
      </c>
      <c r="M152" s="77"/>
      <c r="N152" s="77"/>
      <c r="O152" s="77"/>
      <c r="P152" s="77"/>
      <c r="Q152" s="77"/>
      <c r="R152" s="77"/>
      <c r="S152" s="77"/>
      <c r="T152" s="132"/>
      <c r="U152" s="77"/>
      <c r="V152" s="139"/>
    </row>
    <row r="153" spans="1:25" ht="39.9" x14ac:dyDescent="0.3">
      <c r="A153" s="149"/>
      <c r="B153" s="134"/>
      <c r="C153" s="71" t="s">
        <v>123</v>
      </c>
      <c r="D153" s="38">
        <f t="shared" ref="D153:L153" si="47">IF(((D151="")*AND(D152="")),"",(D151-D152)*1)</f>
        <v>1772.4100000000035</v>
      </c>
      <c r="E153" s="38">
        <f t="shared" si="47"/>
        <v>1757.7099999999991</v>
      </c>
      <c r="F153" s="38">
        <f t="shared" si="47"/>
        <v>1819.130000000001</v>
      </c>
      <c r="G153" s="38">
        <f t="shared" si="47"/>
        <v>1868.2099999999991</v>
      </c>
      <c r="H153" s="38">
        <f t="shared" si="47"/>
        <v>1920.8599999999969</v>
      </c>
      <c r="I153" s="38">
        <f t="shared" si="47"/>
        <v>1815.7799999999988</v>
      </c>
      <c r="J153" s="38">
        <f t="shared" si="47"/>
        <v>1810.6399999999994</v>
      </c>
      <c r="K153" s="38">
        <f t="shared" si="47"/>
        <v>1816.9700000000012</v>
      </c>
      <c r="L153" s="38">
        <f t="shared" si="47"/>
        <v>1841.2100000000028</v>
      </c>
      <c r="M153" s="135"/>
      <c r="N153" s="135"/>
      <c r="O153" s="135"/>
      <c r="P153" s="135"/>
      <c r="Q153" s="135"/>
      <c r="R153" s="135"/>
      <c r="S153" s="135"/>
      <c r="T153" s="136"/>
      <c r="U153" s="135"/>
      <c r="V153" s="140"/>
    </row>
    <row r="154" spans="1:25" x14ac:dyDescent="0.3">
      <c r="A154" s="129">
        <v>42744</v>
      </c>
      <c r="B154" s="68" t="s">
        <v>124</v>
      </c>
      <c r="C154" s="71" t="s">
        <v>88</v>
      </c>
      <c r="D154" s="56">
        <v>29237.93</v>
      </c>
      <c r="E154" s="56">
        <v>29065.759999999998</v>
      </c>
      <c r="F154" s="56">
        <v>29041.62</v>
      </c>
      <c r="G154" s="56">
        <v>29035.74</v>
      </c>
      <c r="H154" s="56">
        <v>29218.98</v>
      </c>
      <c r="I154" s="56">
        <v>29231.42</v>
      </c>
      <c r="J154" s="56">
        <v>29031.49</v>
      </c>
      <c r="K154" s="56">
        <v>29048.75</v>
      </c>
      <c r="L154" s="56">
        <v>29279.29</v>
      </c>
      <c r="M154" s="69">
        <f>IF((L155=""),"",MAX(D156:L156))</f>
        <v>1889.1899999999987</v>
      </c>
      <c r="N154" s="69">
        <f>IF(L155="","",MIN(D156:L156))</f>
        <v>1742.9399999999987</v>
      </c>
      <c r="O154" s="69">
        <f>IF((L156=""),"",AVERAGE(D156:L156))</f>
        <v>1795.5366666666664</v>
      </c>
      <c r="P154" s="69">
        <v>1600</v>
      </c>
      <c r="Q154" s="69">
        <v>2000</v>
      </c>
      <c r="R154" s="69">
        <f>IF((L155=""),"",((M154-N154)/(M154+N154))*100)</f>
        <v>4.0265629258864664</v>
      </c>
      <c r="S154" s="69">
        <v>20</v>
      </c>
      <c r="T154" s="130" t="str">
        <f>IF(L155="","",IF(R155&lt;20,(IF(O154&gt;1730,IF(O154&lt;1970,"Pass","Fail"),"Fail"))))</f>
        <v>Pass</v>
      </c>
      <c r="U154" s="69">
        <v>1400</v>
      </c>
      <c r="V154" s="138"/>
      <c r="W154" s="56">
        <v>1730</v>
      </c>
      <c r="X154" s="56">
        <v>1970</v>
      </c>
      <c r="Y154" s="56">
        <v>6.2</v>
      </c>
    </row>
    <row r="155" spans="1:25" x14ac:dyDescent="0.3">
      <c r="A155" s="147"/>
      <c r="B155" s="76"/>
      <c r="C155" s="71" t="s">
        <v>89</v>
      </c>
      <c r="D155" s="56">
        <v>27465.14</v>
      </c>
      <c r="E155" s="56">
        <v>27314.86</v>
      </c>
      <c r="F155" s="56">
        <v>27298.68</v>
      </c>
      <c r="G155" s="56">
        <v>27213.65</v>
      </c>
      <c r="H155" s="56">
        <v>27329.79</v>
      </c>
      <c r="I155" s="56">
        <v>27421.19</v>
      </c>
      <c r="J155" s="56">
        <v>27267.54</v>
      </c>
      <c r="K155" s="56">
        <v>27255.79</v>
      </c>
      <c r="L155" s="56">
        <v>27464.51</v>
      </c>
      <c r="M155" s="77"/>
      <c r="N155" s="77"/>
      <c r="O155" s="77"/>
      <c r="P155" s="77"/>
      <c r="Q155" s="77"/>
      <c r="R155" s="77"/>
      <c r="S155" s="77"/>
      <c r="T155" s="132"/>
      <c r="U155" s="77"/>
      <c r="V155" s="139"/>
    </row>
    <row r="156" spans="1:25" ht="39.9" x14ac:dyDescent="0.3">
      <c r="A156" s="149"/>
      <c r="B156" s="134"/>
      <c r="C156" s="71" t="s">
        <v>123</v>
      </c>
      <c r="D156" s="38">
        <f t="shared" ref="D156:L156" si="48">IF(((D154="")*AND(D155="")),"",(D154-D155)*1)</f>
        <v>1772.7900000000009</v>
      </c>
      <c r="E156" s="38">
        <f t="shared" si="48"/>
        <v>1750.8999999999978</v>
      </c>
      <c r="F156" s="38">
        <f t="shared" si="48"/>
        <v>1742.9399999999987</v>
      </c>
      <c r="G156" s="38">
        <f t="shared" si="48"/>
        <v>1822.0900000000001</v>
      </c>
      <c r="H156" s="38">
        <f t="shared" si="48"/>
        <v>1889.1899999999987</v>
      </c>
      <c r="I156" s="38">
        <f t="shared" si="48"/>
        <v>1810.2299999999996</v>
      </c>
      <c r="J156" s="38">
        <f t="shared" si="48"/>
        <v>1763.9500000000007</v>
      </c>
      <c r="K156" s="38">
        <f t="shared" si="48"/>
        <v>1792.9599999999991</v>
      </c>
      <c r="L156" s="38">
        <f t="shared" si="48"/>
        <v>1814.7800000000025</v>
      </c>
      <c r="M156" s="135"/>
      <c r="N156" s="135"/>
      <c r="O156" s="135"/>
      <c r="P156" s="135"/>
      <c r="Q156" s="135"/>
      <c r="R156" s="135"/>
      <c r="S156" s="135"/>
      <c r="T156" s="136"/>
      <c r="U156" s="135"/>
      <c r="V156" s="140"/>
    </row>
    <row r="157" spans="1:25" x14ac:dyDescent="0.3">
      <c r="A157" s="129">
        <v>42747</v>
      </c>
      <c r="B157" s="68" t="s">
        <v>124</v>
      </c>
      <c r="C157" s="71" t="s">
        <v>88</v>
      </c>
      <c r="D157" s="56">
        <v>29228.84</v>
      </c>
      <c r="E157" s="56">
        <v>29079.18</v>
      </c>
      <c r="F157" s="56">
        <v>29096.91</v>
      </c>
      <c r="G157" s="56">
        <v>29070.7</v>
      </c>
      <c r="H157" s="56">
        <v>29239.78</v>
      </c>
      <c r="I157" s="56">
        <v>29185.38</v>
      </c>
      <c r="J157" s="56">
        <v>29031.13</v>
      </c>
      <c r="K157" s="56">
        <v>29096.11</v>
      </c>
      <c r="L157" s="56">
        <v>29298.44</v>
      </c>
      <c r="M157" s="69">
        <f>IF((L158=""),"",MAX(D159:L159))</f>
        <v>1986.4799999999996</v>
      </c>
      <c r="N157" s="69">
        <f>IF(L158="","",MIN(D159:L159))</f>
        <v>1804.7799999999988</v>
      </c>
      <c r="O157" s="69">
        <f>IF((L159=""),"",AVERAGE(D159:L159))</f>
        <v>1889.6355555555556</v>
      </c>
      <c r="P157" s="69">
        <v>1600</v>
      </c>
      <c r="Q157" s="69">
        <v>2000</v>
      </c>
      <c r="R157" s="69">
        <f>IF((L158=""),"",((M157-N157)/(M157+N157))*100)</f>
        <v>4.7926019318116087</v>
      </c>
      <c r="S157" s="69">
        <v>20</v>
      </c>
      <c r="T157" s="130" t="str">
        <f>IF(L158="","",IF(R158&lt;20,(IF(O157&gt;1730,IF(O157&lt;1970,"Pass","Fail"),"Fail"))))</f>
        <v>Pass</v>
      </c>
      <c r="U157" s="69">
        <v>1335</v>
      </c>
      <c r="V157" s="138"/>
      <c r="W157" s="56">
        <v>1730</v>
      </c>
      <c r="X157" s="56">
        <v>1970</v>
      </c>
      <c r="Y157" s="56">
        <v>6.2</v>
      </c>
    </row>
    <row r="158" spans="1:25" x14ac:dyDescent="0.3">
      <c r="A158" s="147"/>
      <c r="B158" s="76"/>
      <c r="C158" s="71" t="s">
        <v>89</v>
      </c>
      <c r="D158" s="56">
        <v>27423.33</v>
      </c>
      <c r="E158" s="56">
        <v>27189.08</v>
      </c>
      <c r="F158" s="56">
        <v>27232.75</v>
      </c>
      <c r="G158" s="56">
        <v>27141.439999999999</v>
      </c>
      <c r="H158" s="56">
        <v>27253.3</v>
      </c>
      <c r="I158" s="56">
        <v>27245.759999999998</v>
      </c>
      <c r="J158" s="56">
        <v>27176.06</v>
      </c>
      <c r="K158" s="56">
        <v>27164.37</v>
      </c>
      <c r="L158" s="56">
        <v>27493.66</v>
      </c>
      <c r="M158" s="77"/>
      <c r="N158" s="77"/>
      <c r="O158" s="77"/>
      <c r="P158" s="77"/>
      <c r="Q158" s="77"/>
      <c r="R158" s="77"/>
      <c r="S158" s="77"/>
      <c r="T158" s="132"/>
      <c r="U158" s="77"/>
      <c r="V158" s="139"/>
    </row>
    <row r="159" spans="1:25" ht="39.9" x14ac:dyDescent="0.3">
      <c r="A159" s="149"/>
      <c r="B159" s="134"/>
      <c r="C159" s="71" t="s">
        <v>123</v>
      </c>
      <c r="D159" s="38">
        <f t="shared" ref="D159:L159" si="49">IF(((D157="")*AND(D158="")),"",(D157-D158)*1)</f>
        <v>1805.5099999999984</v>
      </c>
      <c r="E159" s="38">
        <f t="shared" si="49"/>
        <v>1890.0999999999985</v>
      </c>
      <c r="F159" s="38">
        <f t="shared" si="49"/>
        <v>1864.1599999999999</v>
      </c>
      <c r="G159" s="38">
        <f t="shared" si="49"/>
        <v>1929.260000000002</v>
      </c>
      <c r="H159" s="38">
        <f t="shared" si="49"/>
        <v>1986.4799999999996</v>
      </c>
      <c r="I159" s="38">
        <f t="shared" si="49"/>
        <v>1939.6200000000026</v>
      </c>
      <c r="J159" s="38">
        <f t="shared" si="49"/>
        <v>1855.0699999999997</v>
      </c>
      <c r="K159" s="38">
        <f t="shared" si="49"/>
        <v>1931.7400000000016</v>
      </c>
      <c r="L159" s="38">
        <f t="shared" si="49"/>
        <v>1804.7799999999988</v>
      </c>
      <c r="M159" s="135"/>
      <c r="N159" s="135"/>
      <c r="O159" s="135"/>
      <c r="P159" s="135"/>
      <c r="Q159" s="135"/>
      <c r="R159" s="135"/>
      <c r="S159" s="135"/>
      <c r="T159" s="136"/>
      <c r="U159" s="135"/>
      <c r="V159" s="140"/>
    </row>
    <row r="160" spans="1:25" ht="12.75" customHeight="1" x14ac:dyDescent="0.3">
      <c r="A160" s="129">
        <v>42759</v>
      </c>
      <c r="B160" s="68" t="s">
        <v>124</v>
      </c>
      <c r="C160" s="71" t="s">
        <v>88</v>
      </c>
      <c r="D160" s="56">
        <v>29208.07</v>
      </c>
      <c r="E160" s="56">
        <v>29021.78</v>
      </c>
      <c r="F160" s="56">
        <v>29058.53</v>
      </c>
      <c r="G160" s="56">
        <v>28954.62</v>
      </c>
      <c r="H160" s="56">
        <v>29172.83</v>
      </c>
      <c r="I160" s="56">
        <v>29085.95</v>
      </c>
      <c r="J160" s="56">
        <v>28993.13</v>
      </c>
      <c r="K160" s="56">
        <v>28959.77</v>
      </c>
      <c r="L160" s="56">
        <v>29197.82</v>
      </c>
      <c r="M160" s="69">
        <f>IF((L161=""),"",MAX(D162:L162))</f>
        <v>1890.9600000000028</v>
      </c>
      <c r="N160" s="69">
        <f>IF(L161="","",MIN(D162:L162))</f>
        <v>1770.9499999999971</v>
      </c>
      <c r="O160" s="69">
        <f>IF((L162=""),"",AVERAGE(D162:L162))</f>
        <v>1809.0022222222226</v>
      </c>
      <c r="P160" s="69">
        <v>1600</v>
      </c>
      <c r="Q160" s="69">
        <v>2000</v>
      </c>
      <c r="R160" s="69">
        <f>IF((L161=""),"",((M160-N160)/(M160+N160))*100)</f>
        <v>3.2772514889772189</v>
      </c>
      <c r="S160" s="69">
        <v>20</v>
      </c>
      <c r="T160" s="130" t="str">
        <f>IF(L161="","",IF(R161&lt;20,(IF(O160&gt;1730,IF(O160&lt;1970,"Pass","Fail"),"Fail"))))</f>
        <v>Pass</v>
      </c>
      <c r="U160" s="69">
        <v>1335</v>
      </c>
      <c r="V160" s="141" t="s">
        <v>75</v>
      </c>
      <c r="W160" s="56">
        <v>1730</v>
      </c>
      <c r="X160" s="56">
        <v>1970</v>
      </c>
      <c r="Y160" s="56">
        <v>6.2</v>
      </c>
    </row>
    <row r="161" spans="1:25" x14ac:dyDescent="0.3">
      <c r="A161" s="147"/>
      <c r="B161" s="76"/>
      <c r="C161" s="71" t="s">
        <v>89</v>
      </c>
      <c r="D161" s="56">
        <v>27389.19</v>
      </c>
      <c r="E161" s="56">
        <v>27227.360000000001</v>
      </c>
      <c r="F161" s="56">
        <v>27287.58</v>
      </c>
      <c r="G161" s="56">
        <v>27153.21</v>
      </c>
      <c r="H161" s="56">
        <v>27281.87</v>
      </c>
      <c r="I161" s="56">
        <v>27287.759999999998</v>
      </c>
      <c r="J161" s="56">
        <v>27173.66</v>
      </c>
      <c r="K161" s="56">
        <v>27173.01</v>
      </c>
      <c r="L161" s="56">
        <v>27397.84</v>
      </c>
      <c r="M161" s="77"/>
      <c r="N161" s="77"/>
      <c r="O161" s="77"/>
      <c r="P161" s="77"/>
      <c r="Q161" s="77"/>
      <c r="R161" s="77"/>
      <c r="S161" s="77"/>
      <c r="T161" s="132"/>
      <c r="U161" s="77"/>
      <c r="V161" s="142"/>
    </row>
    <row r="162" spans="1:25" ht="39.9" x14ac:dyDescent="0.3">
      <c r="A162" s="149"/>
      <c r="B162" s="134"/>
      <c r="C162" s="71" t="s">
        <v>123</v>
      </c>
      <c r="D162" s="38">
        <f t="shared" ref="D162:L162" si="50">IF(((D160="")*AND(D161="")),"",(D160-D161)*1)</f>
        <v>1818.880000000001</v>
      </c>
      <c r="E162" s="38">
        <f t="shared" si="50"/>
        <v>1794.4199999999983</v>
      </c>
      <c r="F162" s="38">
        <f t="shared" si="50"/>
        <v>1770.9499999999971</v>
      </c>
      <c r="G162" s="38">
        <f t="shared" si="50"/>
        <v>1801.4099999999999</v>
      </c>
      <c r="H162" s="38">
        <f t="shared" si="50"/>
        <v>1890.9600000000028</v>
      </c>
      <c r="I162" s="38">
        <f t="shared" si="50"/>
        <v>1798.1900000000023</v>
      </c>
      <c r="J162" s="38">
        <f t="shared" si="50"/>
        <v>1819.4700000000012</v>
      </c>
      <c r="K162" s="38">
        <f t="shared" si="50"/>
        <v>1786.760000000002</v>
      </c>
      <c r="L162" s="38">
        <f t="shared" si="50"/>
        <v>1799.9799999999996</v>
      </c>
      <c r="M162" s="135"/>
      <c r="N162" s="135"/>
      <c r="O162" s="135"/>
      <c r="P162" s="135"/>
      <c r="Q162" s="135"/>
      <c r="R162" s="135"/>
      <c r="S162" s="135"/>
      <c r="T162" s="136"/>
      <c r="U162" s="135"/>
      <c r="V162" s="143"/>
    </row>
    <row r="163" spans="1:25" x14ac:dyDescent="0.3">
      <c r="A163" s="129">
        <v>42762</v>
      </c>
      <c r="B163" s="68" t="s">
        <v>124</v>
      </c>
      <c r="C163" s="71" t="s">
        <v>88</v>
      </c>
      <c r="D163" s="56">
        <v>29231.59</v>
      </c>
      <c r="E163" s="56">
        <v>29029.35</v>
      </c>
      <c r="F163" s="56">
        <v>29118.34</v>
      </c>
      <c r="G163" s="56">
        <v>29053.58</v>
      </c>
      <c r="H163" s="56">
        <v>29243.439999999999</v>
      </c>
      <c r="I163" s="56">
        <v>29180.67</v>
      </c>
      <c r="J163" s="56">
        <v>29012.06</v>
      </c>
      <c r="K163" s="56">
        <v>29052.880000000001</v>
      </c>
      <c r="L163" s="56">
        <v>29230.94</v>
      </c>
      <c r="M163" s="69">
        <f>IF((L164=""),"",MAX(D165:L165))</f>
        <v>1955.3199999999997</v>
      </c>
      <c r="N163" s="69">
        <f>IF(L164="","",MIN(D165:L165))</f>
        <v>1753.739999999998</v>
      </c>
      <c r="O163" s="69">
        <f>IF((L165=""),"",AVERAGE(D165:L165))</f>
        <v>1837.9455555555553</v>
      </c>
      <c r="P163" s="69">
        <v>1600</v>
      </c>
      <c r="Q163" s="69">
        <v>2000</v>
      </c>
      <c r="R163" s="69">
        <f>IF((L164=""),"",((M163-N163)/(M163+N163))*100)</f>
        <v>5.4348001919624345</v>
      </c>
      <c r="S163" s="69">
        <v>20</v>
      </c>
      <c r="T163" s="130" t="str">
        <f>IF(L164="","",IF(R164&lt;20,(IF(O163&gt;1730,IF(O163&lt;1970,"Pass","Fail"),"Fail"))))</f>
        <v>Pass</v>
      </c>
      <c r="U163" s="69">
        <v>1400</v>
      </c>
      <c r="V163" s="138"/>
      <c r="W163" s="56">
        <v>1730</v>
      </c>
      <c r="X163" s="56">
        <v>1970</v>
      </c>
      <c r="Y163" s="56">
        <v>6.2</v>
      </c>
    </row>
    <row r="164" spans="1:25" x14ac:dyDescent="0.3">
      <c r="A164" s="147"/>
      <c r="B164" s="76"/>
      <c r="C164" s="71" t="s">
        <v>89</v>
      </c>
      <c r="D164" s="56">
        <v>27427.24</v>
      </c>
      <c r="E164" s="56">
        <v>27275.61</v>
      </c>
      <c r="F164" s="56">
        <v>27279.97</v>
      </c>
      <c r="G164" s="56">
        <v>27168.41</v>
      </c>
      <c r="H164" s="56">
        <v>27288.12</v>
      </c>
      <c r="I164" s="56">
        <v>27327.759999999998</v>
      </c>
      <c r="J164" s="56">
        <v>27221.200000000001</v>
      </c>
      <c r="K164" s="56">
        <v>27194.87</v>
      </c>
      <c r="L164" s="56">
        <v>27428.16</v>
      </c>
      <c r="M164" s="77"/>
      <c r="N164" s="77"/>
      <c r="O164" s="77"/>
      <c r="P164" s="77"/>
      <c r="Q164" s="77"/>
      <c r="R164" s="77"/>
      <c r="S164" s="77"/>
      <c r="T164" s="132"/>
      <c r="U164" s="77"/>
      <c r="V164" s="139"/>
    </row>
    <row r="165" spans="1:25" ht="39.9" x14ac:dyDescent="0.3">
      <c r="A165" s="149"/>
      <c r="B165" s="134"/>
      <c r="C165" s="71" t="s">
        <v>123</v>
      </c>
      <c r="D165" s="38">
        <f t="shared" ref="D165:L165" si="51">IF(((D163="")*AND(D164="")),"",(D163-D164)*1)</f>
        <v>1804.3499999999985</v>
      </c>
      <c r="E165" s="38">
        <f t="shared" si="51"/>
        <v>1753.739999999998</v>
      </c>
      <c r="F165" s="38">
        <f t="shared" si="51"/>
        <v>1838.369999999999</v>
      </c>
      <c r="G165" s="38">
        <f t="shared" si="51"/>
        <v>1885.1700000000019</v>
      </c>
      <c r="H165" s="38">
        <f t="shared" si="51"/>
        <v>1955.3199999999997</v>
      </c>
      <c r="I165" s="38">
        <f t="shared" si="51"/>
        <v>1852.9099999999999</v>
      </c>
      <c r="J165" s="38">
        <f t="shared" si="51"/>
        <v>1790.8600000000006</v>
      </c>
      <c r="K165" s="38">
        <f t="shared" si="51"/>
        <v>1858.010000000002</v>
      </c>
      <c r="L165" s="38">
        <f t="shared" si="51"/>
        <v>1802.7799999999988</v>
      </c>
      <c r="M165" s="135"/>
      <c r="N165" s="135"/>
      <c r="O165" s="135"/>
      <c r="P165" s="135"/>
      <c r="Q165" s="135"/>
      <c r="R165" s="135"/>
      <c r="S165" s="135"/>
      <c r="T165" s="136"/>
      <c r="U165" s="135"/>
      <c r="V165" s="140"/>
    </row>
    <row r="166" spans="1:25" x14ac:dyDescent="0.3">
      <c r="A166" s="129">
        <v>42765</v>
      </c>
      <c r="B166" s="68" t="s">
        <v>124</v>
      </c>
      <c r="C166" s="71" t="s">
        <v>88</v>
      </c>
      <c r="D166" s="56">
        <v>29426.959999999999</v>
      </c>
      <c r="E166" s="56">
        <v>29243.77</v>
      </c>
      <c r="F166" s="56">
        <v>29209.09</v>
      </c>
      <c r="G166" s="56">
        <v>29201.31</v>
      </c>
      <c r="H166" s="56">
        <v>29415.55</v>
      </c>
      <c r="I166" s="56">
        <v>29374.21</v>
      </c>
      <c r="J166" s="56">
        <v>29197.4</v>
      </c>
      <c r="K166" s="56">
        <v>29217.21</v>
      </c>
      <c r="L166" s="56">
        <v>29450.17</v>
      </c>
      <c r="M166" s="69">
        <f>IF((L167=""),"",MAX(D168:L168))</f>
        <v>1974.7799999999988</v>
      </c>
      <c r="N166" s="69">
        <f>IF(L167="","",MIN(D168:L168))</f>
        <v>1824.4599999999991</v>
      </c>
      <c r="O166" s="69">
        <f>IF((L168=""),"",AVERAGE(D168:L168))</f>
        <v>1875.4266666666663</v>
      </c>
      <c r="P166" s="69">
        <v>1600</v>
      </c>
      <c r="Q166" s="69">
        <v>2000</v>
      </c>
      <c r="R166" s="69">
        <f>IF((L167=""),"",((M166-N166)/(M166+N166))*100)</f>
        <v>3.9565807898421737</v>
      </c>
      <c r="S166" s="69">
        <v>20</v>
      </c>
      <c r="T166" s="130" t="str">
        <f>IF(L167="","",IF(R167&lt;20,(IF(O166&gt;1730,IF(O166&lt;1970,"Pass","Fail"),"Fail"))))</f>
        <v>Pass</v>
      </c>
      <c r="U166" s="69">
        <v>1400</v>
      </c>
      <c r="V166" s="138"/>
      <c r="W166" s="56">
        <v>1730</v>
      </c>
      <c r="X166" s="56">
        <v>1970</v>
      </c>
      <c r="Y166" s="56">
        <v>6.2</v>
      </c>
    </row>
    <row r="167" spans="1:25" x14ac:dyDescent="0.3">
      <c r="A167" s="147"/>
      <c r="B167" s="76"/>
      <c r="C167" s="71" t="s">
        <v>89</v>
      </c>
      <c r="D167" s="56">
        <v>27593.13</v>
      </c>
      <c r="E167" s="56">
        <v>27412.19</v>
      </c>
      <c r="F167" s="56">
        <v>27384.63</v>
      </c>
      <c r="G167" s="56">
        <v>27289.59</v>
      </c>
      <c r="H167" s="56">
        <v>27440.77</v>
      </c>
      <c r="I167" s="56">
        <v>27471</v>
      </c>
      <c r="J167" s="56">
        <v>27336.82</v>
      </c>
      <c r="K167" s="56">
        <v>27343.09</v>
      </c>
      <c r="L167" s="56">
        <v>27585.61</v>
      </c>
      <c r="M167" s="77"/>
      <c r="N167" s="77"/>
      <c r="O167" s="77"/>
      <c r="P167" s="77"/>
      <c r="Q167" s="77"/>
      <c r="R167" s="77"/>
      <c r="S167" s="77"/>
      <c r="T167" s="132"/>
      <c r="U167" s="77"/>
      <c r="V167" s="139"/>
    </row>
    <row r="168" spans="1:25" ht="39.9" x14ac:dyDescent="0.3">
      <c r="A168" s="149"/>
      <c r="B168" s="134"/>
      <c r="C168" s="71" t="s">
        <v>123</v>
      </c>
      <c r="D168" s="38">
        <f t="shared" ref="D168:L168" si="52">IF(((D166="")*AND(D167="")),"",(D166-D167)*1)</f>
        <v>1833.8299999999981</v>
      </c>
      <c r="E168" s="38">
        <f t="shared" si="52"/>
        <v>1831.5800000000017</v>
      </c>
      <c r="F168" s="38">
        <f t="shared" si="52"/>
        <v>1824.4599999999991</v>
      </c>
      <c r="G168" s="38">
        <f t="shared" si="52"/>
        <v>1911.7200000000012</v>
      </c>
      <c r="H168" s="38">
        <f t="shared" si="52"/>
        <v>1974.7799999999988</v>
      </c>
      <c r="I168" s="38">
        <f t="shared" si="52"/>
        <v>1903.2099999999991</v>
      </c>
      <c r="J168" s="38">
        <f t="shared" si="52"/>
        <v>1860.5800000000017</v>
      </c>
      <c r="K168" s="38">
        <f t="shared" si="52"/>
        <v>1874.119999999999</v>
      </c>
      <c r="L168" s="38">
        <f t="shared" si="52"/>
        <v>1864.5599999999977</v>
      </c>
      <c r="M168" s="135"/>
      <c r="N168" s="135"/>
      <c r="O168" s="135"/>
      <c r="P168" s="135"/>
      <c r="Q168" s="135"/>
      <c r="R168" s="135"/>
      <c r="S168" s="135"/>
      <c r="T168" s="136"/>
      <c r="U168" s="135"/>
      <c r="V168" s="140"/>
    </row>
    <row r="169" spans="1:25" x14ac:dyDescent="0.3">
      <c r="A169" s="129">
        <v>42769</v>
      </c>
      <c r="B169" s="68" t="s">
        <v>124</v>
      </c>
      <c r="C169" s="71" t="s">
        <v>88</v>
      </c>
      <c r="D169" s="56">
        <v>29417.03</v>
      </c>
      <c r="E169" s="56">
        <v>29224.49</v>
      </c>
      <c r="F169" s="56">
        <v>29229.91</v>
      </c>
      <c r="G169" s="56">
        <v>29208.42</v>
      </c>
      <c r="H169" s="56">
        <v>29454.15</v>
      </c>
      <c r="I169" s="56">
        <v>29386.35</v>
      </c>
      <c r="J169" s="56">
        <v>29212.57</v>
      </c>
      <c r="K169" s="56">
        <v>29193.759999999998</v>
      </c>
      <c r="L169" s="56">
        <v>29425.56</v>
      </c>
      <c r="M169" s="69">
        <f>IF((L170=""),"",MAX(D171:L171))</f>
        <v>1990.260000000002</v>
      </c>
      <c r="N169" s="69">
        <f>IF(L170="","",MIN(D171:L171))</f>
        <v>1841.8400000000001</v>
      </c>
      <c r="O169" s="69">
        <f>IF((L171=""),"",AVERAGE(D171:L171))</f>
        <v>1888.8288888888887</v>
      </c>
      <c r="P169" s="69">
        <v>1600</v>
      </c>
      <c r="Q169" s="69">
        <v>2000</v>
      </c>
      <c r="R169" s="69">
        <f>IF((L170=""),"",((M169-N169)/(M169+N169))*100)</f>
        <v>3.8730722058401867</v>
      </c>
      <c r="S169" s="69">
        <v>20</v>
      </c>
      <c r="T169" s="130" t="str">
        <f>IF(L170="","",IF(R170&lt;20,(IF(O169&gt;1730,IF(O169&lt;1970,"Pass","Fail"),"Fail"))))</f>
        <v>Pass</v>
      </c>
      <c r="U169" s="69">
        <v>1159</v>
      </c>
      <c r="V169" s="138"/>
      <c r="W169" s="56">
        <v>1730</v>
      </c>
      <c r="X169" s="56">
        <v>1970</v>
      </c>
      <c r="Y169" s="56">
        <v>6.2</v>
      </c>
    </row>
    <row r="170" spans="1:25" x14ac:dyDescent="0.3">
      <c r="A170" s="147"/>
      <c r="B170" s="76"/>
      <c r="C170" s="71" t="s">
        <v>89</v>
      </c>
      <c r="D170" s="56">
        <v>27561.41</v>
      </c>
      <c r="E170" s="56">
        <v>27379.119999999999</v>
      </c>
      <c r="F170" s="56">
        <v>27388.07</v>
      </c>
      <c r="G170" s="56">
        <v>27288.13</v>
      </c>
      <c r="H170" s="56">
        <v>27463.89</v>
      </c>
      <c r="I170" s="56">
        <v>27469.11</v>
      </c>
      <c r="J170" s="56">
        <v>27346.69</v>
      </c>
      <c r="K170" s="56">
        <v>27312.48</v>
      </c>
      <c r="L170" s="56">
        <v>27543.88</v>
      </c>
      <c r="M170" s="77"/>
      <c r="N170" s="77"/>
      <c r="O170" s="77"/>
      <c r="P170" s="77"/>
      <c r="Q170" s="77"/>
      <c r="R170" s="77"/>
      <c r="S170" s="77"/>
      <c r="T170" s="132"/>
      <c r="U170" s="77"/>
      <c r="V170" s="139"/>
    </row>
    <row r="171" spans="1:25" ht="39.9" x14ac:dyDescent="0.3">
      <c r="A171" s="149"/>
      <c r="B171" s="134"/>
      <c r="C171" s="71" t="s">
        <v>123</v>
      </c>
      <c r="D171" s="38">
        <f t="shared" ref="D171:L171" si="53">IF(((D169="")*AND(D170="")),"",(D169-D170)*1)</f>
        <v>1855.619999999999</v>
      </c>
      <c r="E171" s="38">
        <f t="shared" si="53"/>
        <v>1845.3700000000026</v>
      </c>
      <c r="F171" s="38">
        <f t="shared" si="53"/>
        <v>1841.8400000000001</v>
      </c>
      <c r="G171" s="38">
        <f t="shared" si="53"/>
        <v>1920.2899999999972</v>
      </c>
      <c r="H171" s="38">
        <f t="shared" si="53"/>
        <v>1990.260000000002</v>
      </c>
      <c r="I171" s="38">
        <f t="shared" si="53"/>
        <v>1917.239999999998</v>
      </c>
      <c r="J171" s="38">
        <f t="shared" si="53"/>
        <v>1865.880000000001</v>
      </c>
      <c r="K171" s="38">
        <f t="shared" si="53"/>
        <v>1881.2799999999988</v>
      </c>
      <c r="L171" s="38">
        <f t="shared" si="53"/>
        <v>1881.6800000000003</v>
      </c>
      <c r="M171" s="135"/>
      <c r="N171" s="135"/>
      <c r="O171" s="135"/>
      <c r="P171" s="135"/>
      <c r="Q171" s="135"/>
      <c r="R171" s="135"/>
      <c r="S171" s="135"/>
      <c r="T171" s="136"/>
      <c r="U171" s="135"/>
      <c r="V171" s="140"/>
    </row>
    <row r="172" spans="1:25" x14ac:dyDescent="0.3">
      <c r="A172" s="129">
        <v>42772</v>
      </c>
      <c r="B172" s="68" t="s">
        <v>124</v>
      </c>
      <c r="C172" s="71" t="s">
        <v>88</v>
      </c>
      <c r="D172" s="56">
        <v>29275.46</v>
      </c>
      <c r="E172" s="56">
        <v>29103.71</v>
      </c>
      <c r="F172" s="56">
        <v>29090.37</v>
      </c>
      <c r="G172" s="56">
        <v>29117.97</v>
      </c>
      <c r="H172" s="56">
        <v>29344.84</v>
      </c>
      <c r="I172" s="56">
        <v>29276.86</v>
      </c>
      <c r="J172" s="56">
        <v>29095.65</v>
      </c>
      <c r="K172" s="56">
        <v>29096.36</v>
      </c>
      <c r="L172" s="56">
        <v>29316.03</v>
      </c>
      <c r="M172" s="69">
        <f>IF((L173=""),"",MAX(D174:L174))</f>
        <v>1957.9099999999999</v>
      </c>
      <c r="N172" s="69">
        <f>IF(L173="","",MIN(D174:L174))</f>
        <v>1792.7700000000004</v>
      </c>
      <c r="O172" s="69">
        <f>IF((L174=""),"",AVERAGE(D174:L174))</f>
        <v>1847.2922222222214</v>
      </c>
      <c r="P172" s="69">
        <v>1600</v>
      </c>
      <c r="Q172" s="69">
        <v>2000</v>
      </c>
      <c r="R172" s="69">
        <f>IF((L173=""),"",((M172-N172)/(M172+N172))*100)</f>
        <v>4.4029349344652013</v>
      </c>
      <c r="S172" s="69">
        <v>20</v>
      </c>
      <c r="T172" s="130" t="str">
        <f>IF(L173="","",IF(R173&lt;20,(IF(O172&gt;1730,IF(O172&lt;1970,"Pass","Fail"),"Fail"))))</f>
        <v>Pass</v>
      </c>
      <c r="U172" s="69">
        <v>1400</v>
      </c>
      <c r="V172" s="138"/>
      <c r="W172" s="56">
        <v>1730</v>
      </c>
      <c r="X172" s="56">
        <v>1970</v>
      </c>
      <c r="Y172" s="56">
        <v>6.2</v>
      </c>
    </row>
    <row r="173" spans="1:25" x14ac:dyDescent="0.3">
      <c r="A173" s="147"/>
      <c r="B173" s="76"/>
      <c r="C173" s="71" t="s">
        <v>89</v>
      </c>
      <c r="D173" s="56">
        <v>27466.13</v>
      </c>
      <c r="E173" s="56">
        <v>27307.71</v>
      </c>
      <c r="F173" s="56">
        <v>27297.599999999999</v>
      </c>
      <c r="G173" s="56">
        <v>27232.49</v>
      </c>
      <c r="H173" s="56">
        <v>27386.93</v>
      </c>
      <c r="I173" s="56">
        <v>27386.33</v>
      </c>
      <c r="J173" s="56">
        <v>27272.99</v>
      </c>
      <c r="K173" s="56">
        <v>27252.49</v>
      </c>
      <c r="L173" s="56">
        <v>27488.95</v>
      </c>
      <c r="M173" s="77"/>
      <c r="N173" s="77"/>
      <c r="O173" s="77"/>
      <c r="P173" s="77"/>
      <c r="Q173" s="77"/>
      <c r="R173" s="77"/>
      <c r="S173" s="77"/>
      <c r="T173" s="132"/>
      <c r="U173" s="77"/>
      <c r="V173" s="139"/>
    </row>
    <row r="174" spans="1:25" ht="39.9" x14ac:dyDescent="0.3">
      <c r="A174" s="149"/>
      <c r="B174" s="134"/>
      <c r="C174" s="71" t="s">
        <v>123</v>
      </c>
      <c r="D174" s="38">
        <f t="shared" ref="D174:L174" si="54">IF(((D172="")*AND(D173="")),"",(D172-D173)*1)</f>
        <v>1809.3299999999981</v>
      </c>
      <c r="E174" s="38">
        <f t="shared" si="54"/>
        <v>1796</v>
      </c>
      <c r="F174" s="38">
        <f t="shared" si="54"/>
        <v>1792.7700000000004</v>
      </c>
      <c r="G174" s="38">
        <f t="shared" si="54"/>
        <v>1885.4799999999996</v>
      </c>
      <c r="H174" s="38">
        <f t="shared" si="54"/>
        <v>1957.9099999999999</v>
      </c>
      <c r="I174" s="38">
        <f t="shared" si="54"/>
        <v>1890.5299999999988</v>
      </c>
      <c r="J174" s="38">
        <f t="shared" si="54"/>
        <v>1822.6599999999999</v>
      </c>
      <c r="K174" s="38">
        <f t="shared" si="54"/>
        <v>1843.869999999999</v>
      </c>
      <c r="L174" s="38">
        <f t="shared" si="54"/>
        <v>1827.0799999999981</v>
      </c>
      <c r="M174" s="135"/>
      <c r="N174" s="135"/>
      <c r="O174" s="135"/>
      <c r="P174" s="135"/>
      <c r="Q174" s="135"/>
      <c r="R174" s="135"/>
      <c r="S174" s="135"/>
      <c r="T174" s="136"/>
      <c r="U174" s="135"/>
      <c r="V174" s="140"/>
    </row>
    <row r="175" spans="1:25" x14ac:dyDescent="0.3">
      <c r="A175" s="129">
        <v>42775</v>
      </c>
      <c r="B175" s="68"/>
      <c r="C175" s="71" t="s">
        <v>88</v>
      </c>
      <c r="D175" s="56">
        <v>29233.79</v>
      </c>
      <c r="E175" s="56">
        <v>29070.54</v>
      </c>
      <c r="F175" s="56">
        <v>29073.01</v>
      </c>
      <c r="G175" s="56">
        <v>29081.57</v>
      </c>
      <c r="H175" s="56">
        <v>29327.8</v>
      </c>
      <c r="I175" s="56">
        <v>29262.76</v>
      </c>
      <c r="J175" s="56">
        <v>29078.82</v>
      </c>
      <c r="K175" s="56">
        <v>29052.27</v>
      </c>
      <c r="L175" s="56">
        <v>29320.67</v>
      </c>
      <c r="M175" s="69">
        <f>IF((L176=""),"",MAX(D177:L177))</f>
        <v>1943.75</v>
      </c>
      <c r="N175" s="69">
        <f>IF(L176="","",MIN(D177:L177))</f>
        <v>1786.1599999999999</v>
      </c>
      <c r="O175" s="69">
        <f>IF((L177=""),"",AVERAGE(D177:L177))</f>
        <v>1845.8033333333328</v>
      </c>
      <c r="P175" s="69">
        <v>1600</v>
      </c>
      <c r="Q175" s="69">
        <v>2000</v>
      </c>
      <c r="R175" s="69">
        <f>IF((L176=""),"",((M175-N175)/(M175+N175))*100)</f>
        <v>4.2250349204136333</v>
      </c>
      <c r="S175" s="69">
        <v>20</v>
      </c>
      <c r="T175" s="130" t="str">
        <f>IF(L176="","",IF(R176&lt;20,(IF(O175&gt;1600,IF(O175&lt;2000,"Pass","Fail"),"Fail"))))</f>
        <v>Pass</v>
      </c>
      <c r="U175" s="69">
        <v>1428</v>
      </c>
      <c r="V175" s="138"/>
      <c r="W175" s="56">
        <v>1730</v>
      </c>
      <c r="X175" s="56">
        <v>1970</v>
      </c>
      <c r="Y175" s="56">
        <v>6.2</v>
      </c>
    </row>
    <row r="176" spans="1:25" x14ac:dyDescent="0.3">
      <c r="A176" s="147"/>
      <c r="B176" s="76"/>
      <c r="C176" s="71" t="s">
        <v>89</v>
      </c>
      <c r="D176" s="56">
        <v>27447.63</v>
      </c>
      <c r="E176" s="56">
        <v>27274.54</v>
      </c>
      <c r="F176" s="56">
        <v>27273.45</v>
      </c>
      <c r="G176" s="56">
        <v>27187.63</v>
      </c>
      <c r="H176" s="56">
        <v>27384.05</v>
      </c>
      <c r="I176" s="56">
        <v>27394.400000000001</v>
      </c>
      <c r="J176" s="56">
        <v>27246.6</v>
      </c>
      <c r="K176" s="56">
        <v>27192.03</v>
      </c>
      <c r="L176" s="56">
        <v>27488.67</v>
      </c>
      <c r="M176" s="77"/>
      <c r="N176" s="77"/>
      <c r="O176" s="77"/>
      <c r="P176" s="77"/>
      <c r="Q176" s="77"/>
      <c r="R176" s="77"/>
      <c r="S176" s="77"/>
      <c r="T176" s="132"/>
      <c r="U176" s="77"/>
      <c r="V176" s="139"/>
    </row>
    <row r="177" spans="1:25" ht="39.9" x14ac:dyDescent="0.3">
      <c r="A177" s="149"/>
      <c r="B177" s="134"/>
      <c r="C177" s="71" t="s">
        <v>123</v>
      </c>
      <c r="D177" s="38">
        <f t="shared" ref="D177:L177" si="55">IF(((D175="")*AND(D176="")),"",(D175-D176)*1)</f>
        <v>1786.1599999999999</v>
      </c>
      <c r="E177" s="38">
        <f t="shared" si="55"/>
        <v>1796</v>
      </c>
      <c r="F177" s="38">
        <f t="shared" si="55"/>
        <v>1799.5599999999977</v>
      </c>
      <c r="G177" s="38">
        <f t="shared" si="55"/>
        <v>1893.9399999999987</v>
      </c>
      <c r="H177" s="38">
        <f t="shared" si="55"/>
        <v>1943.75</v>
      </c>
      <c r="I177" s="38">
        <f t="shared" si="55"/>
        <v>1868.3599999999969</v>
      </c>
      <c r="J177" s="38">
        <f t="shared" si="55"/>
        <v>1832.2200000000012</v>
      </c>
      <c r="K177" s="38">
        <f t="shared" si="55"/>
        <v>1860.2400000000016</v>
      </c>
      <c r="L177" s="38">
        <f t="shared" si="55"/>
        <v>1832</v>
      </c>
      <c r="M177" s="135"/>
      <c r="N177" s="135"/>
      <c r="O177" s="135"/>
      <c r="P177" s="135"/>
      <c r="Q177" s="135"/>
      <c r="R177" s="135"/>
      <c r="S177" s="135"/>
      <c r="T177" s="136"/>
      <c r="U177" s="135"/>
      <c r="V177" s="140"/>
    </row>
    <row r="178" spans="1:25" x14ac:dyDescent="0.3">
      <c r="A178" s="129">
        <v>42779</v>
      </c>
      <c r="B178" s="68" t="s">
        <v>124</v>
      </c>
      <c r="C178" s="71" t="s">
        <v>88</v>
      </c>
      <c r="D178" s="56">
        <v>29275.48</v>
      </c>
      <c r="E178" s="56">
        <v>29124.95</v>
      </c>
      <c r="F178" s="56">
        <v>29164.32</v>
      </c>
      <c r="G178" s="56">
        <v>29110.28</v>
      </c>
      <c r="H178" s="56">
        <v>29355.15</v>
      </c>
      <c r="I178" s="56">
        <v>29253.38</v>
      </c>
      <c r="J178" s="56">
        <v>29108.1</v>
      </c>
      <c r="K178" s="56">
        <v>29117.03</v>
      </c>
      <c r="L178" s="56">
        <v>29323.27</v>
      </c>
      <c r="M178" s="69">
        <f>IF((L179=""),"",MAX(D180:L180))</f>
        <v>1981.7800000000025</v>
      </c>
      <c r="N178" s="69">
        <f>IF(L179="","",MIN(D180:L180))</f>
        <v>1826.9199999999983</v>
      </c>
      <c r="O178" s="69">
        <f>IF((L180=""),"",AVERAGE(D180:L180))</f>
        <v>1878.0233333333333</v>
      </c>
      <c r="P178" s="69">
        <v>1600</v>
      </c>
      <c r="Q178" s="69">
        <v>2000</v>
      </c>
      <c r="R178" s="69">
        <f>IF((L179=""),"",((M178-N178)/(M178+N178))*100)</f>
        <v>4.0659542626093996</v>
      </c>
      <c r="S178" s="69">
        <v>20</v>
      </c>
      <c r="T178" s="130" t="str">
        <f>IF(L179="","",IF(R179&lt;20,(IF(O178&gt;1730,IF(O178&lt;1970,"Pass","Fail"),"Fail"))))</f>
        <v>Pass</v>
      </c>
      <c r="U178" s="69">
        <v>1335</v>
      </c>
      <c r="V178" s="138"/>
      <c r="W178" s="56">
        <v>1730</v>
      </c>
      <c r="X178" s="56">
        <v>1970</v>
      </c>
      <c r="Y178" s="56">
        <v>6.2</v>
      </c>
    </row>
    <row r="179" spans="1:25" x14ac:dyDescent="0.3">
      <c r="A179" s="147"/>
      <c r="B179" s="76"/>
      <c r="C179" s="71" t="s">
        <v>89</v>
      </c>
      <c r="D179" s="56">
        <v>27448.560000000001</v>
      </c>
      <c r="E179" s="56">
        <v>27293.54</v>
      </c>
      <c r="F179" s="56">
        <v>27335.67</v>
      </c>
      <c r="G179" s="56">
        <v>27196.52</v>
      </c>
      <c r="H179" s="56">
        <v>27373.37</v>
      </c>
      <c r="I179" s="56">
        <v>27356.18</v>
      </c>
      <c r="J179" s="56">
        <v>27248.58</v>
      </c>
      <c r="K179" s="56">
        <v>27232.16</v>
      </c>
      <c r="L179" s="56">
        <v>27445.17</v>
      </c>
      <c r="M179" s="77"/>
      <c r="N179" s="77"/>
      <c r="O179" s="77"/>
      <c r="P179" s="77"/>
      <c r="Q179" s="77"/>
      <c r="R179" s="77"/>
      <c r="S179" s="77"/>
      <c r="T179" s="132"/>
      <c r="U179" s="77"/>
      <c r="V179" s="139"/>
    </row>
    <row r="180" spans="1:25" ht="39.9" x14ac:dyDescent="0.3">
      <c r="A180" s="149"/>
      <c r="B180" s="134"/>
      <c r="C180" s="71" t="s">
        <v>123</v>
      </c>
      <c r="D180" s="38">
        <f t="shared" ref="D180:L180" si="56">IF(((D178="")*AND(D179="")),"",(D178-D179)*1)</f>
        <v>1826.9199999999983</v>
      </c>
      <c r="E180" s="38">
        <f t="shared" si="56"/>
        <v>1831.4099999999999</v>
      </c>
      <c r="F180" s="38">
        <f t="shared" si="56"/>
        <v>1828.6500000000015</v>
      </c>
      <c r="G180" s="38">
        <f t="shared" si="56"/>
        <v>1913.7599999999984</v>
      </c>
      <c r="H180" s="38">
        <f t="shared" si="56"/>
        <v>1981.7800000000025</v>
      </c>
      <c r="I180" s="38">
        <f t="shared" si="56"/>
        <v>1897.2000000000007</v>
      </c>
      <c r="J180" s="38">
        <f t="shared" si="56"/>
        <v>1859.5199999999968</v>
      </c>
      <c r="K180" s="38">
        <f t="shared" si="56"/>
        <v>1884.869999999999</v>
      </c>
      <c r="L180" s="38">
        <f t="shared" si="56"/>
        <v>1878.1000000000022</v>
      </c>
      <c r="M180" s="135"/>
      <c r="N180" s="135"/>
      <c r="O180" s="135"/>
      <c r="P180" s="135"/>
      <c r="Q180" s="135"/>
      <c r="R180" s="135"/>
      <c r="S180" s="135"/>
      <c r="T180" s="136"/>
      <c r="U180" s="135"/>
      <c r="V180" s="140"/>
    </row>
    <row r="181" spans="1:25" x14ac:dyDescent="0.3">
      <c r="A181" s="129">
        <v>42782</v>
      </c>
      <c r="B181" s="68" t="s">
        <v>124</v>
      </c>
      <c r="C181" s="71" t="s">
        <v>88</v>
      </c>
      <c r="D181" s="56">
        <v>29326.7</v>
      </c>
      <c r="E181" s="56">
        <v>29106.28</v>
      </c>
      <c r="F181" s="56">
        <v>29111.37</v>
      </c>
      <c r="G181" s="56">
        <v>29102.93</v>
      </c>
      <c r="H181" s="56">
        <v>29288.29</v>
      </c>
      <c r="I181" s="56">
        <v>29295.35</v>
      </c>
      <c r="J181" s="56">
        <v>29091.77</v>
      </c>
      <c r="K181" s="56">
        <v>29122.69</v>
      </c>
      <c r="L181" s="56">
        <v>29347.86</v>
      </c>
      <c r="M181" s="69">
        <f>IF((L182=""),"",MAX(D183:L183))</f>
        <v>2024.1100000000006</v>
      </c>
      <c r="N181" s="69">
        <f>IF(L182="","",MIN(D183:L183))</f>
        <v>1819.9700000000012</v>
      </c>
      <c r="O181" s="69">
        <f>IF((L183=""),"",AVERAGE(D183:L183))</f>
        <v>1901.1344444444444</v>
      </c>
      <c r="P181" s="69">
        <v>1600</v>
      </c>
      <c r="Q181" s="69">
        <v>2000</v>
      </c>
      <c r="R181" s="69">
        <f>IF((L182=""),"",((M181-N181)/(M181+N181))*100)</f>
        <v>5.3105034234459048</v>
      </c>
      <c r="S181" s="69">
        <v>20</v>
      </c>
      <c r="T181" s="130" t="str">
        <f>IF(L182="","",IF(R182&lt;20,(IF(O181&gt;1730,IF(O181&lt;1970,"Pass","Fail"),"Fail"))))</f>
        <v>Pass</v>
      </c>
      <c r="U181" s="69">
        <v>1335</v>
      </c>
      <c r="V181" s="138"/>
      <c r="W181" s="56">
        <v>1730</v>
      </c>
      <c r="X181" s="56">
        <v>1970</v>
      </c>
      <c r="Y181" s="56">
        <v>6.2</v>
      </c>
    </row>
    <row r="182" spans="1:25" x14ac:dyDescent="0.3">
      <c r="A182" s="147"/>
      <c r="B182" s="76"/>
      <c r="C182" s="71" t="s">
        <v>89</v>
      </c>
      <c r="D182" s="56">
        <v>27506.73</v>
      </c>
      <c r="E182" s="56">
        <v>27262.99</v>
      </c>
      <c r="F182" s="56">
        <v>27253.54</v>
      </c>
      <c r="G182" s="56">
        <v>27162.26</v>
      </c>
      <c r="H182" s="56">
        <v>27264.18</v>
      </c>
      <c r="I182" s="56">
        <v>27363.55</v>
      </c>
      <c r="J182" s="56">
        <v>27201.919999999998</v>
      </c>
      <c r="K182" s="56">
        <v>27225.86</v>
      </c>
      <c r="L182" s="56">
        <v>27442</v>
      </c>
      <c r="M182" s="77"/>
      <c r="N182" s="77"/>
      <c r="O182" s="77"/>
      <c r="P182" s="77"/>
      <c r="Q182" s="77"/>
      <c r="R182" s="77"/>
      <c r="S182" s="77"/>
      <c r="T182" s="132"/>
      <c r="U182" s="77"/>
      <c r="V182" s="139"/>
    </row>
    <row r="183" spans="1:25" ht="39.9" x14ac:dyDescent="0.3">
      <c r="A183" s="149"/>
      <c r="B183" s="134"/>
      <c r="C183" s="71" t="s">
        <v>123</v>
      </c>
      <c r="D183" s="38">
        <f t="shared" ref="D183:L183" si="57">IF(((D181="")*AND(D182="")),"",(D181-D182)*1)</f>
        <v>1819.9700000000012</v>
      </c>
      <c r="E183" s="38">
        <f t="shared" si="57"/>
        <v>1843.2899999999972</v>
      </c>
      <c r="F183" s="38">
        <f t="shared" si="57"/>
        <v>1857.8299999999981</v>
      </c>
      <c r="G183" s="38">
        <f t="shared" si="57"/>
        <v>1940.6700000000019</v>
      </c>
      <c r="H183" s="38">
        <f t="shared" si="57"/>
        <v>2024.1100000000006</v>
      </c>
      <c r="I183" s="38">
        <f t="shared" si="57"/>
        <v>1931.7999999999993</v>
      </c>
      <c r="J183" s="38">
        <f t="shared" si="57"/>
        <v>1889.8500000000022</v>
      </c>
      <c r="K183" s="38">
        <f t="shared" si="57"/>
        <v>1896.8299999999981</v>
      </c>
      <c r="L183" s="38">
        <f t="shared" si="57"/>
        <v>1905.8600000000006</v>
      </c>
      <c r="M183" s="135"/>
      <c r="N183" s="135"/>
      <c r="O183" s="135"/>
      <c r="P183" s="135"/>
      <c r="Q183" s="135"/>
      <c r="R183" s="135"/>
      <c r="S183" s="135"/>
      <c r="T183" s="136"/>
      <c r="U183" s="135"/>
      <c r="V183" s="140"/>
    </row>
    <row r="184" spans="1:25" x14ac:dyDescent="0.3">
      <c r="A184" s="129">
        <v>42786</v>
      </c>
      <c r="B184" s="68" t="s">
        <v>124</v>
      </c>
      <c r="C184" s="71" t="s">
        <v>88</v>
      </c>
      <c r="D184" s="56">
        <v>29295.57</v>
      </c>
      <c r="E184" s="56">
        <v>29197.23</v>
      </c>
      <c r="F184" s="56">
        <v>29173.63</v>
      </c>
      <c r="G184" s="56">
        <v>29075.89</v>
      </c>
      <c r="H184" s="56">
        <v>29303.45</v>
      </c>
      <c r="I184" s="56">
        <v>29295.67</v>
      </c>
      <c r="J184" s="56">
        <v>29127.85</v>
      </c>
      <c r="K184" s="56">
        <v>29112.74</v>
      </c>
      <c r="L184" s="56">
        <v>29256.29</v>
      </c>
      <c r="M184" s="69">
        <f>IF((L185=""),"",MAX(D186:L186))</f>
        <v>2025.4700000000012</v>
      </c>
      <c r="N184" s="69">
        <f>IF(L185="","",MIN(D186:L186))</f>
        <v>1828.239999999998</v>
      </c>
      <c r="O184" s="69">
        <f>IF((L186=""),"",AVERAGE(D186:L186))</f>
        <v>1901.47</v>
      </c>
      <c r="P184" s="69">
        <v>1600</v>
      </c>
      <c r="Q184" s="69">
        <v>2000</v>
      </c>
      <c r="R184" s="69">
        <f>IF((L185=""),"",((M184-N184)/(M184+N184))*100)</f>
        <v>5.1179253239087332</v>
      </c>
      <c r="S184" s="69">
        <v>20</v>
      </c>
      <c r="T184" s="130" t="str">
        <f>IF(L185="","",IF(R185&lt;20,(IF(O184&gt;1730,IF(O184&lt;1970,"Pass","Fail"),"Fail"))))</f>
        <v>Pass</v>
      </c>
      <c r="U184" s="69">
        <v>1335</v>
      </c>
      <c r="V184" s="138"/>
      <c r="W184" s="56">
        <v>1730</v>
      </c>
      <c r="X184" s="56">
        <v>1970</v>
      </c>
      <c r="Y184" s="56">
        <v>6.2</v>
      </c>
    </row>
    <row r="185" spans="1:25" x14ac:dyDescent="0.3">
      <c r="A185" s="147"/>
      <c r="B185" s="76"/>
      <c r="C185" s="71" t="s">
        <v>89</v>
      </c>
      <c r="D185" s="56">
        <v>27467.33</v>
      </c>
      <c r="E185" s="56">
        <v>27277.65</v>
      </c>
      <c r="F185" s="56">
        <v>27345.32</v>
      </c>
      <c r="G185" s="56">
        <v>27179.48</v>
      </c>
      <c r="H185" s="56">
        <v>27277.98</v>
      </c>
      <c r="I185" s="56">
        <v>27387.1</v>
      </c>
      <c r="J185" s="56">
        <v>27196.17</v>
      </c>
      <c r="K185" s="56">
        <v>27225.09</v>
      </c>
      <c r="L185" s="56">
        <v>27368.97</v>
      </c>
      <c r="M185" s="77"/>
      <c r="N185" s="77"/>
      <c r="O185" s="77"/>
      <c r="P185" s="77"/>
      <c r="Q185" s="77"/>
      <c r="R185" s="77"/>
      <c r="S185" s="77"/>
      <c r="T185" s="132"/>
      <c r="U185" s="77"/>
      <c r="V185" s="139"/>
    </row>
    <row r="186" spans="1:25" ht="39.9" x14ac:dyDescent="0.3">
      <c r="A186" s="149"/>
      <c r="B186" s="134"/>
      <c r="C186" s="71" t="s">
        <v>123</v>
      </c>
      <c r="D186" s="38">
        <f t="shared" ref="D186:L186" si="58">IF(((D184="")*AND(D185="")),"",(D184-D185)*1)</f>
        <v>1828.239999999998</v>
      </c>
      <c r="E186" s="38">
        <f t="shared" si="58"/>
        <v>1919.5799999999981</v>
      </c>
      <c r="F186" s="38">
        <f t="shared" si="58"/>
        <v>1828.3100000000013</v>
      </c>
      <c r="G186" s="38">
        <f t="shared" si="58"/>
        <v>1896.4099999999999</v>
      </c>
      <c r="H186" s="38">
        <f t="shared" si="58"/>
        <v>2025.4700000000012</v>
      </c>
      <c r="I186" s="38">
        <f t="shared" si="58"/>
        <v>1908.5699999999997</v>
      </c>
      <c r="J186" s="38">
        <f t="shared" si="58"/>
        <v>1931.6800000000003</v>
      </c>
      <c r="K186" s="38">
        <f t="shared" si="58"/>
        <v>1887.6500000000015</v>
      </c>
      <c r="L186" s="38">
        <f t="shared" si="58"/>
        <v>1887.3199999999997</v>
      </c>
      <c r="M186" s="135"/>
      <c r="N186" s="135"/>
      <c r="O186" s="135"/>
      <c r="P186" s="135"/>
      <c r="Q186" s="135"/>
      <c r="R186" s="135"/>
      <c r="S186" s="135"/>
      <c r="T186" s="136"/>
      <c r="U186" s="135"/>
      <c r="V186" s="140"/>
    </row>
    <row r="187" spans="1:25" x14ac:dyDescent="0.3">
      <c r="A187" s="129">
        <v>42789</v>
      </c>
      <c r="B187" s="68" t="s">
        <v>124</v>
      </c>
      <c r="C187" s="71" t="s">
        <v>88</v>
      </c>
      <c r="D187" s="56">
        <v>29229.65</v>
      </c>
      <c r="E187" s="56">
        <v>29050.59</v>
      </c>
      <c r="F187" s="56">
        <v>29054.97</v>
      </c>
      <c r="G187" s="56">
        <v>29061.15</v>
      </c>
      <c r="H187" s="56">
        <v>29296.85</v>
      </c>
      <c r="I187" s="56">
        <v>29213.85</v>
      </c>
      <c r="J187" s="56">
        <v>29049.35</v>
      </c>
      <c r="K187" s="56">
        <v>29047.43</v>
      </c>
      <c r="L187" s="56">
        <v>29270.49</v>
      </c>
      <c r="M187" s="69">
        <f>IF((L188=""),"",MAX(D189:L189))</f>
        <v>1939.739999999998</v>
      </c>
      <c r="N187" s="69">
        <f>IF(L188="","",MIN(D189:L189))</f>
        <v>1774.010000000002</v>
      </c>
      <c r="O187" s="69">
        <f>IF((L189=""),"",AVERAGE(D189:L189))</f>
        <v>1835.7522222222231</v>
      </c>
      <c r="P187" s="69">
        <v>1600</v>
      </c>
      <c r="Q187" s="69">
        <v>2000</v>
      </c>
      <c r="R187" s="69">
        <f>IF((L188=""),"",((M187-N187)/(M187+N187))*100)</f>
        <v>4.4626051834398091</v>
      </c>
      <c r="S187" s="69">
        <v>20</v>
      </c>
      <c r="T187" s="130" t="str">
        <f>IF(L188="","",IF(R188&lt;20,(IF(O187&gt;1730,IF(O187&lt;1970,"Pass","Fail"),"Fail"))))</f>
        <v>Pass</v>
      </c>
      <c r="U187" s="69">
        <v>1400</v>
      </c>
      <c r="V187" s="138"/>
      <c r="W187" s="56">
        <v>1730</v>
      </c>
      <c r="X187" s="56">
        <v>1970</v>
      </c>
      <c r="Y187" s="56">
        <v>6.2</v>
      </c>
    </row>
    <row r="188" spans="1:25" x14ac:dyDescent="0.3">
      <c r="A188" s="147"/>
      <c r="B188" s="76"/>
      <c r="C188" s="71" t="s">
        <v>89</v>
      </c>
      <c r="D188" s="56">
        <v>27432.67</v>
      </c>
      <c r="E188" s="56">
        <v>27270.28</v>
      </c>
      <c r="F188" s="56">
        <v>27280.959999999999</v>
      </c>
      <c r="G188" s="56">
        <v>27196.16</v>
      </c>
      <c r="H188" s="56">
        <v>27357.11</v>
      </c>
      <c r="I188" s="56">
        <v>27356.62</v>
      </c>
      <c r="J188" s="56">
        <v>27241.71</v>
      </c>
      <c r="K188" s="56">
        <v>27203.89</v>
      </c>
      <c r="L188" s="56">
        <v>27413.16</v>
      </c>
      <c r="M188" s="77"/>
      <c r="N188" s="77"/>
      <c r="O188" s="77"/>
      <c r="P188" s="77"/>
      <c r="Q188" s="77"/>
      <c r="R188" s="77"/>
      <c r="S188" s="77"/>
      <c r="T188" s="132"/>
      <c r="U188" s="77"/>
      <c r="V188" s="139"/>
    </row>
    <row r="189" spans="1:25" ht="39.9" x14ac:dyDescent="0.3">
      <c r="A189" s="149"/>
      <c r="B189" s="134"/>
      <c r="C189" s="71" t="s">
        <v>123</v>
      </c>
      <c r="D189" s="38">
        <f t="shared" ref="D189:L189" si="59">IF(((D187="")*AND(D188="")),"",(D187-D188)*1)</f>
        <v>1796.9800000000032</v>
      </c>
      <c r="E189" s="38">
        <f t="shared" si="59"/>
        <v>1780.3100000000013</v>
      </c>
      <c r="F189" s="38">
        <f t="shared" si="59"/>
        <v>1774.010000000002</v>
      </c>
      <c r="G189" s="38">
        <f t="shared" si="59"/>
        <v>1864.9900000000016</v>
      </c>
      <c r="H189" s="38">
        <f t="shared" si="59"/>
        <v>1939.739999999998</v>
      </c>
      <c r="I189" s="38">
        <f t="shared" si="59"/>
        <v>1857.2299999999996</v>
      </c>
      <c r="J189" s="38">
        <f t="shared" si="59"/>
        <v>1807.6399999999994</v>
      </c>
      <c r="K189" s="38">
        <f t="shared" si="59"/>
        <v>1843.5400000000009</v>
      </c>
      <c r="L189" s="38">
        <f t="shared" si="59"/>
        <v>1857.3300000000017</v>
      </c>
      <c r="M189" s="135"/>
      <c r="N189" s="135"/>
      <c r="O189" s="135"/>
      <c r="P189" s="135"/>
      <c r="Q189" s="135"/>
      <c r="R189" s="135"/>
      <c r="S189" s="135"/>
      <c r="T189" s="136"/>
      <c r="U189" s="135"/>
      <c r="V189" s="140"/>
    </row>
    <row r="190" spans="1:25" x14ac:dyDescent="0.3">
      <c r="A190" s="129">
        <v>42793</v>
      </c>
      <c r="B190" s="68" t="s">
        <v>124</v>
      </c>
      <c r="C190" s="71" t="s">
        <v>88</v>
      </c>
      <c r="D190" s="56">
        <v>49330.62</v>
      </c>
      <c r="E190" s="56">
        <v>40196.449999999997</v>
      </c>
      <c r="F190" s="56">
        <v>40024.39</v>
      </c>
      <c r="G190" s="56">
        <v>37189.089999999997</v>
      </c>
      <c r="H190" s="56">
        <v>39555.21</v>
      </c>
      <c r="I190" s="56">
        <v>32085.09</v>
      </c>
      <c r="J190" s="56">
        <v>38164.300000000003</v>
      </c>
      <c r="K190" s="56">
        <v>36384.959999999999</v>
      </c>
      <c r="L190" s="56">
        <v>29280.92</v>
      </c>
      <c r="M190" s="69">
        <f>IF((L191=""),"",MAX(D192:L192))</f>
        <v>1979.8199999999997</v>
      </c>
      <c r="N190" s="69">
        <f>IF(L191="","",MIN(D192:L192))</f>
        <v>1775.2799999999988</v>
      </c>
      <c r="O190" s="69">
        <f>IF((L192=""),"",AVERAGE(D192:L192))</f>
        <v>1877.9033333333339</v>
      </c>
      <c r="P190" s="69">
        <v>1600</v>
      </c>
      <c r="Q190" s="69">
        <v>2000</v>
      </c>
      <c r="R190" s="69">
        <f>IF((L191=""),"",((M190-N190)/(M190+N190))*100)</f>
        <v>5.4469920907565967</v>
      </c>
      <c r="S190" s="69">
        <v>20</v>
      </c>
      <c r="T190" s="130" t="str">
        <f>IF(L191="","",IF(R191&lt;20,(IF(O190&gt;1730,IF(O190&lt;1970,"Pass","Fail"),"Fail"))))</f>
        <v>Pass</v>
      </c>
      <c r="U190" s="69">
        <v>1400</v>
      </c>
      <c r="V190" s="138"/>
      <c r="W190" s="56">
        <v>1730</v>
      </c>
      <c r="X190" s="56">
        <v>1970</v>
      </c>
      <c r="Y190" s="56">
        <v>6.2</v>
      </c>
    </row>
    <row r="191" spans="1:25" x14ac:dyDescent="0.3">
      <c r="A191" s="147"/>
      <c r="B191" s="76"/>
      <c r="C191" s="71" t="s">
        <v>89</v>
      </c>
      <c r="D191" s="56">
        <v>47444.2</v>
      </c>
      <c r="E191" s="56">
        <v>38339.86</v>
      </c>
      <c r="F191" s="56">
        <v>38170.129999999997</v>
      </c>
      <c r="G191" s="56">
        <v>35257.839999999997</v>
      </c>
      <c r="H191" s="56">
        <v>37575.39</v>
      </c>
      <c r="I191" s="56">
        <v>30309.81</v>
      </c>
      <c r="J191" s="56">
        <v>36301.58</v>
      </c>
      <c r="K191" s="56">
        <v>34484.74</v>
      </c>
      <c r="L191" s="56">
        <v>27426.35</v>
      </c>
      <c r="M191" s="77"/>
      <c r="N191" s="77"/>
      <c r="O191" s="77"/>
      <c r="P191" s="77"/>
      <c r="Q191" s="77"/>
      <c r="R191" s="77"/>
      <c r="S191" s="77"/>
      <c r="T191" s="132"/>
      <c r="U191" s="77"/>
      <c r="V191" s="139"/>
    </row>
    <row r="192" spans="1:25" ht="39.9" x14ac:dyDescent="0.3">
      <c r="A192" s="149"/>
      <c r="B192" s="134"/>
      <c r="C192" s="71" t="s">
        <v>123</v>
      </c>
      <c r="D192" s="38">
        <f t="shared" ref="D192:L192" si="60">IF(((D190="")*AND(D191="")),"",(D190-D191)*1)</f>
        <v>1886.4200000000055</v>
      </c>
      <c r="E192" s="38">
        <f t="shared" si="60"/>
        <v>1856.5899999999965</v>
      </c>
      <c r="F192" s="38">
        <f t="shared" si="60"/>
        <v>1854.260000000002</v>
      </c>
      <c r="G192" s="38">
        <f t="shared" si="60"/>
        <v>1931.25</v>
      </c>
      <c r="H192" s="38">
        <f t="shared" si="60"/>
        <v>1979.8199999999997</v>
      </c>
      <c r="I192" s="38">
        <f t="shared" si="60"/>
        <v>1775.2799999999988</v>
      </c>
      <c r="J192" s="38">
        <f t="shared" si="60"/>
        <v>1862.7200000000012</v>
      </c>
      <c r="K192" s="38">
        <f t="shared" si="60"/>
        <v>1900.2200000000012</v>
      </c>
      <c r="L192" s="38">
        <f t="shared" si="60"/>
        <v>1854.5699999999997</v>
      </c>
      <c r="M192" s="135"/>
      <c r="N192" s="135"/>
      <c r="O192" s="135"/>
      <c r="P192" s="135"/>
      <c r="Q192" s="135"/>
      <c r="R192" s="135"/>
      <c r="S192" s="135"/>
      <c r="T192" s="136"/>
      <c r="U192" s="135"/>
      <c r="V192" s="140"/>
    </row>
    <row r="193" spans="1:25" x14ac:dyDescent="0.3">
      <c r="A193" s="129">
        <v>42769</v>
      </c>
      <c r="B193" s="68" t="s">
        <v>124</v>
      </c>
      <c r="C193" s="71" t="s">
        <v>88</v>
      </c>
      <c r="D193" s="56">
        <v>29249.55</v>
      </c>
      <c r="E193" s="56">
        <v>28967.9</v>
      </c>
      <c r="F193" s="56">
        <v>29050.89</v>
      </c>
      <c r="G193" s="56">
        <v>29063.18</v>
      </c>
      <c r="H193" s="56">
        <v>29326.63</v>
      </c>
      <c r="I193" s="56">
        <v>29213.21</v>
      </c>
      <c r="J193" s="56">
        <v>29050.43</v>
      </c>
      <c r="K193" s="56">
        <v>28994.09</v>
      </c>
      <c r="L193" s="56">
        <v>29242.42</v>
      </c>
      <c r="M193" s="69">
        <f>IF((L194=""),"",MAX(D195:L195))</f>
        <v>1983.8600000000006</v>
      </c>
      <c r="N193" s="69">
        <f>IF(L194="","",MIN(D195:L195))</f>
        <v>1771.0600000000013</v>
      </c>
      <c r="O193" s="69">
        <f>IF((L195=""),"",AVERAGE(D195:L195))</f>
        <v>1862.8411111111111</v>
      </c>
      <c r="P193" s="69">
        <v>1600</v>
      </c>
      <c r="Q193" s="69">
        <v>2000</v>
      </c>
      <c r="R193" s="69">
        <f>IF((L194=""),"",((M193-N193)/(M193+N193))*100)</f>
        <v>5.6672312592545024</v>
      </c>
      <c r="S193" s="69">
        <v>20</v>
      </c>
      <c r="T193" s="130" t="str">
        <f>IF(L194="","",IF(R194&lt;20,(IF(O193&gt;1730,IF(O193&lt;1970,"Pass","Fail"),"Fail"))))</f>
        <v>Pass</v>
      </c>
      <c r="U193" s="69">
        <v>1428</v>
      </c>
      <c r="V193" s="138"/>
      <c r="W193" s="56">
        <v>1730</v>
      </c>
      <c r="X193" s="56">
        <v>1970</v>
      </c>
      <c r="Y193" s="56">
        <v>6.2</v>
      </c>
    </row>
    <row r="194" spans="1:25" x14ac:dyDescent="0.3">
      <c r="A194" s="147"/>
      <c r="B194" s="76"/>
      <c r="C194" s="71" t="s">
        <v>89</v>
      </c>
      <c r="D194" s="56">
        <v>27410.05</v>
      </c>
      <c r="E194" s="56">
        <v>27196.84</v>
      </c>
      <c r="F194" s="56">
        <v>27204.36</v>
      </c>
      <c r="G194" s="56">
        <v>27148.560000000001</v>
      </c>
      <c r="H194" s="56">
        <v>27342.77</v>
      </c>
      <c r="I194" s="56">
        <v>27343.37</v>
      </c>
      <c r="J194" s="56">
        <v>27153.439999999999</v>
      </c>
      <c r="K194" s="56">
        <v>27159.58</v>
      </c>
      <c r="L194" s="56">
        <v>27433.759999999998</v>
      </c>
      <c r="M194" s="77"/>
      <c r="N194" s="77"/>
      <c r="O194" s="77"/>
      <c r="P194" s="77"/>
      <c r="Q194" s="77"/>
      <c r="R194" s="77"/>
      <c r="S194" s="77"/>
      <c r="T194" s="132"/>
      <c r="U194" s="77"/>
      <c r="V194" s="139"/>
    </row>
    <row r="195" spans="1:25" ht="39.9" x14ac:dyDescent="0.3">
      <c r="A195" s="149"/>
      <c r="B195" s="134"/>
      <c r="C195" s="71" t="s">
        <v>123</v>
      </c>
      <c r="D195" s="38">
        <f t="shared" ref="D195:L195" si="61">IF(((D193="")*AND(D194="")),"",(D193-D194)*1)</f>
        <v>1839.5</v>
      </c>
      <c r="E195" s="38">
        <f t="shared" si="61"/>
        <v>1771.0600000000013</v>
      </c>
      <c r="F195" s="38">
        <f t="shared" si="61"/>
        <v>1846.5299999999988</v>
      </c>
      <c r="G195" s="38">
        <f t="shared" si="61"/>
        <v>1914.619999999999</v>
      </c>
      <c r="H195" s="38">
        <f t="shared" si="61"/>
        <v>1983.8600000000006</v>
      </c>
      <c r="I195" s="38">
        <f t="shared" si="61"/>
        <v>1869.8400000000001</v>
      </c>
      <c r="J195" s="38">
        <f t="shared" si="61"/>
        <v>1896.9900000000016</v>
      </c>
      <c r="K195" s="38">
        <f t="shared" si="61"/>
        <v>1834.5099999999984</v>
      </c>
      <c r="L195" s="38">
        <f t="shared" si="61"/>
        <v>1808.6599999999999</v>
      </c>
      <c r="M195" s="135"/>
      <c r="N195" s="135"/>
      <c r="O195" s="135"/>
      <c r="P195" s="135"/>
      <c r="Q195" s="135"/>
      <c r="R195" s="135"/>
      <c r="S195" s="135"/>
      <c r="T195" s="136"/>
      <c r="U195" s="135"/>
      <c r="V195" s="140"/>
    </row>
    <row r="196" spans="1:25" x14ac:dyDescent="0.3">
      <c r="A196" s="129">
        <v>42803</v>
      </c>
      <c r="B196" s="68" t="s">
        <v>124</v>
      </c>
      <c r="C196" s="71" t="s">
        <v>88</v>
      </c>
      <c r="D196" s="56">
        <v>27471.21</v>
      </c>
      <c r="E196" s="56">
        <v>27233.61</v>
      </c>
      <c r="F196" s="56">
        <v>27288.63</v>
      </c>
      <c r="G196" s="56">
        <v>27195.439999999999</v>
      </c>
      <c r="H196" s="56">
        <v>27361.05</v>
      </c>
      <c r="I196" s="56">
        <v>27383.01</v>
      </c>
      <c r="J196" s="56">
        <v>27184.57</v>
      </c>
      <c r="K196" s="56">
        <v>27209.84</v>
      </c>
      <c r="L196" s="56">
        <v>27452.94</v>
      </c>
      <c r="M196" s="69">
        <f>IF((L197=""),"",MAX(D198:L198))</f>
        <v>1908.2900000000009</v>
      </c>
      <c r="N196" s="69">
        <f>IF(L197="","",MIN(D198:L198))</f>
        <v>1763.0699999999997</v>
      </c>
      <c r="O196" s="69">
        <f>IF((L198=""),"",AVERAGE(D198:L198))</f>
        <v>1825.3911111111111</v>
      </c>
      <c r="P196" s="69">
        <v>1600</v>
      </c>
      <c r="Q196" s="69">
        <v>2000</v>
      </c>
      <c r="R196" s="69">
        <f>IF((L197=""),"",((M196-N196)/(M196+N196))*100)</f>
        <v>3.9554824370260921</v>
      </c>
      <c r="S196" s="69">
        <v>20</v>
      </c>
      <c r="T196" s="130" t="str">
        <f>IF(L197="","",IF(R197&lt;20,(IF(O196&gt;1730,IF(O196&lt;1970,"Pass","Fail"),"Fail"))))</f>
        <v>Pass</v>
      </c>
      <c r="U196" s="69">
        <v>1335</v>
      </c>
      <c r="V196" s="138"/>
      <c r="W196" s="56">
        <v>1730</v>
      </c>
      <c r="X196" s="56">
        <v>1970</v>
      </c>
      <c r="Y196" s="56">
        <v>6.2</v>
      </c>
    </row>
    <row r="197" spans="1:25" x14ac:dyDescent="0.3">
      <c r="A197" s="147"/>
      <c r="B197" s="76"/>
      <c r="C197" s="71" t="s">
        <v>89</v>
      </c>
      <c r="D197" s="56">
        <v>25676.77</v>
      </c>
      <c r="E197" s="56">
        <v>25468.11</v>
      </c>
      <c r="F197" s="56">
        <v>25524.6</v>
      </c>
      <c r="G197" s="56">
        <v>25335.25</v>
      </c>
      <c r="H197" s="56">
        <v>25452.76</v>
      </c>
      <c r="I197" s="56">
        <v>25501.23</v>
      </c>
      <c r="J197" s="56">
        <v>25421.5</v>
      </c>
      <c r="K197" s="56">
        <v>25353.439999999999</v>
      </c>
      <c r="L197" s="56">
        <v>25618.12</v>
      </c>
      <c r="M197" s="77"/>
      <c r="N197" s="77"/>
      <c r="O197" s="77"/>
      <c r="P197" s="77"/>
      <c r="Q197" s="77"/>
      <c r="R197" s="77"/>
      <c r="S197" s="77"/>
      <c r="T197" s="132"/>
      <c r="U197" s="77"/>
      <c r="V197" s="139"/>
    </row>
    <row r="198" spans="1:25" ht="39.9" x14ac:dyDescent="0.3">
      <c r="A198" s="149"/>
      <c r="B198" s="134"/>
      <c r="C198" s="71" t="s">
        <v>123</v>
      </c>
      <c r="D198" s="38">
        <f t="shared" ref="D198:L198" si="62">IF(((D196="")*AND(D197="")),"",(D196-D197)*1)</f>
        <v>1794.4399999999987</v>
      </c>
      <c r="E198" s="38">
        <f t="shared" si="62"/>
        <v>1765.5</v>
      </c>
      <c r="F198" s="38">
        <f t="shared" si="62"/>
        <v>1764.0300000000025</v>
      </c>
      <c r="G198" s="38">
        <f t="shared" si="62"/>
        <v>1860.1899999999987</v>
      </c>
      <c r="H198" s="38">
        <f t="shared" si="62"/>
        <v>1908.2900000000009</v>
      </c>
      <c r="I198" s="38">
        <f t="shared" si="62"/>
        <v>1881.7799999999988</v>
      </c>
      <c r="J198" s="38">
        <f t="shared" si="62"/>
        <v>1763.0699999999997</v>
      </c>
      <c r="K198" s="38">
        <f t="shared" si="62"/>
        <v>1856.4000000000015</v>
      </c>
      <c r="L198" s="38">
        <f t="shared" si="62"/>
        <v>1834.8199999999997</v>
      </c>
      <c r="M198" s="135"/>
      <c r="N198" s="135"/>
      <c r="O198" s="135"/>
      <c r="P198" s="135"/>
      <c r="Q198" s="135"/>
      <c r="R198" s="135"/>
      <c r="S198" s="135"/>
      <c r="T198" s="136"/>
      <c r="U198" s="135"/>
      <c r="V198" s="140"/>
    </row>
    <row r="199" spans="1:25" x14ac:dyDescent="0.3">
      <c r="A199" s="129">
        <v>42808</v>
      </c>
      <c r="B199" s="68" t="s">
        <v>124</v>
      </c>
      <c r="C199" s="71" t="s">
        <v>88</v>
      </c>
      <c r="D199" s="56">
        <v>33845.53</v>
      </c>
      <c r="E199" s="56">
        <v>33456.81</v>
      </c>
      <c r="F199" s="56">
        <v>33466.800000000003</v>
      </c>
      <c r="G199" s="56">
        <v>33458.730000000003</v>
      </c>
      <c r="H199" s="56">
        <v>33935.199999999997</v>
      </c>
      <c r="I199" s="56">
        <v>33844.800000000003</v>
      </c>
      <c r="J199" s="56">
        <v>33446.29</v>
      </c>
      <c r="K199" s="56">
        <v>33456.43</v>
      </c>
      <c r="L199" s="56">
        <v>33958.839999999997</v>
      </c>
      <c r="M199" s="69">
        <f>IF((L200=""),"",MAX(D201:L201))</f>
        <v>1976.0899999999965</v>
      </c>
      <c r="N199" s="69">
        <f>IF(L200="","",MIN(D201:L201))</f>
        <v>1848.4399999999987</v>
      </c>
      <c r="O199" s="69">
        <f>IF((L201=""),"",AVERAGE(D201:L201))</f>
        <v>1893.4633333333336</v>
      </c>
      <c r="P199" s="69">
        <v>1600</v>
      </c>
      <c r="Q199" s="69">
        <v>2000</v>
      </c>
      <c r="R199" s="69">
        <f>IF((L200=""),"",((M199-N199)/(M199+N199))*100)</f>
        <v>3.3376650202769484</v>
      </c>
      <c r="S199" s="69">
        <v>20</v>
      </c>
      <c r="T199" s="130" t="str">
        <f>IF(L200="","",IF(R200&lt;20,(IF(O199&gt;1730,IF(O199&lt;1970,"Pass","Fail"),"Fail"))))</f>
        <v>Pass</v>
      </c>
      <c r="U199" s="69">
        <v>1400</v>
      </c>
      <c r="V199" s="138"/>
      <c r="W199" s="56">
        <v>1730</v>
      </c>
      <c r="X199" s="56">
        <v>1970</v>
      </c>
      <c r="Y199" s="56">
        <v>6.2</v>
      </c>
    </row>
    <row r="200" spans="1:25" x14ac:dyDescent="0.3">
      <c r="A200" s="147"/>
      <c r="B200" s="76"/>
      <c r="C200" s="71" t="s">
        <v>89</v>
      </c>
      <c r="D200" s="56">
        <v>31988.17</v>
      </c>
      <c r="E200" s="56">
        <v>31608.37</v>
      </c>
      <c r="F200" s="56">
        <v>31617.94</v>
      </c>
      <c r="G200" s="56">
        <v>31524.82</v>
      </c>
      <c r="H200" s="56">
        <v>31959.11</v>
      </c>
      <c r="I200" s="56">
        <v>31932.04</v>
      </c>
      <c r="J200" s="56">
        <v>31565.200000000001</v>
      </c>
      <c r="K200" s="56">
        <v>31568.98</v>
      </c>
      <c r="L200" s="56">
        <v>32063.63</v>
      </c>
      <c r="M200" s="77"/>
      <c r="N200" s="77"/>
      <c r="O200" s="77"/>
      <c r="P200" s="77"/>
      <c r="Q200" s="77"/>
      <c r="R200" s="77"/>
      <c r="S200" s="77"/>
      <c r="T200" s="132"/>
      <c r="U200" s="77"/>
      <c r="V200" s="139"/>
    </row>
    <row r="201" spans="1:25" ht="39.9" x14ac:dyDescent="0.3">
      <c r="A201" s="149"/>
      <c r="B201" s="134"/>
      <c r="C201" s="71" t="s">
        <v>123</v>
      </c>
      <c r="D201" s="38">
        <f t="shared" ref="D201:L201" si="63">IF(((D199="")*AND(D200="")),"",(D199-D200)*1)</f>
        <v>1857.3600000000006</v>
      </c>
      <c r="E201" s="38">
        <f t="shared" si="63"/>
        <v>1848.4399999999987</v>
      </c>
      <c r="F201" s="38">
        <f t="shared" si="63"/>
        <v>1848.8600000000042</v>
      </c>
      <c r="G201" s="38">
        <f t="shared" si="63"/>
        <v>1933.9100000000035</v>
      </c>
      <c r="H201" s="38">
        <f t="shared" si="63"/>
        <v>1976.0899999999965</v>
      </c>
      <c r="I201" s="38">
        <f t="shared" si="63"/>
        <v>1912.760000000002</v>
      </c>
      <c r="J201" s="38">
        <f t="shared" si="63"/>
        <v>1881.0900000000001</v>
      </c>
      <c r="K201" s="38">
        <f t="shared" si="63"/>
        <v>1887.4500000000007</v>
      </c>
      <c r="L201" s="38">
        <f t="shared" si="63"/>
        <v>1895.2099999999955</v>
      </c>
      <c r="M201" s="135"/>
      <c r="N201" s="135"/>
      <c r="O201" s="135"/>
      <c r="P201" s="135"/>
      <c r="Q201" s="135"/>
      <c r="R201" s="135"/>
      <c r="S201" s="135"/>
      <c r="T201" s="136"/>
      <c r="U201" s="135"/>
      <c r="V201" s="140"/>
    </row>
    <row r="202" spans="1:25" x14ac:dyDescent="0.3">
      <c r="A202" s="129">
        <v>42811</v>
      </c>
      <c r="B202" s="68" t="s">
        <v>124</v>
      </c>
      <c r="C202" s="71" t="s">
        <v>88</v>
      </c>
      <c r="D202" s="56">
        <v>33827.57</v>
      </c>
      <c r="E202" s="56">
        <v>33497.81</v>
      </c>
      <c r="F202" s="56">
        <v>33633.93</v>
      </c>
      <c r="G202" s="56">
        <v>33505.69</v>
      </c>
      <c r="H202" s="56">
        <v>34037.129999999997</v>
      </c>
      <c r="I202" s="56">
        <v>33862.35</v>
      </c>
      <c r="J202" s="56">
        <v>33497.14</v>
      </c>
      <c r="K202" s="56">
        <v>33485.22</v>
      </c>
      <c r="L202" s="56">
        <v>33991.06</v>
      </c>
      <c r="M202" s="69">
        <f>IF((L203=""),"",MAX(D204:L204))</f>
        <v>2005.0299999999988</v>
      </c>
      <c r="N202" s="69">
        <f>IF(L203="","",MIN(D204:L204))</f>
        <v>1869.7999999999993</v>
      </c>
      <c r="O202" s="69">
        <f>IF((L204=""),"",AVERAGE(D204:L204))</f>
        <v>1911.5100000000004</v>
      </c>
      <c r="P202" s="69">
        <v>1600</v>
      </c>
      <c r="Q202" s="69">
        <v>2000</v>
      </c>
      <c r="R202" s="69">
        <f>IF((L203=""),"",((M202-N202)/(M202+N202))*100)</f>
        <v>3.4899595595161501</v>
      </c>
      <c r="S202" s="69">
        <v>20</v>
      </c>
      <c r="T202" s="130" t="str">
        <f>IF(L203="","",IF(R203&lt;20,(IF(O202&gt;1730,IF(O202&lt;1970,"Pass","Fail"),"Fail"))))</f>
        <v>Pass</v>
      </c>
      <c r="U202" s="69">
        <v>1400</v>
      </c>
      <c r="V202" s="138"/>
      <c r="W202" s="56">
        <v>1730</v>
      </c>
      <c r="X202" s="56">
        <v>1970</v>
      </c>
      <c r="Y202" s="56">
        <v>6.2</v>
      </c>
    </row>
    <row r="203" spans="1:25" x14ac:dyDescent="0.3">
      <c r="A203" s="147"/>
      <c r="B203" s="76"/>
      <c r="C203" s="71" t="s">
        <v>89</v>
      </c>
      <c r="D203" s="56">
        <v>31954.3</v>
      </c>
      <c r="E203" s="56">
        <v>31628.01</v>
      </c>
      <c r="F203" s="56">
        <v>31762.76</v>
      </c>
      <c r="G203" s="56">
        <v>31560.21</v>
      </c>
      <c r="H203" s="56">
        <v>32032.1</v>
      </c>
      <c r="I203" s="56">
        <v>31934.01</v>
      </c>
      <c r="J203" s="56">
        <v>31602.54</v>
      </c>
      <c r="K203" s="56">
        <v>31576.01</v>
      </c>
      <c r="L203" s="56">
        <v>32084.37</v>
      </c>
      <c r="M203" s="77"/>
      <c r="N203" s="77"/>
      <c r="O203" s="77"/>
      <c r="P203" s="77"/>
      <c r="Q203" s="77"/>
      <c r="R203" s="77"/>
      <c r="S203" s="77"/>
      <c r="T203" s="132"/>
      <c r="U203" s="77"/>
      <c r="V203" s="139"/>
    </row>
    <row r="204" spans="1:25" ht="39.9" x14ac:dyDescent="0.3">
      <c r="A204" s="149"/>
      <c r="B204" s="134"/>
      <c r="C204" s="71" t="s">
        <v>123</v>
      </c>
      <c r="D204" s="38">
        <f t="shared" ref="D204:L204" si="64">IF(((D202="")*AND(D203="")),"",(D202-D203)*1)</f>
        <v>1873.2700000000004</v>
      </c>
      <c r="E204" s="38">
        <f t="shared" si="64"/>
        <v>1869.7999999999993</v>
      </c>
      <c r="F204" s="38">
        <f t="shared" si="64"/>
        <v>1871.1700000000019</v>
      </c>
      <c r="G204" s="38">
        <f t="shared" si="64"/>
        <v>1945.4800000000032</v>
      </c>
      <c r="H204" s="38">
        <f t="shared" si="64"/>
        <v>2005.0299999999988</v>
      </c>
      <c r="I204" s="38">
        <f t="shared" si="64"/>
        <v>1928.3400000000001</v>
      </c>
      <c r="J204" s="38">
        <f t="shared" si="64"/>
        <v>1894.5999999999985</v>
      </c>
      <c r="K204" s="38">
        <f t="shared" si="64"/>
        <v>1909.2100000000028</v>
      </c>
      <c r="L204" s="38">
        <f t="shared" si="64"/>
        <v>1906.6899999999987</v>
      </c>
      <c r="M204" s="135"/>
      <c r="N204" s="135"/>
      <c r="O204" s="135"/>
      <c r="P204" s="135"/>
      <c r="Q204" s="135"/>
      <c r="R204" s="135"/>
      <c r="S204" s="135"/>
      <c r="T204" s="136"/>
      <c r="U204" s="135"/>
      <c r="V204" s="140"/>
    </row>
    <row r="205" spans="1:25" x14ac:dyDescent="0.3">
      <c r="A205" s="129">
        <v>42814</v>
      </c>
      <c r="B205" s="68" t="s">
        <v>124</v>
      </c>
      <c r="C205" s="71" t="s">
        <v>88</v>
      </c>
      <c r="D205" s="56">
        <v>33824.61</v>
      </c>
      <c r="E205" s="56">
        <v>33491.550000000003</v>
      </c>
      <c r="F205" s="56">
        <v>33630.370000000003</v>
      </c>
      <c r="G205" s="56">
        <v>33516.449999999997</v>
      </c>
      <c r="H205" s="56">
        <v>34039.230000000003</v>
      </c>
      <c r="I205" s="56">
        <v>33821.129999999997</v>
      </c>
      <c r="J205" s="56">
        <v>33497.17</v>
      </c>
      <c r="K205" s="56">
        <v>33495.440000000002</v>
      </c>
      <c r="L205" s="56">
        <v>34006.730000000003</v>
      </c>
      <c r="M205" s="69">
        <f>IF((L206=""),"",MAX(D207:L207))</f>
        <v>1928.1200000000026</v>
      </c>
      <c r="N205" s="69">
        <f>IF(L206="","",MIN(D207:L207))</f>
        <v>1773.0499999999993</v>
      </c>
      <c r="O205" s="69">
        <f>IF((L207=""),"",AVERAGE(D207:L207))</f>
        <v>1838.4122222222229</v>
      </c>
      <c r="P205" s="69">
        <v>1600</v>
      </c>
      <c r="Q205" s="69">
        <v>2000</v>
      </c>
      <c r="R205" s="69">
        <f>IF((L206=""),"",((M205-N205)/(M205+N205))*100)</f>
        <v>4.1897562122248715</v>
      </c>
      <c r="S205" s="69">
        <v>20</v>
      </c>
      <c r="T205" s="130" t="str">
        <f>IF(L206="","",IF(R206&lt;20,(IF(O205&gt;1730,IF(O205&lt;1970,"Pass","Fail"),"Fail"))))</f>
        <v>Pass</v>
      </c>
      <c r="U205" s="69">
        <v>1428</v>
      </c>
      <c r="V205" s="138"/>
      <c r="W205" s="56">
        <v>1730</v>
      </c>
      <c r="X205" s="56">
        <v>1970</v>
      </c>
      <c r="Y205" s="56">
        <v>6.2</v>
      </c>
    </row>
    <row r="206" spans="1:25" x14ac:dyDescent="0.3">
      <c r="A206" s="147"/>
      <c r="B206" s="76"/>
      <c r="C206" s="71" t="s">
        <v>89</v>
      </c>
      <c r="D206" s="56">
        <v>32051.56</v>
      </c>
      <c r="E206" s="56">
        <v>31693.64</v>
      </c>
      <c r="F206" s="56">
        <v>31857.09</v>
      </c>
      <c r="G206" s="56">
        <v>31620.93</v>
      </c>
      <c r="H206" s="56">
        <v>32111.11</v>
      </c>
      <c r="I206" s="56">
        <v>31952.31</v>
      </c>
      <c r="J206" s="56">
        <v>31652.52</v>
      </c>
      <c r="K206" s="56">
        <v>31641.279999999999</v>
      </c>
      <c r="L206" s="56">
        <v>32196.53</v>
      </c>
      <c r="M206" s="77"/>
      <c r="N206" s="77"/>
      <c r="O206" s="77"/>
      <c r="P206" s="77"/>
      <c r="Q206" s="77"/>
      <c r="R206" s="77"/>
      <c r="S206" s="77"/>
      <c r="T206" s="132"/>
      <c r="U206" s="77"/>
      <c r="V206" s="139"/>
    </row>
    <row r="207" spans="1:25" ht="39.9" x14ac:dyDescent="0.3">
      <c r="A207" s="149"/>
      <c r="B207" s="134"/>
      <c r="C207" s="71" t="s">
        <v>123</v>
      </c>
      <c r="D207" s="38">
        <f t="shared" ref="D207:L207" si="65">IF(((D205="")*AND(D206="")),"",(D205-D206)*1)</f>
        <v>1773.0499999999993</v>
      </c>
      <c r="E207" s="38">
        <f t="shared" si="65"/>
        <v>1797.9100000000035</v>
      </c>
      <c r="F207" s="38">
        <f t="shared" si="65"/>
        <v>1773.2800000000025</v>
      </c>
      <c r="G207" s="38">
        <f t="shared" si="65"/>
        <v>1895.5199999999968</v>
      </c>
      <c r="H207" s="38">
        <f t="shared" si="65"/>
        <v>1928.1200000000026</v>
      </c>
      <c r="I207" s="38">
        <f t="shared" si="65"/>
        <v>1868.8199999999961</v>
      </c>
      <c r="J207" s="38">
        <f t="shared" si="65"/>
        <v>1844.6499999999978</v>
      </c>
      <c r="K207" s="38">
        <f t="shared" si="65"/>
        <v>1854.1600000000035</v>
      </c>
      <c r="L207" s="38">
        <f t="shared" si="65"/>
        <v>1810.2000000000044</v>
      </c>
      <c r="M207" s="135"/>
      <c r="N207" s="135"/>
      <c r="O207" s="135"/>
      <c r="P207" s="135"/>
      <c r="Q207" s="135"/>
      <c r="R207" s="135"/>
      <c r="S207" s="135"/>
      <c r="T207" s="136"/>
      <c r="U207" s="135"/>
      <c r="V207" s="140"/>
    </row>
    <row r="208" spans="1:25" x14ac:dyDescent="0.3">
      <c r="A208" s="129">
        <v>42817</v>
      </c>
      <c r="B208" s="68" t="s">
        <v>124</v>
      </c>
      <c r="C208" s="71" t="s">
        <v>88</v>
      </c>
      <c r="D208" s="56">
        <v>22460.23</v>
      </c>
      <c r="E208" s="56">
        <v>20578.11</v>
      </c>
      <c r="F208" s="56">
        <v>20230.169999999998</v>
      </c>
      <c r="G208" s="56">
        <v>20028.490000000002</v>
      </c>
      <c r="H208" s="56">
        <v>21364.91</v>
      </c>
      <c r="I208" s="56">
        <v>20418.509999999998</v>
      </c>
      <c r="J208" s="56">
        <v>20155.03</v>
      </c>
      <c r="K208" s="56">
        <v>19911.240000000002</v>
      </c>
      <c r="L208" s="56">
        <v>19718.759999999998</v>
      </c>
      <c r="M208" s="69">
        <f>IF((L209=""),"",MAX(D210:L210))</f>
        <v>2452.7000000000007</v>
      </c>
      <c r="N208" s="69">
        <f>IF(L209="","",MIN(D210:L210))</f>
        <v>1903.0800000000017</v>
      </c>
      <c r="O208" s="69">
        <f>IF((L210=""),"",AVERAGE(D210:L210))</f>
        <v>2139.33</v>
      </c>
      <c r="P208" s="69">
        <v>1600</v>
      </c>
      <c r="Q208" s="69">
        <v>2000</v>
      </c>
      <c r="R208" s="69">
        <f>IF((L209=""),"",((M208-N208)/(M208+N208))*100)</f>
        <v>12.618176308261637</v>
      </c>
      <c r="S208" s="69">
        <v>20</v>
      </c>
      <c r="T208" s="130" t="str">
        <f>IF(L209="","",IF(R209&lt;20,(IF(O208&gt;1730,IF(O208&lt;1970,"Pass","Fail"),"Fail"))))</f>
        <v>Fail</v>
      </c>
      <c r="U208" s="69">
        <v>1428</v>
      </c>
      <c r="V208" s="138"/>
      <c r="W208" s="56">
        <v>1730</v>
      </c>
      <c r="X208" s="56">
        <v>1970</v>
      </c>
      <c r="Y208" s="56">
        <v>6.2</v>
      </c>
    </row>
    <row r="209" spans="1:25" x14ac:dyDescent="0.3">
      <c r="A209" s="147"/>
      <c r="B209" s="76"/>
      <c r="C209" s="71" t="s">
        <v>89</v>
      </c>
      <c r="D209" s="56">
        <v>20345.560000000001</v>
      </c>
      <c r="E209" s="56">
        <v>18125.41</v>
      </c>
      <c r="F209" s="56">
        <v>18125.41</v>
      </c>
      <c r="G209" s="56">
        <v>18125.41</v>
      </c>
      <c r="H209" s="56">
        <v>19247.759999999998</v>
      </c>
      <c r="I209" s="56">
        <v>18141.689999999999</v>
      </c>
      <c r="J209" s="56">
        <v>18109.080000000002</v>
      </c>
      <c r="K209" s="56">
        <v>17832.900000000001</v>
      </c>
      <c r="L209" s="56">
        <v>17558.259999999998</v>
      </c>
      <c r="M209" s="77"/>
      <c r="N209" s="77"/>
      <c r="O209" s="77"/>
      <c r="P209" s="77"/>
      <c r="Q209" s="77"/>
      <c r="R209" s="77"/>
      <c r="S209" s="77"/>
      <c r="T209" s="132"/>
      <c r="U209" s="77"/>
      <c r="V209" s="139"/>
    </row>
    <row r="210" spans="1:25" ht="39.9" x14ac:dyDescent="0.3">
      <c r="A210" s="149"/>
      <c r="B210" s="134"/>
      <c r="C210" s="71" t="s">
        <v>123</v>
      </c>
      <c r="D210" s="38">
        <f t="shared" ref="D210:L210" si="66">IF(((D208="")*AND(D209="")),"",(D208-D209)*1)</f>
        <v>2114.6699999999983</v>
      </c>
      <c r="E210" s="38">
        <f t="shared" si="66"/>
        <v>2452.7000000000007</v>
      </c>
      <c r="F210" s="38">
        <f t="shared" si="66"/>
        <v>2104.7599999999984</v>
      </c>
      <c r="G210" s="38">
        <f t="shared" si="66"/>
        <v>1903.0800000000017</v>
      </c>
      <c r="H210" s="38">
        <f t="shared" si="66"/>
        <v>2117.1500000000015</v>
      </c>
      <c r="I210" s="38">
        <f t="shared" si="66"/>
        <v>2276.8199999999997</v>
      </c>
      <c r="J210" s="38">
        <f t="shared" si="66"/>
        <v>2045.9499999999971</v>
      </c>
      <c r="K210" s="38">
        <f t="shared" si="66"/>
        <v>2078.34</v>
      </c>
      <c r="L210" s="38">
        <f t="shared" si="66"/>
        <v>2160.5</v>
      </c>
      <c r="M210" s="135"/>
      <c r="N210" s="135"/>
      <c r="O210" s="135"/>
      <c r="P210" s="135"/>
      <c r="Q210" s="135"/>
      <c r="R210" s="135"/>
      <c r="S210" s="135"/>
      <c r="T210" s="136"/>
      <c r="U210" s="135"/>
      <c r="V210" s="140"/>
    </row>
    <row r="211" spans="1:25" x14ac:dyDescent="0.3">
      <c r="A211" s="129">
        <v>42817</v>
      </c>
      <c r="B211" s="68" t="s">
        <v>124</v>
      </c>
      <c r="C211" s="71" t="s">
        <v>88</v>
      </c>
      <c r="D211" s="56">
        <v>33887.31</v>
      </c>
      <c r="E211" s="56">
        <v>33474.559999999998</v>
      </c>
      <c r="F211" s="56">
        <v>33571.93</v>
      </c>
      <c r="G211" s="56">
        <v>33491.68</v>
      </c>
      <c r="H211" s="56">
        <v>34012.47</v>
      </c>
      <c r="I211" s="56">
        <v>33889.33</v>
      </c>
      <c r="J211" s="56">
        <v>33456.160000000003</v>
      </c>
      <c r="K211" s="56">
        <v>33520.160000000003</v>
      </c>
      <c r="L211" s="56">
        <v>34066.949999999997</v>
      </c>
      <c r="M211" s="69">
        <f>IF((L212=""),"",MAX(D213:L213))</f>
        <v>1995.3100000000013</v>
      </c>
      <c r="N211" s="69">
        <f>IF(L212="","",MIN(D213:L213))</f>
        <v>1715.9300000000003</v>
      </c>
      <c r="O211" s="69">
        <f>IF((L213=""),"",AVERAGE(D213:L213))</f>
        <v>1878.018888888889</v>
      </c>
      <c r="P211" s="69">
        <v>1600</v>
      </c>
      <c r="Q211" s="69">
        <v>2000</v>
      </c>
      <c r="R211" s="69">
        <f>IF((L212=""),"",((M211-N211)/(M211+N211))*100)</f>
        <v>7.5279421433267828</v>
      </c>
      <c r="S211" s="69">
        <v>20</v>
      </c>
      <c r="T211" s="130" t="str">
        <f>IF(L212="","",IF(R212&lt;20,(IF(O211&gt;1730,IF(O211&lt;1970,"Pass","Fail"),"Fail"))))</f>
        <v>Pass</v>
      </c>
      <c r="U211" s="69">
        <v>1428</v>
      </c>
      <c r="V211" s="138"/>
      <c r="W211" s="56">
        <v>1730</v>
      </c>
      <c r="X211" s="56">
        <v>1970</v>
      </c>
      <c r="Y211" s="56">
        <v>6.2</v>
      </c>
    </row>
    <row r="212" spans="1:25" x14ac:dyDescent="0.3">
      <c r="A212" s="147"/>
      <c r="B212" s="76"/>
      <c r="C212" s="71" t="s">
        <v>89</v>
      </c>
      <c r="D212" s="56">
        <v>32087.7</v>
      </c>
      <c r="E212" s="56">
        <v>31662.74</v>
      </c>
      <c r="F212" s="56">
        <v>31856</v>
      </c>
      <c r="G212" s="56">
        <v>31501.72</v>
      </c>
      <c r="H212" s="56">
        <v>32017.16</v>
      </c>
      <c r="I212" s="56">
        <v>31996.26</v>
      </c>
      <c r="J212" s="56">
        <v>31573.51</v>
      </c>
      <c r="K212" s="56">
        <v>31614.55</v>
      </c>
      <c r="L212" s="56">
        <v>32158.74</v>
      </c>
      <c r="M212" s="77"/>
      <c r="N212" s="77"/>
      <c r="O212" s="77"/>
      <c r="P212" s="77"/>
      <c r="Q212" s="77"/>
      <c r="R212" s="77"/>
      <c r="S212" s="77"/>
      <c r="T212" s="132"/>
      <c r="U212" s="77"/>
      <c r="V212" s="139"/>
    </row>
    <row r="213" spans="1:25" ht="39.9" x14ac:dyDescent="0.3">
      <c r="A213" s="149"/>
      <c r="B213" s="134"/>
      <c r="C213" s="71" t="s">
        <v>123</v>
      </c>
      <c r="D213" s="38">
        <f t="shared" ref="D213:L213" si="67">IF(((D211="")*AND(D212="")),"",(D211-D212)*1)</f>
        <v>1799.6099999999969</v>
      </c>
      <c r="E213" s="38">
        <f t="shared" si="67"/>
        <v>1811.8199999999961</v>
      </c>
      <c r="F213" s="38">
        <f t="shared" si="67"/>
        <v>1715.9300000000003</v>
      </c>
      <c r="G213" s="38">
        <f t="shared" si="67"/>
        <v>1989.9599999999991</v>
      </c>
      <c r="H213" s="38">
        <f t="shared" si="67"/>
        <v>1995.3100000000013</v>
      </c>
      <c r="I213" s="38">
        <f t="shared" si="67"/>
        <v>1893.0700000000033</v>
      </c>
      <c r="J213" s="38">
        <f t="shared" si="67"/>
        <v>1882.6500000000051</v>
      </c>
      <c r="K213" s="38">
        <f t="shared" si="67"/>
        <v>1905.6100000000042</v>
      </c>
      <c r="L213" s="38">
        <f t="shared" si="67"/>
        <v>1908.2099999999955</v>
      </c>
      <c r="M213" s="135"/>
      <c r="N213" s="135"/>
      <c r="O213" s="135"/>
      <c r="P213" s="135"/>
      <c r="Q213" s="135"/>
      <c r="R213" s="135"/>
      <c r="S213" s="135"/>
      <c r="T213" s="136"/>
      <c r="U213" s="135"/>
      <c r="V213" s="140"/>
    </row>
    <row r="214" spans="1:25" x14ac:dyDescent="0.3">
      <c r="A214" s="129">
        <v>42821</v>
      </c>
      <c r="B214" s="68"/>
      <c r="C214" s="71" t="s">
        <v>88</v>
      </c>
      <c r="D214" s="56">
        <v>33799.72</v>
      </c>
      <c r="E214" s="56">
        <v>33435.800000000003</v>
      </c>
      <c r="F214" s="56">
        <v>33535.97</v>
      </c>
      <c r="G214" s="56">
        <v>33429.129999999997</v>
      </c>
      <c r="H214" s="56">
        <v>33935.78</v>
      </c>
      <c r="I214" s="56">
        <v>33832.71</v>
      </c>
      <c r="J214" s="56">
        <v>33430.86</v>
      </c>
      <c r="K214" s="56">
        <v>33415.89</v>
      </c>
      <c r="L214" s="56">
        <v>33930.25</v>
      </c>
      <c r="M214" s="69">
        <f>IF((L215=""),"",MAX(D216:L216))</f>
        <v>2010.5099999999984</v>
      </c>
      <c r="N214" s="69">
        <f>IF(L215="","",MIN(D216:L216))</f>
        <v>1856.2000000000007</v>
      </c>
      <c r="O214" s="69">
        <f>IF((L216=""),"",AVERAGE(D216:L216))</f>
        <v>1906.5111111111109</v>
      </c>
      <c r="P214" s="69">
        <v>1600</v>
      </c>
      <c r="Q214" s="69">
        <v>2000</v>
      </c>
      <c r="R214" s="69">
        <f>IF((L215=""),"",((M214-N214)/(M214+N214))*100)</f>
        <v>3.9907311383578734</v>
      </c>
      <c r="S214" s="69">
        <v>20</v>
      </c>
      <c r="T214" s="130" t="str">
        <f>IF(L215="","",IF(R215&lt;20,(IF(O214&gt;1600,IF(O214&lt;2000,"Pass","Fail"),"Fail"))))</f>
        <v>Pass</v>
      </c>
      <c r="U214" s="69">
        <v>1335</v>
      </c>
      <c r="V214" s="138"/>
      <c r="W214" s="56">
        <v>1730</v>
      </c>
      <c r="X214" s="56">
        <v>1970</v>
      </c>
      <c r="Y214" s="56">
        <v>6.2</v>
      </c>
    </row>
    <row r="215" spans="1:25" x14ac:dyDescent="0.3">
      <c r="A215" s="147"/>
      <c r="B215" s="76"/>
      <c r="C215" s="71" t="s">
        <v>89</v>
      </c>
      <c r="D215" s="56">
        <v>31937.05</v>
      </c>
      <c r="E215" s="56">
        <v>31576.43</v>
      </c>
      <c r="F215" s="56">
        <v>31679.77</v>
      </c>
      <c r="G215" s="56">
        <v>31485.31</v>
      </c>
      <c r="H215" s="56">
        <v>31925.27</v>
      </c>
      <c r="I215" s="56">
        <v>31901.58</v>
      </c>
      <c r="J215" s="56">
        <v>31541.63</v>
      </c>
      <c r="K215" s="56">
        <v>31514.12</v>
      </c>
      <c r="L215" s="56">
        <v>32026.35</v>
      </c>
      <c r="M215" s="77"/>
      <c r="N215" s="77"/>
      <c r="O215" s="77"/>
      <c r="P215" s="77"/>
      <c r="Q215" s="77"/>
      <c r="R215" s="77"/>
      <c r="S215" s="77"/>
      <c r="T215" s="132"/>
      <c r="U215" s="77"/>
      <c r="V215" s="139"/>
    </row>
    <row r="216" spans="1:25" ht="39.9" x14ac:dyDescent="0.3">
      <c r="A216" s="149"/>
      <c r="B216" s="134"/>
      <c r="C216" s="71" t="s">
        <v>123</v>
      </c>
      <c r="D216" s="38">
        <f t="shared" ref="D216:L216" si="68">IF(((D214="")*AND(D215="")),"",(D214-D215)*1)</f>
        <v>1862.6700000000019</v>
      </c>
      <c r="E216" s="38">
        <f t="shared" si="68"/>
        <v>1859.3700000000026</v>
      </c>
      <c r="F216" s="38">
        <f t="shared" si="68"/>
        <v>1856.2000000000007</v>
      </c>
      <c r="G216" s="38">
        <f t="shared" si="68"/>
        <v>1943.8199999999961</v>
      </c>
      <c r="H216" s="38">
        <f t="shared" si="68"/>
        <v>2010.5099999999984</v>
      </c>
      <c r="I216" s="38">
        <f t="shared" si="68"/>
        <v>1931.1299999999974</v>
      </c>
      <c r="J216" s="38">
        <f t="shared" si="68"/>
        <v>1889.2299999999996</v>
      </c>
      <c r="K216" s="38">
        <f t="shared" si="68"/>
        <v>1901.7700000000004</v>
      </c>
      <c r="L216" s="38">
        <f t="shared" si="68"/>
        <v>1903.9000000000015</v>
      </c>
      <c r="M216" s="135"/>
      <c r="N216" s="135"/>
      <c r="O216" s="135"/>
      <c r="P216" s="135"/>
      <c r="Q216" s="135"/>
      <c r="R216" s="135"/>
      <c r="S216" s="135"/>
      <c r="T216" s="136"/>
      <c r="U216" s="135"/>
      <c r="V216" s="140"/>
    </row>
    <row r="217" spans="1:25" x14ac:dyDescent="0.3">
      <c r="A217" s="129">
        <v>42825</v>
      </c>
      <c r="B217" s="68" t="s">
        <v>124</v>
      </c>
      <c r="C217" s="71" t="s">
        <v>88</v>
      </c>
      <c r="D217" s="56">
        <v>29418.45</v>
      </c>
      <c r="E217" s="56">
        <v>29259.21</v>
      </c>
      <c r="F217" s="56">
        <v>29318</v>
      </c>
      <c r="G217" s="56">
        <v>29282.38</v>
      </c>
      <c r="H217" s="56">
        <v>29474.18</v>
      </c>
      <c r="I217" s="56">
        <v>29407.55</v>
      </c>
      <c r="J217" s="56">
        <v>29252.65</v>
      </c>
      <c r="K217" s="56">
        <v>29274.560000000001</v>
      </c>
      <c r="L217" s="56">
        <v>29459.88</v>
      </c>
      <c r="M217" s="69">
        <f>IF((L218=""),"",MAX(D219:L219))</f>
        <v>1946.9599999999991</v>
      </c>
      <c r="N217" s="69">
        <f>IF(L218="","",MIN(D219:L219))</f>
        <v>1806.010000000002</v>
      </c>
      <c r="O217" s="69">
        <f>IF((L219=""),"",AVERAGE(D219:L219))</f>
        <v>1852.9455555555558</v>
      </c>
      <c r="P217" s="69">
        <v>1600</v>
      </c>
      <c r="Q217" s="69">
        <v>2000</v>
      </c>
      <c r="R217" s="69">
        <f>IF((L218=""),"",((M217-N217)/(M217+N217))*100)</f>
        <v>3.7556921584770739</v>
      </c>
      <c r="S217" s="69">
        <v>20</v>
      </c>
      <c r="T217" s="130" t="str">
        <f>IF(L218="","",IF(R218&lt;20,(IF(O217&gt;1730,IF(O217&lt;1970,"Pass","Fail"),"Fail"))))</f>
        <v>Pass</v>
      </c>
      <c r="U217" s="69">
        <v>1159</v>
      </c>
      <c r="V217" s="138"/>
      <c r="W217" s="56">
        <v>1730</v>
      </c>
      <c r="X217" s="56">
        <v>1970</v>
      </c>
      <c r="Y217" s="56">
        <v>6.2</v>
      </c>
    </row>
    <row r="218" spans="1:25" x14ac:dyDescent="0.3">
      <c r="A218" s="147"/>
      <c r="B218" s="76"/>
      <c r="C218" s="71" t="s">
        <v>89</v>
      </c>
      <c r="D218" s="56">
        <v>27612.44</v>
      </c>
      <c r="E218" s="56">
        <v>27449.27</v>
      </c>
      <c r="F218" s="56">
        <v>27508.959999999999</v>
      </c>
      <c r="G218" s="56">
        <v>27386.04</v>
      </c>
      <c r="H218" s="56">
        <v>27527.22</v>
      </c>
      <c r="I218" s="56">
        <v>27533.31</v>
      </c>
      <c r="J218" s="56">
        <v>27418.880000000001</v>
      </c>
      <c r="K218" s="56">
        <v>27412.36</v>
      </c>
      <c r="L218" s="56">
        <v>27621.87</v>
      </c>
      <c r="M218" s="77"/>
      <c r="N218" s="77"/>
      <c r="O218" s="77"/>
      <c r="P218" s="77"/>
      <c r="Q218" s="77"/>
      <c r="R218" s="77"/>
      <c r="S218" s="77"/>
      <c r="T218" s="132"/>
      <c r="U218" s="77"/>
      <c r="V218" s="139"/>
    </row>
    <row r="219" spans="1:25" ht="39.9" x14ac:dyDescent="0.3">
      <c r="A219" s="149"/>
      <c r="B219" s="134"/>
      <c r="C219" s="71" t="s">
        <v>123</v>
      </c>
      <c r="D219" s="38">
        <f t="shared" ref="D219:L219" si="69">IF(((D217="")*AND(D218="")),"",(D217-D218)*1)</f>
        <v>1806.010000000002</v>
      </c>
      <c r="E219" s="38">
        <f t="shared" si="69"/>
        <v>1809.9399999999987</v>
      </c>
      <c r="F219" s="38">
        <f t="shared" si="69"/>
        <v>1809.0400000000009</v>
      </c>
      <c r="G219" s="38">
        <f t="shared" si="69"/>
        <v>1896.3400000000001</v>
      </c>
      <c r="H219" s="38">
        <f t="shared" si="69"/>
        <v>1946.9599999999991</v>
      </c>
      <c r="I219" s="38">
        <f t="shared" si="69"/>
        <v>1874.239999999998</v>
      </c>
      <c r="J219" s="38">
        <f t="shared" si="69"/>
        <v>1833.7700000000004</v>
      </c>
      <c r="K219" s="38">
        <f t="shared" si="69"/>
        <v>1862.2000000000007</v>
      </c>
      <c r="L219" s="38">
        <f t="shared" si="69"/>
        <v>1838.010000000002</v>
      </c>
      <c r="M219" s="135"/>
      <c r="N219" s="135"/>
      <c r="O219" s="135"/>
      <c r="P219" s="135"/>
      <c r="Q219" s="135"/>
      <c r="R219" s="135"/>
      <c r="S219" s="135"/>
      <c r="T219" s="136"/>
      <c r="U219" s="135"/>
      <c r="V219" s="140"/>
    </row>
    <row r="220" spans="1:25" x14ac:dyDescent="0.3">
      <c r="A220" s="129">
        <v>42831</v>
      </c>
      <c r="B220" s="68" t="s">
        <v>124</v>
      </c>
      <c r="C220" s="71" t="s">
        <v>88</v>
      </c>
      <c r="D220" s="56">
        <v>29392.71</v>
      </c>
      <c r="E220" s="56">
        <v>29168.61</v>
      </c>
      <c r="F220" s="56">
        <v>29210.880000000001</v>
      </c>
      <c r="G220" s="56">
        <v>29220.75</v>
      </c>
      <c r="H220" s="56">
        <v>29354.14</v>
      </c>
      <c r="I220" s="56">
        <v>29367.07</v>
      </c>
      <c r="J220" s="56">
        <v>29186.98</v>
      </c>
      <c r="K220" s="56">
        <v>29215.86</v>
      </c>
      <c r="L220" s="56">
        <v>29427.65</v>
      </c>
      <c r="M220" s="69">
        <f>IF((L221=""),"",MAX(D222:L222))</f>
        <v>1991.4900000000016</v>
      </c>
      <c r="N220" s="69">
        <f>IF(L221="","",MIN(D222:L222))</f>
        <v>1866.130000000001</v>
      </c>
      <c r="O220" s="69">
        <f>IF((L222=""),"",AVERAGE(D222:L222))</f>
        <v>1917.6088888888889</v>
      </c>
      <c r="P220" s="69">
        <v>1600</v>
      </c>
      <c r="Q220" s="69">
        <v>2000</v>
      </c>
      <c r="R220" s="69">
        <f>IF((L221=""),"",((M220-N220)/(M220+N220))*100)</f>
        <v>3.249672077602265</v>
      </c>
      <c r="S220" s="69">
        <v>20</v>
      </c>
      <c r="T220" s="130" t="str">
        <f>IF(L221="","",IF(R221&lt;20,(IF(O220&gt;1730,IF(O220&lt;1970,"Pass","Fail"),"Fail"))))</f>
        <v>Pass</v>
      </c>
      <c r="U220" s="69">
        <v>1428</v>
      </c>
      <c r="V220" s="138"/>
      <c r="W220" s="56">
        <v>1730</v>
      </c>
      <c r="X220" s="56">
        <v>1970</v>
      </c>
      <c r="Y220" s="56">
        <v>6.2</v>
      </c>
    </row>
    <row r="221" spans="1:25" x14ac:dyDescent="0.3">
      <c r="A221" s="147"/>
      <c r="B221" s="76"/>
      <c r="C221" s="71" t="s">
        <v>89</v>
      </c>
      <c r="D221" s="56">
        <v>27498.45</v>
      </c>
      <c r="E221" s="56">
        <v>27302.48</v>
      </c>
      <c r="F221" s="56">
        <v>27311.31</v>
      </c>
      <c r="G221" s="56">
        <v>27229.26</v>
      </c>
      <c r="H221" s="56">
        <v>27391.11</v>
      </c>
      <c r="I221" s="56">
        <v>27410.23</v>
      </c>
      <c r="J221" s="56">
        <v>27281.08</v>
      </c>
      <c r="K221" s="56">
        <v>27324.11</v>
      </c>
      <c r="L221" s="56">
        <v>27538.14</v>
      </c>
      <c r="M221" s="77"/>
      <c r="N221" s="77"/>
      <c r="O221" s="77"/>
      <c r="P221" s="77"/>
      <c r="Q221" s="77"/>
      <c r="R221" s="77"/>
      <c r="S221" s="77"/>
      <c r="T221" s="132"/>
      <c r="U221" s="77"/>
      <c r="V221" s="139"/>
    </row>
    <row r="222" spans="1:25" ht="39.9" x14ac:dyDescent="0.3">
      <c r="A222" s="149"/>
      <c r="B222" s="134"/>
      <c r="C222" s="71" t="s">
        <v>123</v>
      </c>
      <c r="D222" s="38">
        <f t="shared" ref="D222:L222" si="70">IF(((D220="")*AND(D221="")),"",(D220-D221)*1)</f>
        <v>1894.2599999999984</v>
      </c>
      <c r="E222" s="38">
        <f t="shared" si="70"/>
        <v>1866.130000000001</v>
      </c>
      <c r="F222" s="38">
        <f t="shared" si="70"/>
        <v>1899.5699999999997</v>
      </c>
      <c r="G222" s="38">
        <f t="shared" si="70"/>
        <v>1991.4900000000016</v>
      </c>
      <c r="H222" s="38">
        <f t="shared" si="70"/>
        <v>1963.0299999999988</v>
      </c>
      <c r="I222" s="38">
        <f t="shared" si="70"/>
        <v>1956.8400000000001</v>
      </c>
      <c r="J222" s="38">
        <f t="shared" si="70"/>
        <v>1905.8999999999978</v>
      </c>
      <c r="K222" s="38">
        <f t="shared" si="70"/>
        <v>1891.75</v>
      </c>
      <c r="L222" s="38">
        <f t="shared" si="70"/>
        <v>1889.510000000002</v>
      </c>
      <c r="M222" s="135"/>
      <c r="N222" s="135"/>
      <c r="O222" s="135"/>
      <c r="P222" s="135"/>
      <c r="Q222" s="135"/>
      <c r="R222" s="135"/>
      <c r="S222" s="135"/>
      <c r="T222" s="136"/>
      <c r="U222" s="135"/>
      <c r="V222" s="140"/>
    </row>
    <row r="223" spans="1:25" x14ac:dyDescent="0.3">
      <c r="A223" s="129">
        <v>42835</v>
      </c>
      <c r="B223" s="68" t="s">
        <v>124</v>
      </c>
      <c r="C223" s="71" t="s">
        <v>88</v>
      </c>
      <c r="D223" s="56">
        <v>27005.86</v>
      </c>
      <c r="E223" s="56">
        <v>26864.91</v>
      </c>
      <c r="F223" s="56">
        <v>26921.21</v>
      </c>
      <c r="G223" s="56">
        <v>26788.07</v>
      </c>
      <c r="H223" s="56">
        <v>26843.86</v>
      </c>
      <c r="I223" s="56">
        <v>26919.78</v>
      </c>
      <c r="J223" s="56">
        <v>26825.87</v>
      </c>
      <c r="K223" s="56">
        <v>26794.48</v>
      </c>
      <c r="L223" s="56">
        <v>26954.67</v>
      </c>
      <c r="M223" s="69">
        <f>IF((L224=""),"",MAX(D225:L225))</f>
        <v>1909.3899999999994</v>
      </c>
      <c r="N223" s="69">
        <f>IF(L224="","",MIN(D225:L225))</f>
        <v>1783.8400000000001</v>
      </c>
      <c r="O223" s="69">
        <f>IF((L225=""),"",AVERAGE(D225:L225))</f>
        <v>1828.0655555555552</v>
      </c>
      <c r="P223" s="69">
        <v>1600</v>
      </c>
      <c r="Q223" s="69">
        <v>2000</v>
      </c>
      <c r="R223" s="69">
        <f>IF((L224=""),"",((M223-N223)/(M223+N223))*100)</f>
        <v>3.3994633423859137</v>
      </c>
      <c r="S223" s="69">
        <v>20</v>
      </c>
      <c r="T223" s="130" t="str">
        <f>IF(L224="","",IF(R224&lt;20,(IF(O223&gt;1730,IF(O223&lt;1970,"Pass","Fail"),"Fail"))))</f>
        <v>Pass</v>
      </c>
      <c r="U223" s="69">
        <v>1400</v>
      </c>
      <c r="V223" s="138"/>
      <c r="W223" s="56">
        <v>1730</v>
      </c>
      <c r="X223" s="56">
        <v>1970</v>
      </c>
      <c r="Y223" s="56">
        <v>6.2</v>
      </c>
    </row>
    <row r="224" spans="1:25" x14ac:dyDescent="0.3">
      <c r="A224" s="147"/>
      <c r="B224" s="76"/>
      <c r="C224" s="71" t="s">
        <v>89</v>
      </c>
      <c r="D224" s="56">
        <v>25209.71</v>
      </c>
      <c r="E224" s="56">
        <v>25081.07</v>
      </c>
      <c r="F224" s="56">
        <v>25129.35</v>
      </c>
      <c r="G224" s="56">
        <v>24920.55</v>
      </c>
      <c r="H224" s="56">
        <v>24934.47</v>
      </c>
      <c r="I224" s="56">
        <v>25056.15</v>
      </c>
      <c r="J224" s="56">
        <v>25017.41</v>
      </c>
      <c r="K224" s="56">
        <v>24963.09</v>
      </c>
      <c r="L224" s="56">
        <v>25154.32</v>
      </c>
      <c r="M224" s="77"/>
      <c r="N224" s="77"/>
      <c r="O224" s="77"/>
      <c r="P224" s="77"/>
      <c r="Q224" s="77"/>
      <c r="R224" s="77"/>
      <c r="S224" s="77"/>
      <c r="T224" s="132"/>
      <c r="U224" s="77"/>
      <c r="V224" s="139"/>
    </row>
    <row r="225" spans="1:25" ht="39.9" x14ac:dyDescent="0.3">
      <c r="A225" s="149"/>
      <c r="B225" s="134"/>
      <c r="C225" s="71" t="s">
        <v>123</v>
      </c>
      <c r="D225" s="38">
        <f t="shared" ref="D225:L225" si="71">IF(((D223="")*AND(D224="")),"",(D223-D224)*1)</f>
        <v>1796.1500000000015</v>
      </c>
      <c r="E225" s="38">
        <f t="shared" si="71"/>
        <v>1783.8400000000001</v>
      </c>
      <c r="F225" s="38">
        <f t="shared" si="71"/>
        <v>1791.8600000000006</v>
      </c>
      <c r="G225" s="38">
        <f t="shared" si="71"/>
        <v>1867.5200000000004</v>
      </c>
      <c r="H225" s="38">
        <f t="shared" si="71"/>
        <v>1909.3899999999994</v>
      </c>
      <c r="I225" s="38">
        <f t="shared" si="71"/>
        <v>1863.6299999999974</v>
      </c>
      <c r="J225" s="38">
        <f t="shared" si="71"/>
        <v>1808.4599999999991</v>
      </c>
      <c r="K225" s="38">
        <f t="shared" si="71"/>
        <v>1831.3899999999994</v>
      </c>
      <c r="L225" s="38">
        <f t="shared" si="71"/>
        <v>1800.3499999999985</v>
      </c>
      <c r="M225" s="135"/>
      <c r="N225" s="135"/>
      <c r="O225" s="135"/>
      <c r="P225" s="135"/>
      <c r="Q225" s="135"/>
      <c r="R225" s="135"/>
      <c r="S225" s="135"/>
      <c r="T225" s="136"/>
      <c r="U225" s="135"/>
      <c r="V225" s="140"/>
    </row>
    <row r="226" spans="1:25" x14ac:dyDescent="0.3">
      <c r="A226" s="129">
        <v>42838</v>
      </c>
      <c r="B226" s="68" t="s">
        <v>124</v>
      </c>
      <c r="C226" s="71" t="s">
        <v>88</v>
      </c>
      <c r="D226" s="56">
        <v>29322.53</v>
      </c>
      <c r="E226" s="56">
        <v>29165.63</v>
      </c>
      <c r="F226" s="56">
        <v>29138.58</v>
      </c>
      <c r="G226" s="56">
        <v>29144.12</v>
      </c>
      <c r="H226" s="56">
        <v>29374.93</v>
      </c>
      <c r="I226" s="56">
        <v>29284.15</v>
      </c>
      <c r="J226" s="56">
        <v>29157.03</v>
      </c>
      <c r="K226" s="56">
        <v>29121.05</v>
      </c>
      <c r="L226" s="56">
        <v>29322.51</v>
      </c>
      <c r="M226" s="69">
        <f>IF((L227=""),"",MAX(D228:L228))</f>
        <v>2034.1500000000015</v>
      </c>
      <c r="N226" s="69">
        <f>IF(L227="","",MIN(D228:L228))</f>
        <v>1839.6700000000019</v>
      </c>
      <c r="O226" s="69">
        <f>IF((L228=""),"",AVERAGE(D228:L228))</f>
        <v>1918.603333333333</v>
      </c>
      <c r="P226" s="69">
        <v>1600</v>
      </c>
      <c r="Q226" s="69">
        <v>2000</v>
      </c>
      <c r="R226" s="69">
        <f>IF((L227=""),"",((M226-N226)/(M226+N226))*100)</f>
        <v>5.0203674925525554</v>
      </c>
      <c r="S226" s="69">
        <v>20</v>
      </c>
      <c r="T226" s="130" t="str">
        <f>IF(L227="","",IF(R227&lt;20,(IF(O226&gt;1730,IF(O226&lt;1970,"Pass","Fail"),"Fail"))))</f>
        <v>Pass</v>
      </c>
      <c r="U226" s="69">
        <v>1428</v>
      </c>
      <c r="V226" s="138"/>
      <c r="W226" s="56">
        <v>1730</v>
      </c>
      <c r="X226" s="56">
        <v>1970</v>
      </c>
      <c r="Y226" s="56">
        <v>6.2</v>
      </c>
    </row>
    <row r="227" spans="1:25" x14ac:dyDescent="0.3">
      <c r="A227" s="147"/>
      <c r="B227" s="76"/>
      <c r="C227" s="71" t="s">
        <v>89</v>
      </c>
      <c r="D227" s="56">
        <v>27460.31</v>
      </c>
      <c r="E227" s="56">
        <v>27277.38</v>
      </c>
      <c r="F227" s="56">
        <v>27298.91</v>
      </c>
      <c r="G227" s="56">
        <v>27171.81</v>
      </c>
      <c r="H227" s="56">
        <v>27340.78</v>
      </c>
      <c r="I227" s="56">
        <v>27368.01</v>
      </c>
      <c r="J227" s="56">
        <v>27222.52</v>
      </c>
      <c r="K227" s="56">
        <v>27220.79</v>
      </c>
      <c r="L227" s="56">
        <v>27402.59</v>
      </c>
      <c r="M227" s="77"/>
      <c r="N227" s="77"/>
      <c r="O227" s="77"/>
      <c r="P227" s="77"/>
      <c r="Q227" s="77"/>
      <c r="R227" s="77"/>
      <c r="S227" s="77"/>
      <c r="T227" s="132"/>
      <c r="U227" s="77"/>
      <c r="V227" s="139"/>
    </row>
    <row r="228" spans="1:25" ht="39.9" x14ac:dyDescent="0.3">
      <c r="A228" s="149"/>
      <c r="B228" s="134"/>
      <c r="C228" s="71" t="s">
        <v>123</v>
      </c>
      <c r="D228" s="38">
        <f t="shared" ref="D228:L228" si="72">IF(((D226="")*AND(D227="")),"",(D226-D227)*1)</f>
        <v>1862.2199999999975</v>
      </c>
      <c r="E228" s="38">
        <f t="shared" si="72"/>
        <v>1888.25</v>
      </c>
      <c r="F228" s="38">
        <f t="shared" si="72"/>
        <v>1839.6700000000019</v>
      </c>
      <c r="G228" s="38">
        <f t="shared" si="72"/>
        <v>1972.3099999999977</v>
      </c>
      <c r="H228" s="38">
        <f t="shared" si="72"/>
        <v>2034.1500000000015</v>
      </c>
      <c r="I228" s="38">
        <f t="shared" si="72"/>
        <v>1916.1400000000031</v>
      </c>
      <c r="J228" s="38">
        <f t="shared" si="72"/>
        <v>1934.5099999999984</v>
      </c>
      <c r="K228" s="38">
        <f t="shared" si="72"/>
        <v>1900.2599999999984</v>
      </c>
      <c r="L228" s="38">
        <f t="shared" si="72"/>
        <v>1919.9199999999983</v>
      </c>
      <c r="M228" s="135"/>
      <c r="N228" s="135"/>
      <c r="O228" s="135"/>
      <c r="P228" s="135"/>
      <c r="Q228" s="135"/>
      <c r="R228" s="135"/>
      <c r="S228" s="135"/>
      <c r="T228" s="136"/>
      <c r="U228" s="135"/>
      <c r="V228" s="140"/>
    </row>
    <row r="229" spans="1:25" x14ac:dyDescent="0.3">
      <c r="A229" s="129">
        <v>42842</v>
      </c>
      <c r="B229" s="68" t="s">
        <v>124</v>
      </c>
      <c r="C229" s="71" t="s">
        <v>88</v>
      </c>
      <c r="D229" s="56">
        <v>29332.16</v>
      </c>
      <c r="E229" s="56">
        <v>29170.53</v>
      </c>
      <c r="F229" s="56">
        <v>29249.69</v>
      </c>
      <c r="G229" s="56">
        <v>29202.74</v>
      </c>
      <c r="H229" s="56">
        <v>29459.38</v>
      </c>
      <c r="I229" s="56">
        <v>29430.92</v>
      </c>
      <c r="J229" s="56">
        <v>29218.39</v>
      </c>
      <c r="K229" s="56">
        <v>29234.01</v>
      </c>
      <c r="L229" s="56">
        <v>29410.959999999999</v>
      </c>
      <c r="M229" s="69">
        <f>IF((L230=""),"",MAX(D231:L231))</f>
        <v>1997.7200000000012</v>
      </c>
      <c r="N229" s="69">
        <f>IF(L230="","",MIN(D231:L231))</f>
        <v>1792.8099999999977</v>
      </c>
      <c r="O229" s="69">
        <f>IF((L231=""),"",AVERAGE(D231:L231))</f>
        <v>1883.7144444444436</v>
      </c>
      <c r="P229" s="69">
        <v>1600</v>
      </c>
      <c r="Q229" s="69">
        <v>2000</v>
      </c>
      <c r="R229" s="69">
        <f>IF((L230=""),"",((M229-N229)/(M229+N229))*100)</f>
        <v>5.4058403442263625</v>
      </c>
      <c r="S229" s="69">
        <v>20</v>
      </c>
      <c r="T229" s="130" t="str">
        <f>IF(L230="","",IF(R230&lt;20,(IF(O229&gt;1730,IF(O229&lt;1970,"Pass","Fail"),"Fail"))))</f>
        <v>Pass</v>
      </c>
      <c r="U229" s="69">
        <v>1335</v>
      </c>
      <c r="V229" s="138"/>
      <c r="W229" s="56">
        <v>1730</v>
      </c>
      <c r="X229" s="56">
        <v>1970</v>
      </c>
      <c r="Y229" s="56">
        <v>6.2</v>
      </c>
    </row>
    <row r="230" spans="1:25" x14ac:dyDescent="0.3">
      <c r="A230" s="147"/>
      <c r="B230" s="76"/>
      <c r="C230" s="71" t="s">
        <v>89</v>
      </c>
      <c r="D230" s="56">
        <v>27530.25</v>
      </c>
      <c r="E230" s="56">
        <v>27336.36</v>
      </c>
      <c r="F230" s="56">
        <v>27456.880000000001</v>
      </c>
      <c r="G230" s="56">
        <v>27311.34</v>
      </c>
      <c r="H230" s="56">
        <v>27461.66</v>
      </c>
      <c r="I230" s="56">
        <v>27496.13</v>
      </c>
      <c r="J230" s="56">
        <v>27323.360000000001</v>
      </c>
      <c r="K230" s="56">
        <v>27320.27</v>
      </c>
      <c r="L230" s="56">
        <v>27519.1</v>
      </c>
      <c r="M230" s="77"/>
      <c r="N230" s="77"/>
      <c r="O230" s="77"/>
      <c r="P230" s="77"/>
      <c r="Q230" s="77"/>
      <c r="R230" s="77"/>
      <c r="S230" s="77"/>
      <c r="T230" s="132"/>
      <c r="U230" s="77"/>
      <c r="V230" s="139"/>
    </row>
    <row r="231" spans="1:25" ht="39.9" x14ac:dyDescent="0.3">
      <c r="A231" s="149"/>
      <c r="B231" s="134"/>
      <c r="C231" s="71" t="s">
        <v>123</v>
      </c>
      <c r="D231" s="38">
        <f t="shared" ref="D231:L231" si="73">IF(((D229="")*AND(D230="")),"",(D229-D230)*1)</f>
        <v>1801.9099999999999</v>
      </c>
      <c r="E231" s="38">
        <f t="shared" si="73"/>
        <v>1834.1699999999983</v>
      </c>
      <c r="F231" s="38">
        <f t="shared" si="73"/>
        <v>1792.8099999999977</v>
      </c>
      <c r="G231" s="38">
        <f t="shared" si="73"/>
        <v>1891.4000000000015</v>
      </c>
      <c r="H231" s="38">
        <f t="shared" si="73"/>
        <v>1997.7200000000012</v>
      </c>
      <c r="I231" s="38">
        <f t="shared" si="73"/>
        <v>1934.7899999999972</v>
      </c>
      <c r="J231" s="38">
        <f t="shared" si="73"/>
        <v>1895.0299999999988</v>
      </c>
      <c r="K231" s="38">
        <f t="shared" si="73"/>
        <v>1913.739999999998</v>
      </c>
      <c r="L231" s="38">
        <f t="shared" si="73"/>
        <v>1891.8600000000006</v>
      </c>
      <c r="M231" s="135"/>
      <c r="N231" s="135"/>
      <c r="O231" s="135"/>
      <c r="P231" s="135"/>
      <c r="Q231" s="135"/>
      <c r="R231" s="135"/>
      <c r="S231" s="135"/>
      <c r="T231" s="136"/>
      <c r="U231" s="135"/>
      <c r="V231" s="140"/>
    </row>
    <row r="232" spans="1:25" x14ac:dyDescent="0.3">
      <c r="A232" s="129">
        <v>42845</v>
      </c>
      <c r="B232" s="68" t="s">
        <v>124</v>
      </c>
      <c r="C232" s="71" t="s">
        <v>88</v>
      </c>
      <c r="D232" s="56">
        <v>29478.22</v>
      </c>
      <c r="E232" s="56">
        <v>29313.02</v>
      </c>
      <c r="F232" s="56">
        <v>29362.3</v>
      </c>
      <c r="G232" s="56">
        <v>29277.79</v>
      </c>
      <c r="H232" s="56">
        <v>29494.15</v>
      </c>
      <c r="I232" s="56">
        <v>29437.17</v>
      </c>
      <c r="J232" s="56">
        <v>29286.23</v>
      </c>
      <c r="K232" s="56">
        <v>29290.83</v>
      </c>
      <c r="L232" s="56">
        <v>29516.44</v>
      </c>
      <c r="M232" s="69">
        <f>IF((L233=""),"",MAX(D234:L234))</f>
        <v>1982.5</v>
      </c>
      <c r="N232" s="69">
        <f>IF(L233="","",MIN(D234:L234))</f>
        <v>1748.2599999999984</v>
      </c>
      <c r="O232" s="69">
        <f>IF((L234=""),"",AVERAGE(D234:L234))</f>
        <v>1893.882222222222</v>
      </c>
      <c r="P232" s="69">
        <v>1600</v>
      </c>
      <c r="Q232" s="69">
        <v>2000</v>
      </c>
      <c r="R232" s="69">
        <f>IF((L233=""),"",((M232-N232)/(M232+N232))*100)</f>
        <v>6.2786134728581233</v>
      </c>
      <c r="S232" s="69">
        <v>20</v>
      </c>
      <c r="T232" s="130" t="str">
        <f>IF(L233="","",IF(R233&lt;20,(IF(O232&gt;1730,IF(O232&lt;1970,"Pass","Fail"),"Fail"))))</f>
        <v>Pass</v>
      </c>
      <c r="U232" s="69">
        <v>1159</v>
      </c>
      <c r="V232" s="138"/>
      <c r="W232" s="56">
        <v>1730</v>
      </c>
      <c r="X232" s="56">
        <v>1970</v>
      </c>
      <c r="Y232" s="56">
        <v>6.2</v>
      </c>
    </row>
    <row r="233" spans="1:25" x14ac:dyDescent="0.3">
      <c r="A233" s="147"/>
      <c r="B233" s="76"/>
      <c r="C233" s="71" t="s">
        <v>89</v>
      </c>
      <c r="D233" s="56">
        <v>27631.09</v>
      </c>
      <c r="E233" s="56">
        <v>27451.57</v>
      </c>
      <c r="F233" s="56">
        <v>27614.04</v>
      </c>
      <c r="G233" s="56">
        <v>27314.82</v>
      </c>
      <c r="H233" s="56">
        <v>27511.65</v>
      </c>
      <c r="I233" s="56">
        <v>27496.47</v>
      </c>
      <c r="J233" s="56">
        <v>27369.73</v>
      </c>
      <c r="K233" s="56">
        <v>27364.99</v>
      </c>
      <c r="L233" s="56">
        <v>27656.85</v>
      </c>
      <c r="M233" s="77"/>
      <c r="N233" s="77"/>
      <c r="O233" s="77"/>
      <c r="P233" s="77"/>
      <c r="Q233" s="77"/>
      <c r="R233" s="77"/>
      <c r="S233" s="77"/>
      <c r="T233" s="132"/>
      <c r="U233" s="77"/>
      <c r="V233" s="139"/>
    </row>
    <row r="234" spans="1:25" ht="39.9" x14ac:dyDescent="0.3">
      <c r="A234" s="149"/>
      <c r="B234" s="134"/>
      <c r="C234" s="71" t="s">
        <v>123</v>
      </c>
      <c r="D234" s="38">
        <f t="shared" ref="D234:L234" si="74">IF(((D232="")*AND(D233="")),"",(D232-D233)*1)</f>
        <v>1847.130000000001</v>
      </c>
      <c r="E234" s="38">
        <f t="shared" si="74"/>
        <v>1861.4500000000007</v>
      </c>
      <c r="F234" s="38">
        <f t="shared" si="74"/>
        <v>1748.2599999999984</v>
      </c>
      <c r="G234" s="38">
        <f t="shared" si="74"/>
        <v>1962.9700000000012</v>
      </c>
      <c r="H234" s="38">
        <f t="shared" si="74"/>
        <v>1982.5</v>
      </c>
      <c r="I234" s="38">
        <f t="shared" si="74"/>
        <v>1940.6999999999971</v>
      </c>
      <c r="J234" s="38">
        <f t="shared" si="74"/>
        <v>1916.5</v>
      </c>
      <c r="K234" s="38">
        <f t="shared" si="74"/>
        <v>1925.8400000000001</v>
      </c>
      <c r="L234" s="38">
        <f t="shared" si="74"/>
        <v>1859.5900000000001</v>
      </c>
      <c r="M234" s="135"/>
      <c r="N234" s="135"/>
      <c r="O234" s="135"/>
      <c r="P234" s="135"/>
      <c r="Q234" s="135"/>
      <c r="R234" s="135"/>
      <c r="S234" s="135"/>
      <c r="T234" s="136"/>
      <c r="U234" s="135"/>
      <c r="V234" s="140"/>
    </row>
    <row r="235" spans="1:25" x14ac:dyDescent="0.3">
      <c r="A235" s="129">
        <v>42850</v>
      </c>
      <c r="B235" s="68" t="s">
        <v>124</v>
      </c>
      <c r="C235" s="71" t="s">
        <v>88</v>
      </c>
      <c r="D235" s="56">
        <v>29300.57</v>
      </c>
      <c r="E235" s="56">
        <v>29114.97</v>
      </c>
      <c r="F235" s="56">
        <v>29099.31</v>
      </c>
      <c r="G235" s="56">
        <v>29104.44</v>
      </c>
      <c r="H235" s="56">
        <v>29312</v>
      </c>
      <c r="I235" s="56">
        <v>29275.81</v>
      </c>
      <c r="J235" s="56">
        <v>29087.59</v>
      </c>
      <c r="K235" s="56">
        <v>29120.76</v>
      </c>
      <c r="L235" s="56">
        <v>29368.89</v>
      </c>
      <c r="M235" s="69">
        <f>IF((L236=""),"",MAX(D237:L237))</f>
        <v>1990.2599999999984</v>
      </c>
      <c r="N235" s="69">
        <f>IF(L236="","",MIN(D237:L237))</f>
        <v>1834.6000000000022</v>
      </c>
      <c r="O235" s="69">
        <f>IF((L237=""),"",AVERAGE(D237:L237))</f>
        <v>1884.4799999999996</v>
      </c>
      <c r="P235" s="69">
        <v>1600</v>
      </c>
      <c r="Q235" s="69">
        <v>2000</v>
      </c>
      <c r="R235" s="69">
        <f>IF((L236=""),"",((M235-N235)/(M235+N235))*100)</f>
        <v>4.069691439686582</v>
      </c>
      <c r="S235" s="69">
        <v>20</v>
      </c>
      <c r="T235" s="130" t="str">
        <f>IF(L236="","",IF(R236&lt;20,(IF(O235&gt;1730,IF(O235&lt;1970,"Pass","Fail"),"Fail"))))</f>
        <v>Pass</v>
      </c>
      <c r="U235" s="69">
        <v>102</v>
      </c>
      <c r="V235" s="138"/>
      <c r="W235" s="56">
        <v>1730</v>
      </c>
      <c r="X235" s="56">
        <v>1970</v>
      </c>
      <c r="Y235" s="56">
        <v>6.2</v>
      </c>
    </row>
    <row r="236" spans="1:25" x14ac:dyDescent="0.3">
      <c r="A236" s="147"/>
      <c r="B236" s="76"/>
      <c r="C236" s="71" t="s">
        <v>89</v>
      </c>
      <c r="D236" s="56">
        <v>27464.720000000001</v>
      </c>
      <c r="E236" s="56">
        <v>27280.37</v>
      </c>
      <c r="F236" s="56">
        <v>27259.67</v>
      </c>
      <c r="G236" s="56">
        <v>27186.880000000001</v>
      </c>
      <c r="H236" s="56">
        <v>27321.74</v>
      </c>
      <c r="I236" s="56">
        <v>27377.06</v>
      </c>
      <c r="J236" s="56">
        <v>27221.32</v>
      </c>
      <c r="K236" s="56">
        <v>27234.65</v>
      </c>
      <c r="L236" s="56">
        <v>27477.61</v>
      </c>
      <c r="M236" s="77"/>
      <c r="N236" s="77"/>
      <c r="O236" s="77"/>
      <c r="P236" s="77"/>
      <c r="Q236" s="77"/>
      <c r="R236" s="77"/>
      <c r="S236" s="77"/>
      <c r="T236" s="132"/>
      <c r="U236" s="77"/>
      <c r="V236" s="139"/>
    </row>
    <row r="237" spans="1:25" ht="39.9" x14ac:dyDescent="0.3">
      <c r="A237" s="149"/>
      <c r="B237" s="134"/>
      <c r="C237" s="71" t="s">
        <v>123</v>
      </c>
      <c r="D237" s="38">
        <f t="shared" ref="D237:L237" si="75">IF(((D235="")*AND(D236="")),"",(D235-D236)*1)</f>
        <v>1835.8499999999985</v>
      </c>
      <c r="E237" s="38">
        <f t="shared" si="75"/>
        <v>1834.6000000000022</v>
      </c>
      <c r="F237" s="38">
        <f t="shared" si="75"/>
        <v>1839.6400000000031</v>
      </c>
      <c r="G237" s="38">
        <f t="shared" si="75"/>
        <v>1917.5599999999977</v>
      </c>
      <c r="H237" s="38">
        <f t="shared" si="75"/>
        <v>1990.2599999999984</v>
      </c>
      <c r="I237" s="38">
        <f t="shared" si="75"/>
        <v>1898.75</v>
      </c>
      <c r="J237" s="38">
        <f t="shared" si="75"/>
        <v>1866.2700000000004</v>
      </c>
      <c r="K237" s="38">
        <f t="shared" si="75"/>
        <v>1886.1099999999969</v>
      </c>
      <c r="L237" s="38">
        <f t="shared" si="75"/>
        <v>1891.2799999999988</v>
      </c>
      <c r="M237" s="135"/>
      <c r="N237" s="135"/>
      <c r="O237" s="135"/>
      <c r="P237" s="135"/>
      <c r="Q237" s="135"/>
      <c r="R237" s="135"/>
      <c r="S237" s="135"/>
      <c r="T237" s="136"/>
      <c r="U237" s="135"/>
      <c r="V237" s="140"/>
    </row>
    <row r="238" spans="1:25" x14ac:dyDescent="0.3">
      <c r="A238" s="129">
        <v>42856</v>
      </c>
      <c r="B238" s="68" t="s">
        <v>124</v>
      </c>
      <c r="C238" s="71" t="s">
        <v>88</v>
      </c>
      <c r="D238" s="56">
        <v>29359.56</v>
      </c>
      <c r="E238" s="56">
        <v>29169.89</v>
      </c>
      <c r="F238" s="56">
        <v>29150.959999999999</v>
      </c>
      <c r="G238" s="56">
        <v>29172.080000000002</v>
      </c>
      <c r="H238" s="56">
        <v>29398.41</v>
      </c>
      <c r="I238" s="56">
        <v>29354.75</v>
      </c>
      <c r="J238" s="56">
        <v>29146.959999999999</v>
      </c>
      <c r="K238" s="56">
        <v>29168.83</v>
      </c>
      <c r="L238" s="56">
        <v>29428.11</v>
      </c>
      <c r="M238" s="69">
        <f>IF((L239=""),"",MAX(D240:L240))</f>
        <v>1983.7999999999993</v>
      </c>
      <c r="N238" s="69">
        <f>IF(L239="","",MIN(D240:L240))</f>
        <v>1819.5599999999977</v>
      </c>
      <c r="O238" s="69">
        <f>IF((L240=""),"",AVERAGE(D240:L240))</f>
        <v>1878.0833333333333</v>
      </c>
      <c r="P238" s="69">
        <v>1600</v>
      </c>
      <c r="Q238" s="69">
        <v>2000</v>
      </c>
      <c r="R238" s="69">
        <f>IF((L239=""),"",((M238-N238)/(M238+N238))*100)</f>
        <v>4.3182869883471913</v>
      </c>
      <c r="S238" s="69">
        <v>20</v>
      </c>
      <c r="T238" s="130" t="str">
        <f>IF(L239="","",IF(R239&lt;20,(IF(O238&gt;1730,IF(O238&lt;1970,"Pass","Fail"),"Fail"))))</f>
        <v>Pass</v>
      </c>
      <c r="U238" s="69">
        <v>102</v>
      </c>
      <c r="V238" s="138"/>
      <c r="W238" s="56">
        <v>1730</v>
      </c>
      <c r="X238" s="56">
        <v>1970</v>
      </c>
      <c r="Y238" s="56">
        <v>6.2</v>
      </c>
    </row>
    <row r="239" spans="1:25" x14ac:dyDescent="0.3">
      <c r="A239" s="147"/>
      <c r="B239" s="76"/>
      <c r="C239" s="71" t="s">
        <v>89</v>
      </c>
      <c r="D239" s="56">
        <v>27532.74</v>
      </c>
      <c r="E239" s="56">
        <v>27334.29</v>
      </c>
      <c r="F239" s="56">
        <v>27331.4</v>
      </c>
      <c r="G239" s="56">
        <v>27252.02</v>
      </c>
      <c r="H239" s="56">
        <v>27414.61</v>
      </c>
      <c r="I239" s="56">
        <v>27470.46</v>
      </c>
      <c r="J239" s="56">
        <v>27288.62</v>
      </c>
      <c r="K239" s="56">
        <v>27294.77</v>
      </c>
      <c r="L239" s="56">
        <v>27527.89</v>
      </c>
      <c r="M239" s="77"/>
      <c r="N239" s="77"/>
      <c r="O239" s="77"/>
      <c r="P239" s="77"/>
      <c r="Q239" s="77"/>
      <c r="R239" s="77"/>
      <c r="S239" s="77"/>
      <c r="T239" s="132"/>
      <c r="U239" s="77"/>
      <c r="V239" s="139"/>
    </row>
    <row r="240" spans="1:25" ht="39.9" x14ac:dyDescent="0.3">
      <c r="A240" s="149"/>
      <c r="B240" s="134"/>
      <c r="C240" s="71" t="s">
        <v>123</v>
      </c>
      <c r="D240" s="38">
        <f t="shared" ref="D240:L240" si="76">IF(((D238="")*AND(D239="")),"",(D238-D239)*1)</f>
        <v>1826.8199999999997</v>
      </c>
      <c r="E240" s="38">
        <f t="shared" si="76"/>
        <v>1835.5999999999985</v>
      </c>
      <c r="F240" s="38">
        <f t="shared" si="76"/>
        <v>1819.5599999999977</v>
      </c>
      <c r="G240" s="38">
        <f t="shared" si="76"/>
        <v>1920.0600000000013</v>
      </c>
      <c r="H240" s="38">
        <f t="shared" si="76"/>
        <v>1983.7999999999993</v>
      </c>
      <c r="I240" s="38">
        <f t="shared" si="76"/>
        <v>1884.2900000000009</v>
      </c>
      <c r="J240" s="38">
        <f t="shared" si="76"/>
        <v>1858.3400000000001</v>
      </c>
      <c r="K240" s="38">
        <f t="shared" si="76"/>
        <v>1874.0600000000013</v>
      </c>
      <c r="L240" s="38">
        <f t="shared" si="76"/>
        <v>1900.2200000000012</v>
      </c>
      <c r="M240" s="135"/>
      <c r="N240" s="135"/>
      <c r="O240" s="135"/>
      <c r="P240" s="135"/>
      <c r="Q240" s="135"/>
      <c r="R240" s="135"/>
      <c r="S240" s="135"/>
      <c r="T240" s="136"/>
      <c r="U240" s="135"/>
      <c r="V240" s="140"/>
    </row>
    <row r="241" spans="1:25" x14ac:dyDescent="0.3">
      <c r="A241" s="129">
        <v>42859</v>
      </c>
      <c r="B241" s="68" t="s">
        <v>124</v>
      </c>
      <c r="C241" s="71" t="s">
        <v>88</v>
      </c>
      <c r="D241" s="56">
        <v>29362.17</v>
      </c>
      <c r="E241" s="56">
        <v>29141.98</v>
      </c>
      <c r="F241" s="56">
        <v>29127.18</v>
      </c>
      <c r="G241" s="56">
        <v>29112.82</v>
      </c>
      <c r="H241" s="56">
        <v>29350.73</v>
      </c>
      <c r="I241" s="56">
        <v>29288.3</v>
      </c>
      <c r="J241" s="56">
        <v>29115.62</v>
      </c>
      <c r="K241" s="56">
        <v>29105.83</v>
      </c>
      <c r="L241" s="56">
        <v>29318.639999999999</v>
      </c>
      <c r="M241" s="69">
        <f>IF((L242=""),"",MAX(D243:L243))</f>
        <v>1937.9399999999987</v>
      </c>
      <c r="N241" s="69">
        <f>IF(L242="","",MIN(D243:L243))</f>
        <v>1778.9799999999996</v>
      </c>
      <c r="O241" s="69">
        <f>IF((L243=""),"",AVERAGE(D243:L243))</f>
        <v>1854.1588888888882</v>
      </c>
      <c r="P241" s="69">
        <v>1600</v>
      </c>
      <c r="Q241" s="69">
        <v>2000</v>
      </c>
      <c r="R241" s="69">
        <f>IF((L242=""),"",((M241-N241)/(M241+N241))*100)</f>
        <v>4.2766591694198208</v>
      </c>
      <c r="S241" s="69">
        <v>20</v>
      </c>
      <c r="T241" s="130" t="str">
        <f>IF(L242="","",IF(R242&lt;20,(IF(O241&gt;1730,IF(O241&lt;1970,"Pass","Fail"),"Fail"))))</f>
        <v>Pass</v>
      </c>
      <c r="U241" s="69">
        <v>102</v>
      </c>
      <c r="V241" s="138"/>
      <c r="W241" s="56">
        <v>1730</v>
      </c>
      <c r="X241" s="56">
        <v>1970</v>
      </c>
      <c r="Y241" s="56">
        <v>6.2</v>
      </c>
    </row>
    <row r="242" spans="1:25" x14ac:dyDescent="0.3">
      <c r="A242" s="147"/>
      <c r="B242" s="76"/>
      <c r="C242" s="71" t="s">
        <v>89</v>
      </c>
      <c r="D242" s="56">
        <v>27543.43</v>
      </c>
      <c r="E242" s="56">
        <v>27327.33</v>
      </c>
      <c r="F242" s="56">
        <v>27348.2</v>
      </c>
      <c r="G242" s="56">
        <v>27202.69</v>
      </c>
      <c r="H242" s="56">
        <v>27412.79</v>
      </c>
      <c r="I242" s="56">
        <v>27398.080000000002</v>
      </c>
      <c r="J242" s="56">
        <v>27266.12</v>
      </c>
      <c r="K242" s="56">
        <v>27234.22</v>
      </c>
      <c r="L242" s="56">
        <v>27502.98</v>
      </c>
      <c r="M242" s="77"/>
      <c r="N242" s="77"/>
      <c r="O242" s="77"/>
      <c r="P242" s="77"/>
      <c r="Q242" s="77"/>
      <c r="R242" s="77"/>
      <c r="S242" s="77"/>
      <c r="T242" s="132"/>
      <c r="U242" s="77"/>
      <c r="V242" s="139"/>
    </row>
    <row r="243" spans="1:25" ht="39.9" x14ac:dyDescent="0.3">
      <c r="A243" s="149"/>
      <c r="B243" s="134"/>
      <c r="C243" s="71" t="s">
        <v>123</v>
      </c>
      <c r="D243" s="38">
        <f t="shared" ref="D243:L243" si="77">IF(((D241="")*AND(D242="")),"",(D241-D242)*1)</f>
        <v>1818.739999999998</v>
      </c>
      <c r="E243" s="38">
        <f t="shared" si="77"/>
        <v>1814.6499999999978</v>
      </c>
      <c r="F243" s="38">
        <f t="shared" si="77"/>
        <v>1778.9799999999996</v>
      </c>
      <c r="G243" s="38">
        <f t="shared" si="77"/>
        <v>1910.130000000001</v>
      </c>
      <c r="H243" s="38">
        <f t="shared" si="77"/>
        <v>1937.9399999999987</v>
      </c>
      <c r="I243" s="38">
        <f t="shared" si="77"/>
        <v>1890.2199999999975</v>
      </c>
      <c r="J243" s="38">
        <f t="shared" si="77"/>
        <v>1849.5</v>
      </c>
      <c r="K243" s="38">
        <f t="shared" si="77"/>
        <v>1871.6100000000006</v>
      </c>
      <c r="L243" s="38">
        <f t="shared" si="77"/>
        <v>1815.6599999999999</v>
      </c>
      <c r="M243" s="135"/>
      <c r="N243" s="135"/>
      <c r="O243" s="135"/>
      <c r="P243" s="135"/>
      <c r="Q243" s="135"/>
      <c r="R243" s="135"/>
      <c r="S243" s="135"/>
      <c r="T243" s="136"/>
      <c r="U243" s="135"/>
      <c r="V243" s="140"/>
    </row>
    <row r="244" spans="1:25" x14ac:dyDescent="0.3">
      <c r="A244" s="129">
        <v>42862</v>
      </c>
      <c r="B244" s="68" t="s">
        <v>124</v>
      </c>
      <c r="C244" s="71" t="s">
        <v>88</v>
      </c>
      <c r="D244" s="56">
        <v>29260.21</v>
      </c>
      <c r="E244" s="56">
        <v>29064.880000000001</v>
      </c>
      <c r="F244" s="56">
        <v>29034.83</v>
      </c>
      <c r="G244" s="56">
        <v>29058</v>
      </c>
      <c r="H244" s="56">
        <v>29282.55</v>
      </c>
      <c r="I244" s="56">
        <v>29231.75</v>
      </c>
      <c r="J244" s="56">
        <v>29051.49</v>
      </c>
      <c r="K244" s="56">
        <v>29054.17</v>
      </c>
      <c r="L244" s="56">
        <v>29263.77</v>
      </c>
      <c r="M244" s="69">
        <f>IF((L245=""),"",MAX(D246:L246))</f>
        <v>1957.0499999999993</v>
      </c>
      <c r="N244" s="69">
        <f>IF(L245="","",MIN(D246:L246))</f>
        <v>1808.4699999999975</v>
      </c>
      <c r="O244" s="69">
        <f>IF((L246=""),"",AVERAGE(D246:L246))</f>
        <v>1856.9688888888877</v>
      </c>
      <c r="P244" s="69">
        <v>1600</v>
      </c>
      <c r="Q244" s="69">
        <v>2000</v>
      </c>
      <c r="R244" s="69">
        <f>IF((L245=""),"",((M244-N244)/(M244+N244))*100)</f>
        <v>3.9458029701077639</v>
      </c>
      <c r="S244" s="69">
        <v>20</v>
      </c>
      <c r="T244" s="130" t="str">
        <f>IF(L245="","",IF(R245&lt;20,(IF(O244&gt;1730,IF(O244&lt;1970,"Pass","Fail"),"Fail"))))</f>
        <v>Pass</v>
      </c>
      <c r="U244" s="69">
        <v>1428</v>
      </c>
      <c r="V244" s="138"/>
      <c r="W244" s="56">
        <v>1730</v>
      </c>
      <c r="X244" s="56">
        <v>1970</v>
      </c>
      <c r="Y244" s="56">
        <v>6.2</v>
      </c>
    </row>
    <row r="245" spans="1:25" x14ac:dyDescent="0.3">
      <c r="A245" s="147"/>
      <c r="B245" s="76"/>
      <c r="C245" s="71" t="s">
        <v>89</v>
      </c>
      <c r="D245" s="56">
        <v>27451.74</v>
      </c>
      <c r="E245" s="56">
        <v>27255.9</v>
      </c>
      <c r="F245" s="56">
        <v>27225.9</v>
      </c>
      <c r="G245" s="56">
        <v>27167.08</v>
      </c>
      <c r="H245" s="56">
        <v>27325.5</v>
      </c>
      <c r="I245" s="56">
        <v>27353.33</v>
      </c>
      <c r="J245" s="144">
        <v>27211.9</v>
      </c>
      <c r="K245" s="144">
        <v>27190.33</v>
      </c>
      <c r="L245" s="144">
        <v>27407.25</v>
      </c>
      <c r="M245" s="77"/>
      <c r="N245" s="77"/>
      <c r="O245" s="77"/>
      <c r="P245" s="77"/>
      <c r="Q245" s="77"/>
      <c r="R245" s="77"/>
      <c r="S245" s="77"/>
      <c r="T245" s="132"/>
      <c r="U245" s="77"/>
      <c r="V245" s="139"/>
    </row>
    <row r="246" spans="1:25" ht="39.9" x14ac:dyDescent="0.3">
      <c r="A246" s="149"/>
      <c r="B246" s="134"/>
      <c r="C246" s="71" t="s">
        <v>123</v>
      </c>
      <c r="D246" s="38">
        <f t="shared" ref="D246:L246" si="78">IF(((D244="")*AND(D245="")),"",(D244-D245)*1)</f>
        <v>1808.4699999999975</v>
      </c>
      <c r="E246" s="38">
        <f t="shared" si="78"/>
        <v>1808.9799999999996</v>
      </c>
      <c r="F246" s="38">
        <f t="shared" si="78"/>
        <v>1808.9300000000003</v>
      </c>
      <c r="G246" s="38">
        <f t="shared" si="78"/>
        <v>1890.9199999999983</v>
      </c>
      <c r="H246" s="38">
        <f t="shared" si="78"/>
        <v>1957.0499999999993</v>
      </c>
      <c r="I246" s="38">
        <f t="shared" si="78"/>
        <v>1878.4199999999983</v>
      </c>
      <c r="J246" s="38">
        <f t="shared" si="78"/>
        <v>1839.5900000000001</v>
      </c>
      <c r="K246" s="38">
        <f t="shared" si="78"/>
        <v>1863.8399999999965</v>
      </c>
      <c r="L246" s="38">
        <f t="shared" si="78"/>
        <v>1856.5200000000004</v>
      </c>
      <c r="M246" s="135"/>
      <c r="N246" s="135"/>
      <c r="O246" s="135"/>
      <c r="P246" s="135"/>
      <c r="Q246" s="135"/>
      <c r="R246" s="135"/>
      <c r="S246" s="135"/>
      <c r="T246" s="136"/>
      <c r="U246" s="135"/>
      <c r="V246" s="140"/>
    </row>
    <row r="247" spans="1:25" x14ac:dyDescent="0.3">
      <c r="A247" s="129">
        <v>42866</v>
      </c>
      <c r="B247" s="68" t="s">
        <v>124</v>
      </c>
      <c r="C247" s="71" t="s">
        <v>88</v>
      </c>
      <c r="D247" s="56">
        <v>29291.3</v>
      </c>
      <c r="E247" s="56">
        <v>29092.67</v>
      </c>
      <c r="F247" s="56">
        <v>29095.7</v>
      </c>
      <c r="G247" s="56">
        <v>29102.89</v>
      </c>
      <c r="H247" s="56">
        <v>29267.17</v>
      </c>
      <c r="I247" s="56">
        <v>29261.41</v>
      </c>
      <c r="J247" s="144">
        <v>29081.69</v>
      </c>
      <c r="K247" s="144">
        <v>29112</v>
      </c>
      <c r="L247" s="144">
        <v>29319.13</v>
      </c>
      <c r="M247" s="69">
        <f>IF((L248=""),"",MAX(D249:L249))</f>
        <v>1973.3199999999997</v>
      </c>
      <c r="N247" s="69">
        <f>IF(L248="","",MIN(D249:L249))</f>
        <v>1793.7400000000016</v>
      </c>
      <c r="O247" s="69">
        <f>IF((L249=""),"",AVERAGE(D249:L249))</f>
        <v>1858.0766666666666</v>
      </c>
      <c r="P247" s="69">
        <v>1600</v>
      </c>
      <c r="Q247" s="69">
        <v>2000</v>
      </c>
      <c r="R247" s="69">
        <f>IF((L248=""),"",((M247-N247)/(M247+N247))*100)</f>
        <v>4.7671128147679633</v>
      </c>
      <c r="S247" s="69">
        <v>20</v>
      </c>
      <c r="T247" s="130" t="str">
        <f>IF(L248="","",IF(R248&lt;20,(IF(O247&gt;1730,IF(O247&lt;1970,"Pass","Fail"),"Fail"))))</f>
        <v>Pass</v>
      </c>
      <c r="U247" s="69">
        <v>1428</v>
      </c>
      <c r="V247" s="138"/>
      <c r="W247" s="56">
        <v>1730</v>
      </c>
      <c r="X247" s="56">
        <v>1970</v>
      </c>
      <c r="Y247" s="56">
        <v>6.2</v>
      </c>
    </row>
    <row r="248" spans="1:25" x14ac:dyDescent="0.3">
      <c r="A248" s="147"/>
      <c r="B248" s="76"/>
      <c r="C248" s="71" t="s">
        <v>89</v>
      </c>
      <c r="D248" s="56">
        <v>27495.83</v>
      </c>
      <c r="E248" s="56">
        <v>27263</v>
      </c>
      <c r="F248" s="56">
        <v>27301.96</v>
      </c>
      <c r="G248" s="56">
        <v>27278.03</v>
      </c>
      <c r="H248" s="56">
        <v>27293.85</v>
      </c>
      <c r="I248" s="56">
        <v>27353.52</v>
      </c>
      <c r="J248" s="144">
        <v>27258.42</v>
      </c>
      <c r="K248" s="144">
        <v>27258.42</v>
      </c>
      <c r="L248" s="144">
        <v>27398.240000000002</v>
      </c>
      <c r="M248" s="77"/>
      <c r="N248" s="77"/>
      <c r="O248" s="77"/>
      <c r="P248" s="77"/>
      <c r="Q248" s="77"/>
      <c r="R248" s="77"/>
      <c r="S248" s="77"/>
      <c r="T248" s="132"/>
      <c r="U248" s="77"/>
      <c r="V248" s="139"/>
    </row>
    <row r="249" spans="1:25" ht="39.9" x14ac:dyDescent="0.3">
      <c r="A249" s="149"/>
      <c r="B249" s="134"/>
      <c r="C249" s="71" t="s">
        <v>123</v>
      </c>
      <c r="D249" s="38">
        <f t="shared" ref="D249:L249" si="79">IF(((D247="")*AND(D248="")),"",(D247-D248)*1)</f>
        <v>1795.4699999999975</v>
      </c>
      <c r="E249" s="38">
        <f t="shared" si="79"/>
        <v>1829.6699999999983</v>
      </c>
      <c r="F249" s="38">
        <f t="shared" si="79"/>
        <v>1793.7400000000016</v>
      </c>
      <c r="G249" s="38">
        <f t="shared" si="79"/>
        <v>1824.8600000000006</v>
      </c>
      <c r="H249" s="38">
        <f t="shared" si="79"/>
        <v>1973.3199999999997</v>
      </c>
      <c r="I249" s="38">
        <f t="shared" si="79"/>
        <v>1907.8899999999994</v>
      </c>
      <c r="J249" s="38">
        <f t="shared" si="79"/>
        <v>1823.2700000000004</v>
      </c>
      <c r="K249" s="38">
        <f t="shared" si="79"/>
        <v>1853.5800000000017</v>
      </c>
      <c r="L249" s="38">
        <f t="shared" si="79"/>
        <v>1920.8899999999994</v>
      </c>
      <c r="M249" s="135"/>
      <c r="N249" s="135"/>
      <c r="O249" s="135"/>
      <c r="P249" s="135"/>
      <c r="Q249" s="135"/>
      <c r="R249" s="135"/>
      <c r="S249" s="135"/>
      <c r="T249" s="136"/>
      <c r="U249" s="135"/>
      <c r="V249" s="140"/>
    </row>
    <row r="250" spans="1:25" x14ac:dyDescent="0.3">
      <c r="A250" s="129">
        <v>42870</v>
      </c>
      <c r="B250" s="68" t="s">
        <v>124</v>
      </c>
      <c r="C250" s="71" t="s">
        <v>88</v>
      </c>
      <c r="D250" s="56">
        <v>29189</v>
      </c>
      <c r="E250" s="56">
        <v>29017</v>
      </c>
      <c r="F250" s="56">
        <v>29017</v>
      </c>
      <c r="G250" s="56">
        <v>29017</v>
      </c>
      <c r="H250" s="56">
        <v>29232</v>
      </c>
      <c r="I250" s="56">
        <v>29190</v>
      </c>
      <c r="J250" s="144">
        <v>29002</v>
      </c>
      <c r="K250" s="144">
        <v>29002</v>
      </c>
      <c r="L250" s="144">
        <v>29279</v>
      </c>
      <c r="M250" s="69">
        <f>IF((L251=""),"",MAX(D252:L252))</f>
        <v>1929</v>
      </c>
      <c r="N250" s="69">
        <f>IF(L251="","",MIN(D252:L252))</f>
        <v>1774</v>
      </c>
      <c r="O250" s="69">
        <f>IF((L252=""),"",AVERAGE(D252:L252))</f>
        <v>1858.2222222222222</v>
      </c>
      <c r="P250" s="69">
        <v>1600</v>
      </c>
      <c r="Q250" s="69">
        <v>2000</v>
      </c>
      <c r="R250" s="69">
        <f>IF((L251=""),"",((M250-N250)/(M250+N250))*100)</f>
        <v>4.1857953011072109</v>
      </c>
      <c r="S250" s="69">
        <v>20</v>
      </c>
      <c r="T250" s="130" t="str">
        <f>IF(L251="","",IF(R251&lt;20,(IF(O250&gt;1730,IF(O250&lt;1970,"Pass","Fail"),"Fail"))))</f>
        <v>Pass</v>
      </c>
      <c r="U250" s="69">
        <v>1428</v>
      </c>
      <c r="V250" s="138"/>
      <c r="W250" s="56">
        <v>1730</v>
      </c>
      <c r="X250" s="56">
        <v>1970</v>
      </c>
      <c r="Y250" s="56">
        <v>6.2</v>
      </c>
    </row>
    <row r="251" spans="1:25" x14ac:dyDescent="0.3">
      <c r="A251" s="147"/>
      <c r="B251" s="76"/>
      <c r="C251" s="71" t="s">
        <v>89</v>
      </c>
      <c r="D251" s="56">
        <v>27342</v>
      </c>
      <c r="E251" s="56">
        <v>27212</v>
      </c>
      <c r="F251" s="56">
        <v>27243</v>
      </c>
      <c r="G251" s="56">
        <v>27132</v>
      </c>
      <c r="H251" s="56">
        <v>27303</v>
      </c>
      <c r="I251" s="56">
        <v>27287</v>
      </c>
      <c r="J251" s="144">
        <v>27095</v>
      </c>
      <c r="K251" s="144">
        <v>27161</v>
      </c>
      <c r="L251" s="144">
        <v>27446</v>
      </c>
      <c r="M251" s="77"/>
      <c r="N251" s="77"/>
      <c r="O251" s="77"/>
      <c r="P251" s="77"/>
      <c r="Q251" s="77"/>
      <c r="R251" s="77"/>
      <c r="S251" s="77"/>
      <c r="T251" s="132"/>
      <c r="U251" s="77"/>
      <c r="V251" s="139"/>
    </row>
    <row r="252" spans="1:25" ht="39.9" x14ac:dyDescent="0.3">
      <c r="A252" s="149"/>
      <c r="B252" s="134"/>
      <c r="C252" s="71" t="s">
        <v>123</v>
      </c>
      <c r="D252" s="38">
        <f t="shared" ref="D252:L252" si="80">IF(((D250="")*AND(D251="")),"",(D250-D251)*1)</f>
        <v>1847</v>
      </c>
      <c r="E252" s="38">
        <f t="shared" si="80"/>
        <v>1805</v>
      </c>
      <c r="F252" s="38">
        <f t="shared" si="80"/>
        <v>1774</v>
      </c>
      <c r="G252" s="38">
        <f t="shared" si="80"/>
        <v>1885</v>
      </c>
      <c r="H252" s="38">
        <f t="shared" si="80"/>
        <v>1929</v>
      </c>
      <c r="I252" s="38">
        <f t="shared" si="80"/>
        <v>1903</v>
      </c>
      <c r="J252" s="38">
        <f t="shared" si="80"/>
        <v>1907</v>
      </c>
      <c r="K252" s="38">
        <f t="shared" si="80"/>
        <v>1841</v>
      </c>
      <c r="L252" s="38">
        <f t="shared" si="80"/>
        <v>1833</v>
      </c>
      <c r="M252" s="135"/>
      <c r="N252" s="135"/>
      <c r="O252" s="135"/>
      <c r="P252" s="135"/>
      <c r="Q252" s="135"/>
      <c r="R252" s="135"/>
      <c r="S252" s="135"/>
      <c r="T252" s="136"/>
      <c r="U252" s="135"/>
      <c r="V252" s="140"/>
    </row>
    <row r="253" spans="1:25" x14ac:dyDescent="0.3">
      <c r="A253" s="129">
        <v>42874</v>
      </c>
      <c r="B253" s="68" t="s">
        <v>124</v>
      </c>
      <c r="C253" s="71" t="s">
        <v>88</v>
      </c>
      <c r="D253" s="56">
        <v>29210</v>
      </c>
      <c r="E253" s="56">
        <v>29064</v>
      </c>
      <c r="F253" s="56">
        <v>29115</v>
      </c>
      <c r="G253" s="56">
        <v>29058</v>
      </c>
      <c r="H253" s="56">
        <v>29267</v>
      </c>
      <c r="I253" s="56">
        <v>29229</v>
      </c>
      <c r="J253" s="144">
        <v>29051</v>
      </c>
      <c r="K253" s="144">
        <v>29053</v>
      </c>
      <c r="L253" s="144">
        <v>29243</v>
      </c>
      <c r="M253" s="69">
        <f>IF((L254=""),"",MAX(D255:L255))</f>
        <v>2067</v>
      </c>
      <c r="N253" s="69">
        <f>IF(L254="","",MIN(D255:L255))</f>
        <v>1886</v>
      </c>
      <c r="O253" s="69">
        <f>IF((L255=""),"",AVERAGE(D255:L255))</f>
        <v>1949.7777777777778</v>
      </c>
      <c r="P253" s="69">
        <v>1600</v>
      </c>
      <c r="Q253" s="69">
        <v>2000</v>
      </c>
      <c r="R253" s="69">
        <f>IF((L254=""),"",((M253-N253)/(M253+N253))*100)</f>
        <v>4.5788009107007337</v>
      </c>
      <c r="S253" s="69">
        <v>20</v>
      </c>
      <c r="T253" s="130" t="str">
        <f>IF(L254="","",IF(R254&lt;20,(IF(O253&gt;1730,IF(O253&lt;1970,"Pass","Fail"),"Fail"))))</f>
        <v>Pass</v>
      </c>
      <c r="U253" s="69">
        <v>1159</v>
      </c>
      <c r="V253" s="138"/>
      <c r="W253" s="56">
        <v>1730</v>
      </c>
      <c r="X253" s="56">
        <v>1970</v>
      </c>
      <c r="Y253" s="56">
        <v>6.2</v>
      </c>
    </row>
    <row r="254" spans="1:25" x14ac:dyDescent="0.3">
      <c r="A254" s="147"/>
      <c r="B254" s="76"/>
      <c r="C254" s="71" t="s">
        <v>89</v>
      </c>
      <c r="D254" s="56">
        <v>27313</v>
      </c>
      <c r="E254" s="56">
        <v>27178</v>
      </c>
      <c r="F254" s="56">
        <v>27224</v>
      </c>
      <c r="G254" s="56">
        <v>27064</v>
      </c>
      <c r="H254" s="56">
        <v>27200</v>
      </c>
      <c r="I254" s="56">
        <v>27223</v>
      </c>
      <c r="J254" s="144">
        <v>27113</v>
      </c>
      <c r="K254" s="144">
        <v>27105</v>
      </c>
      <c r="L254" s="144">
        <v>27322</v>
      </c>
      <c r="M254" s="77"/>
      <c r="N254" s="77"/>
      <c r="O254" s="77"/>
      <c r="P254" s="77"/>
      <c r="Q254" s="77"/>
      <c r="R254" s="77"/>
      <c r="S254" s="77"/>
      <c r="T254" s="132"/>
      <c r="U254" s="77"/>
      <c r="V254" s="139"/>
    </row>
    <row r="255" spans="1:25" ht="39.9" x14ac:dyDescent="0.3">
      <c r="A255" s="149"/>
      <c r="B255" s="134"/>
      <c r="C255" s="71" t="s">
        <v>123</v>
      </c>
      <c r="D255" s="38">
        <f t="shared" ref="D255:L255" si="81">IF(((D253="")*AND(D254="")),"",(D253-D254)*1)</f>
        <v>1897</v>
      </c>
      <c r="E255" s="38">
        <f t="shared" si="81"/>
        <v>1886</v>
      </c>
      <c r="F255" s="38">
        <f t="shared" si="81"/>
        <v>1891</v>
      </c>
      <c r="G255" s="38">
        <f t="shared" si="81"/>
        <v>1994</v>
      </c>
      <c r="H255" s="38">
        <f t="shared" si="81"/>
        <v>2067</v>
      </c>
      <c r="I255" s="38">
        <f t="shared" si="81"/>
        <v>2006</v>
      </c>
      <c r="J255" s="38">
        <f t="shared" si="81"/>
        <v>1938</v>
      </c>
      <c r="K255" s="38">
        <f t="shared" si="81"/>
        <v>1948</v>
      </c>
      <c r="L255" s="38">
        <f t="shared" si="81"/>
        <v>1921</v>
      </c>
      <c r="M255" s="135"/>
      <c r="N255" s="135"/>
      <c r="O255" s="135"/>
      <c r="P255" s="135"/>
      <c r="Q255" s="135"/>
      <c r="R255" s="135"/>
      <c r="S255" s="135"/>
      <c r="T255" s="136"/>
      <c r="U255" s="135"/>
      <c r="V255" s="140"/>
    </row>
    <row r="256" spans="1:25" x14ac:dyDescent="0.3">
      <c r="A256" s="128">
        <v>42877</v>
      </c>
      <c r="B256" s="129" t="s">
        <v>124</v>
      </c>
      <c r="C256" s="71" t="s">
        <v>88</v>
      </c>
      <c r="D256" s="56">
        <v>29388.400000000001</v>
      </c>
      <c r="E256" s="56">
        <v>29240.560000000001</v>
      </c>
      <c r="F256" s="56">
        <v>29280.17</v>
      </c>
      <c r="G256" s="56">
        <v>29244.74</v>
      </c>
      <c r="H256" s="56">
        <v>29437.53</v>
      </c>
      <c r="I256" s="56">
        <v>29440.78</v>
      </c>
      <c r="J256" s="144">
        <v>29221.41</v>
      </c>
      <c r="K256" s="144">
        <v>29213.05</v>
      </c>
      <c r="L256" s="144">
        <v>29438.27</v>
      </c>
      <c r="M256" s="66">
        <f>IF((L257=""),"",MAX(D258:L258))</f>
        <v>1974.9599999999991</v>
      </c>
      <c r="N256" s="66">
        <f>IF(L257="","",MIN(D258:L258))</f>
        <v>1746.7199999999975</v>
      </c>
      <c r="O256" s="66">
        <f>IF((L258=""),"",AVERAGE(D258:L258))</f>
        <v>1864.6999999999998</v>
      </c>
      <c r="P256" s="145">
        <v>1600</v>
      </c>
      <c r="Q256" s="145">
        <v>2000</v>
      </c>
      <c r="R256" s="66">
        <f>IF((L257=""),"",((M256-N256)/(M256+N256))*100)</f>
        <v>6.132714258077046</v>
      </c>
      <c r="S256" s="145">
        <v>20</v>
      </c>
      <c r="T256" s="130" t="str">
        <f>IF(L257="","",IF(R257&lt;20,(IF(O256&gt;1730,IF(O256&lt;1970,"Pass","Fail"),"Fail"))))</f>
        <v>Pass</v>
      </c>
      <c r="U256" s="66">
        <v>1428</v>
      </c>
      <c r="V256" s="146"/>
      <c r="W256" s="56">
        <v>1730</v>
      </c>
      <c r="X256" s="56">
        <v>1970</v>
      </c>
      <c r="Y256" s="56">
        <v>6.2</v>
      </c>
    </row>
    <row r="257" spans="1:25" x14ac:dyDescent="0.3">
      <c r="A257" s="128"/>
      <c r="B257" s="147"/>
      <c r="C257" s="71" t="s">
        <v>89</v>
      </c>
      <c r="D257" s="56">
        <v>27577.86</v>
      </c>
      <c r="E257" s="56">
        <v>27382.97</v>
      </c>
      <c r="F257" s="56">
        <v>27533.45</v>
      </c>
      <c r="G257" s="56">
        <v>27328.03</v>
      </c>
      <c r="H257" s="56">
        <v>27553.87</v>
      </c>
      <c r="I257" s="56">
        <v>27465.82</v>
      </c>
      <c r="J257" s="144">
        <v>27335.27</v>
      </c>
      <c r="K257" s="144">
        <v>27357.3</v>
      </c>
      <c r="L257" s="144">
        <v>27588.04</v>
      </c>
      <c r="M257" s="66"/>
      <c r="N257" s="66"/>
      <c r="O257" s="66"/>
      <c r="P257" s="148"/>
      <c r="Q257" s="148"/>
      <c r="R257" s="66"/>
      <c r="S257" s="148"/>
      <c r="T257" s="132"/>
      <c r="U257" s="66"/>
      <c r="V257" s="146"/>
    </row>
    <row r="258" spans="1:25" ht="39.9" x14ac:dyDescent="0.3">
      <c r="A258" s="128"/>
      <c r="B258" s="149"/>
      <c r="C258" s="71" t="s">
        <v>123</v>
      </c>
      <c r="D258" s="38">
        <f t="shared" ref="D258:L258" si="82">IF(((D256="")*AND(D257="")),"",(D256-D257)*1)</f>
        <v>1810.5400000000009</v>
      </c>
      <c r="E258" s="38">
        <f t="shared" si="82"/>
        <v>1857.5900000000001</v>
      </c>
      <c r="F258" s="38">
        <f t="shared" si="82"/>
        <v>1746.7199999999975</v>
      </c>
      <c r="G258" s="38">
        <f t="shared" si="82"/>
        <v>1916.7100000000028</v>
      </c>
      <c r="H258" s="38">
        <f t="shared" si="82"/>
        <v>1883.6599999999999</v>
      </c>
      <c r="I258" s="38">
        <f t="shared" si="82"/>
        <v>1974.9599999999991</v>
      </c>
      <c r="J258" s="38">
        <f t="shared" si="82"/>
        <v>1886.1399999999994</v>
      </c>
      <c r="K258" s="38">
        <f t="shared" si="82"/>
        <v>1855.75</v>
      </c>
      <c r="L258" s="38">
        <f t="shared" si="82"/>
        <v>1850.2299999999996</v>
      </c>
      <c r="M258" s="66"/>
      <c r="N258" s="66"/>
      <c r="O258" s="66"/>
      <c r="P258" s="78"/>
      <c r="Q258" s="78"/>
      <c r="R258" s="66"/>
      <c r="S258" s="78"/>
      <c r="T258" s="136"/>
      <c r="U258" s="66"/>
      <c r="V258" s="146"/>
    </row>
    <row r="259" spans="1:25" x14ac:dyDescent="0.3">
      <c r="A259" s="128">
        <v>42881</v>
      </c>
      <c r="B259" s="129" t="s">
        <v>124</v>
      </c>
      <c r="C259" s="71" t="s">
        <v>88</v>
      </c>
      <c r="D259" s="56">
        <v>29124.81</v>
      </c>
      <c r="E259" s="56">
        <v>28936.04</v>
      </c>
      <c r="F259" s="56">
        <v>28938.13</v>
      </c>
      <c r="G259" s="56">
        <v>28940.240000000002</v>
      </c>
      <c r="H259" s="56">
        <v>29155.49</v>
      </c>
      <c r="I259" s="56">
        <v>29081.08</v>
      </c>
      <c r="J259" s="56">
        <v>28920.29</v>
      </c>
      <c r="K259" s="56">
        <v>28944.28</v>
      </c>
      <c r="L259" s="56">
        <v>29164.57</v>
      </c>
      <c r="M259" s="66">
        <f>IF((L260=""),"",MAX(D261:L261))</f>
        <v>1890.7000000000007</v>
      </c>
      <c r="N259" s="66">
        <f>IF(L260="","",MIN(D261:L261))</f>
        <v>1760.7700000000004</v>
      </c>
      <c r="O259" s="66">
        <f>IF((L261=""),"",AVERAGE(D261:L261))</f>
        <v>1819.612222222223</v>
      </c>
      <c r="P259" s="145">
        <v>1600</v>
      </c>
      <c r="Q259" s="145">
        <v>2000</v>
      </c>
      <c r="R259" s="66">
        <f>IF((L260=""),"",((M259-N259)/(M259+N259))*100)</f>
        <v>3.5582929614648413</v>
      </c>
      <c r="S259" s="145">
        <v>20</v>
      </c>
      <c r="T259" s="130" t="str">
        <f>IF(L260="","",IF(R260&lt;20,(IF(O259&gt;1730,IF(O259&lt;1970,"Pass","Fail"),"Fail"))))</f>
        <v>Pass</v>
      </c>
      <c r="U259" s="66">
        <v>1428</v>
      </c>
      <c r="V259" s="146"/>
      <c r="W259" s="56">
        <v>1730</v>
      </c>
      <c r="X259" s="56">
        <v>1970</v>
      </c>
      <c r="Y259" s="56">
        <v>6.2</v>
      </c>
    </row>
    <row r="260" spans="1:25" x14ac:dyDescent="0.3">
      <c r="A260" s="128"/>
      <c r="B260" s="147"/>
      <c r="C260" s="71" t="s">
        <v>89</v>
      </c>
      <c r="D260" s="56">
        <v>27313.72</v>
      </c>
      <c r="E260" s="56">
        <v>27146.05</v>
      </c>
      <c r="F260" s="56">
        <v>27177.360000000001</v>
      </c>
      <c r="G260" s="56">
        <v>27101.07</v>
      </c>
      <c r="H260" s="56">
        <v>27286.92</v>
      </c>
      <c r="I260" s="56">
        <v>27190.38</v>
      </c>
      <c r="J260" s="56">
        <v>27095.31</v>
      </c>
      <c r="K260" s="56">
        <v>27130.02</v>
      </c>
      <c r="L260" s="56">
        <v>27387.59</v>
      </c>
      <c r="M260" s="66"/>
      <c r="N260" s="66"/>
      <c r="O260" s="66"/>
      <c r="P260" s="148"/>
      <c r="Q260" s="148"/>
      <c r="R260" s="66"/>
      <c r="S260" s="148"/>
      <c r="T260" s="132"/>
      <c r="U260" s="66"/>
      <c r="V260" s="146"/>
    </row>
    <row r="261" spans="1:25" ht="39.9" x14ac:dyDescent="0.3">
      <c r="A261" s="128"/>
      <c r="B261" s="149"/>
      <c r="C261" s="71" t="s">
        <v>123</v>
      </c>
      <c r="D261" s="38">
        <f t="shared" ref="D261:L261" si="83">IF(((D259="")*AND(D260="")),"",(D259-D260)*1)</f>
        <v>1811.0900000000001</v>
      </c>
      <c r="E261" s="38">
        <f t="shared" si="83"/>
        <v>1789.9900000000016</v>
      </c>
      <c r="F261" s="38">
        <f t="shared" si="83"/>
        <v>1760.7700000000004</v>
      </c>
      <c r="G261" s="38">
        <f t="shared" si="83"/>
        <v>1839.1700000000019</v>
      </c>
      <c r="H261" s="38">
        <f t="shared" si="83"/>
        <v>1868.5700000000033</v>
      </c>
      <c r="I261" s="38">
        <f t="shared" si="83"/>
        <v>1890.7000000000007</v>
      </c>
      <c r="J261" s="38">
        <f t="shared" si="83"/>
        <v>1824.9799999999996</v>
      </c>
      <c r="K261" s="38">
        <f t="shared" si="83"/>
        <v>1814.2599999999984</v>
      </c>
      <c r="L261" s="38">
        <f t="shared" si="83"/>
        <v>1776.9799999999996</v>
      </c>
      <c r="M261" s="66"/>
      <c r="N261" s="66"/>
      <c r="O261" s="66"/>
      <c r="P261" s="78"/>
      <c r="Q261" s="78"/>
      <c r="R261" s="66"/>
      <c r="S261" s="78"/>
      <c r="T261" s="136"/>
      <c r="U261" s="66"/>
      <c r="V261" s="146"/>
    </row>
    <row r="262" spans="1:25" x14ac:dyDescent="0.3">
      <c r="A262" s="128">
        <v>42885</v>
      </c>
      <c r="B262" s="129" t="s">
        <v>124</v>
      </c>
      <c r="C262" s="71" t="s">
        <v>88</v>
      </c>
      <c r="D262" s="56">
        <v>22313.16</v>
      </c>
      <c r="E262" s="56">
        <v>22344.09</v>
      </c>
      <c r="F262" s="56">
        <v>22428.03</v>
      </c>
      <c r="G262" s="56">
        <v>22048.54</v>
      </c>
      <c r="H262" s="56">
        <v>21820.66</v>
      </c>
      <c r="I262" s="56">
        <v>22015.78</v>
      </c>
      <c r="J262" s="56">
        <v>22213.27</v>
      </c>
      <c r="K262" s="56">
        <v>22143.68</v>
      </c>
      <c r="L262" s="56">
        <v>22057.38</v>
      </c>
      <c r="M262" s="66">
        <f>IF((L263=""),"",MAX(D264:L264))</f>
        <v>1879.1399999999994</v>
      </c>
      <c r="N262" s="66">
        <f>IF(L263="","",MIN(D264:L264))</f>
        <v>1703.869999999999</v>
      </c>
      <c r="O262" s="66">
        <f>IF((L264=""),"",AVERAGE(D264:L264))</f>
        <v>1774.7844444444443</v>
      </c>
      <c r="P262" s="145">
        <v>1600</v>
      </c>
      <c r="Q262" s="145">
        <v>2000</v>
      </c>
      <c r="R262" s="66">
        <f>IF((L263=""),"",((M262-N262)/(M262+N262))*100)</f>
        <v>4.8916972043058911</v>
      </c>
      <c r="S262" s="145">
        <v>20</v>
      </c>
      <c r="T262" s="130" t="str">
        <f>IF(L263="","",IF(R263&lt;20,(IF(O262&gt;1730,IF(O262&lt;1970,"Pass","Fail"),"Fail"))))</f>
        <v>Pass</v>
      </c>
      <c r="U262" s="66">
        <v>1428</v>
      </c>
      <c r="V262" s="146"/>
      <c r="W262" s="56">
        <v>1730</v>
      </c>
      <c r="X262" s="56">
        <v>1970</v>
      </c>
      <c r="Y262" s="56">
        <v>6.2</v>
      </c>
    </row>
    <row r="263" spans="1:25" x14ac:dyDescent="0.3">
      <c r="A263" s="128"/>
      <c r="B263" s="147"/>
      <c r="C263" s="71" t="s">
        <v>89</v>
      </c>
      <c r="D263" s="56">
        <v>20482.16</v>
      </c>
      <c r="E263" s="56">
        <v>20574.32</v>
      </c>
      <c r="F263" s="56">
        <v>20712.650000000001</v>
      </c>
      <c r="G263" s="56">
        <v>20301.86</v>
      </c>
      <c r="H263" s="56">
        <v>20000.12</v>
      </c>
      <c r="I263" s="56">
        <v>20136.64</v>
      </c>
      <c r="J263" s="56">
        <v>20509.400000000001</v>
      </c>
      <c r="K263" s="56">
        <v>20410.79</v>
      </c>
      <c r="L263" s="56">
        <v>20283.59</v>
      </c>
      <c r="M263" s="66"/>
      <c r="N263" s="66"/>
      <c r="O263" s="66"/>
      <c r="P263" s="148"/>
      <c r="Q263" s="148"/>
      <c r="R263" s="66"/>
      <c r="S263" s="148"/>
      <c r="T263" s="132"/>
      <c r="U263" s="66"/>
      <c r="V263" s="146"/>
    </row>
    <row r="264" spans="1:25" ht="39.9" x14ac:dyDescent="0.3">
      <c r="A264" s="128"/>
      <c r="B264" s="149"/>
      <c r="C264" s="71" t="s">
        <v>123</v>
      </c>
      <c r="D264" s="38">
        <f t="shared" ref="D264:L264" si="84">IF(((D262="")*AND(D263="")),"",(D262-D263)*1)</f>
        <v>1831</v>
      </c>
      <c r="E264" s="38">
        <f t="shared" si="84"/>
        <v>1769.7700000000004</v>
      </c>
      <c r="F264" s="38">
        <f t="shared" si="84"/>
        <v>1715.3799999999974</v>
      </c>
      <c r="G264" s="38">
        <f t="shared" si="84"/>
        <v>1746.6800000000003</v>
      </c>
      <c r="H264" s="38">
        <f t="shared" si="84"/>
        <v>1820.5400000000009</v>
      </c>
      <c r="I264" s="38">
        <f t="shared" si="84"/>
        <v>1879.1399999999994</v>
      </c>
      <c r="J264" s="38">
        <f t="shared" si="84"/>
        <v>1703.869999999999</v>
      </c>
      <c r="K264" s="38">
        <f t="shared" si="84"/>
        <v>1732.8899999999994</v>
      </c>
      <c r="L264" s="38">
        <f t="shared" si="84"/>
        <v>1773.7900000000009</v>
      </c>
      <c r="M264" s="66"/>
      <c r="N264" s="66"/>
      <c r="O264" s="66"/>
      <c r="P264" s="78"/>
      <c r="Q264" s="78"/>
      <c r="R264" s="66"/>
      <c r="S264" s="78"/>
      <c r="T264" s="136"/>
      <c r="U264" s="66"/>
      <c r="V264" s="146"/>
    </row>
    <row r="265" spans="1:25" x14ac:dyDescent="0.3">
      <c r="A265" s="128">
        <v>42891</v>
      </c>
      <c r="B265" s="129" t="s">
        <v>124</v>
      </c>
      <c r="C265" s="71" t="s">
        <v>88</v>
      </c>
      <c r="D265" s="56">
        <v>29382</v>
      </c>
      <c r="E265" s="56">
        <v>29202</v>
      </c>
      <c r="F265" s="56">
        <v>29271</v>
      </c>
      <c r="G265" s="56">
        <v>29213</v>
      </c>
      <c r="H265" s="56">
        <v>29406</v>
      </c>
      <c r="I265" s="56">
        <v>29353</v>
      </c>
      <c r="J265" s="144">
        <v>29210</v>
      </c>
      <c r="K265" s="144">
        <v>29187</v>
      </c>
      <c r="L265" s="144">
        <v>29426</v>
      </c>
      <c r="M265" s="66">
        <f>IF((L266=""),"",MAX(D267:L267))</f>
        <v>2017</v>
      </c>
      <c r="N265" s="66">
        <f>IF(L266="","",MIN(D267:L267))</f>
        <v>1865</v>
      </c>
      <c r="O265" s="66">
        <f>IF((L267=""),"",AVERAGE(D267:L267))</f>
        <v>1925</v>
      </c>
      <c r="P265" s="145">
        <v>1600</v>
      </c>
      <c r="Q265" s="145">
        <v>2000</v>
      </c>
      <c r="R265" s="66">
        <f>IF((L266=""),"",((M265-N265)/(M265+N265))*100)</f>
        <v>3.9155074703760953</v>
      </c>
      <c r="S265" s="145">
        <v>20</v>
      </c>
      <c r="T265" s="130" t="str">
        <f>IF(L266="","",IF(R266&lt;20,(IF(O265&gt;1730,IF(O265&lt;1970,"Pass","Fail"),"Fail"))))</f>
        <v>Pass</v>
      </c>
      <c r="U265" s="66">
        <v>1335</v>
      </c>
      <c r="V265" s="146"/>
      <c r="W265" s="56">
        <v>1730</v>
      </c>
      <c r="X265" s="56">
        <v>1970</v>
      </c>
      <c r="Y265" s="56">
        <v>6.2</v>
      </c>
    </row>
    <row r="266" spans="1:25" x14ac:dyDescent="0.3">
      <c r="A266" s="128"/>
      <c r="B266" s="147"/>
      <c r="C266" s="71" t="s">
        <v>89</v>
      </c>
      <c r="D266" s="56">
        <v>27467</v>
      </c>
      <c r="E266" s="56">
        <v>27322</v>
      </c>
      <c r="F266" s="56">
        <v>27406</v>
      </c>
      <c r="G266" s="56">
        <v>27272</v>
      </c>
      <c r="H266" s="56">
        <v>27408</v>
      </c>
      <c r="I266" s="56">
        <v>27336</v>
      </c>
      <c r="J266" s="144">
        <v>27288</v>
      </c>
      <c r="K266" s="144">
        <v>27289</v>
      </c>
      <c r="L266" s="144">
        <v>27537</v>
      </c>
      <c r="M266" s="66"/>
      <c r="N266" s="66"/>
      <c r="O266" s="66"/>
      <c r="P266" s="148"/>
      <c r="Q266" s="148"/>
      <c r="R266" s="66"/>
      <c r="S266" s="148"/>
      <c r="T266" s="132"/>
      <c r="U266" s="66"/>
      <c r="V266" s="146"/>
    </row>
    <row r="267" spans="1:25" ht="39.9" x14ac:dyDescent="0.3">
      <c r="A267" s="128"/>
      <c r="B267" s="149"/>
      <c r="C267" s="71" t="s">
        <v>123</v>
      </c>
      <c r="D267" s="38">
        <f t="shared" ref="D267:L267" si="85">IF(((D265="")*AND(D266="")),"",(D265-D266)*1)</f>
        <v>1915</v>
      </c>
      <c r="E267" s="38">
        <f t="shared" si="85"/>
        <v>1880</v>
      </c>
      <c r="F267" s="38">
        <f t="shared" si="85"/>
        <v>1865</v>
      </c>
      <c r="G267" s="38">
        <f t="shared" si="85"/>
        <v>1941</v>
      </c>
      <c r="H267" s="38">
        <f t="shared" si="85"/>
        <v>1998</v>
      </c>
      <c r="I267" s="38">
        <f t="shared" si="85"/>
        <v>2017</v>
      </c>
      <c r="J267" s="38">
        <f t="shared" si="85"/>
        <v>1922</v>
      </c>
      <c r="K267" s="38">
        <f t="shared" si="85"/>
        <v>1898</v>
      </c>
      <c r="L267" s="38">
        <f t="shared" si="85"/>
        <v>1889</v>
      </c>
      <c r="M267" s="66"/>
      <c r="N267" s="66"/>
      <c r="O267" s="66"/>
      <c r="P267" s="78"/>
      <c r="Q267" s="78"/>
      <c r="R267" s="66"/>
      <c r="S267" s="78"/>
      <c r="T267" s="136"/>
      <c r="U267" s="66"/>
      <c r="V267" s="146"/>
    </row>
    <row r="268" spans="1:25" x14ac:dyDescent="0.3">
      <c r="A268" s="128">
        <v>42894</v>
      </c>
      <c r="B268" s="129" t="s">
        <v>124</v>
      </c>
      <c r="C268" s="71" t="s">
        <v>88</v>
      </c>
      <c r="D268" s="56">
        <v>25665</v>
      </c>
      <c r="E268" s="56">
        <v>25554</v>
      </c>
      <c r="F268" s="56">
        <v>25652</v>
      </c>
      <c r="G268" s="56">
        <v>25457</v>
      </c>
      <c r="H268" s="56">
        <v>25503</v>
      </c>
      <c r="I268" s="56">
        <v>25420</v>
      </c>
      <c r="J268" s="144">
        <v>25480</v>
      </c>
      <c r="K268" s="144">
        <v>25494</v>
      </c>
      <c r="L268" s="144">
        <v>25788</v>
      </c>
      <c r="M268" s="66">
        <f>IF((L269=""),"",MAX(D270:L270))</f>
        <v>1889</v>
      </c>
      <c r="N268" s="66">
        <f>IF(L269="","",MIN(D270:L270))</f>
        <v>1719</v>
      </c>
      <c r="O268" s="66">
        <f>IF((L270=""),"",AVERAGE(D270:L270))</f>
        <v>1797.6666666666667</v>
      </c>
      <c r="P268" s="145">
        <v>1600</v>
      </c>
      <c r="Q268" s="145">
        <v>2000</v>
      </c>
      <c r="R268" s="66">
        <f>IF((L269=""),"",((M268-N268)/(M268+N268))*100)</f>
        <v>4.7117516629711753</v>
      </c>
      <c r="S268" s="145">
        <v>20</v>
      </c>
      <c r="T268" s="130" t="str">
        <f>IF(L269="","",IF(R269&lt;20,(IF(O268&gt;1730,IF(O268&lt;1970,"Pass","Fail"),"Fail"))))</f>
        <v>Pass</v>
      </c>
      <c r="U268" s="66">
        <v>121</v>
      </c>
      <c r="V268" s="146"/>
      <c r="W268" s="56">
        <v>1730</v>
      </c>
      <c r="X268" s="56">
        <v>1970</v>
      </c>
      <c r="Y268" s="56">
        <v>6.2</v>
      </c>
    </row>
    <row r="269" spans="1:25" x14ac:dyDescent="0.3">
      <c r="A269" s="128"/>
      <c r="B269" s="147"/>
      <c r="C269" s="71" t="s">
        <v>89</v>
      </c>
      <c r="D269" s="56">
        <v>23888</v>
      </c>
      <c r="E269" s="56">
        <v>23824</v>
      </c>
      <c r="F269" s="56">
        <v>23933</v>
      </c>
      <c r="G269" s="56">
        <v>23649</v>
      </c>
      <c r="H269" s="56">
        <v>23616</v>
      </c>
      <c r="I269" s="56">
        <v>23531</v>
      </c>
      <c r="J269" s="144">
        <v>23697</v>
      </c>
      <c r="K269" s="144">
        <v>23722</v>
      </c>
      <c r="L269" s="144">
        <v>23974</v>
      </c>
      <c r="M269" s="66"/>
      <c r="N269" s="66"/>
      <c r="O269" s="66"/>
      <c r="P269" s="148"/>
      <c r="Q269" s="148"/>
      <c r="R269" s="66"/>
      <c r="S269" s="148"/>
      <c r="T269" s="132"/>
      <c r="U269" s="66"/>
      <c r="V269" s="146"/>
    </row>
    <row r="270" spans="1:25" ht="39.9" x14ac:dyDescent="0.3">
      <c r="A270" s="128"/>
      <c r="B270" s="149"/>
      <c r="C270" s="71" t="s">
        <v>123</v>
      </c>
      <c r="D270" s="38">
        <f t="shared" ref="D270:L270" si="86">IF(((D268="")*AND(D269="")),"",(D268-D269)*1)</f>
        <v>1777</v>
      </c>
      <c r="E270" s="38">
        <f t="shared" si="86"/>
        <v>1730</v>
      </c>
      <c r="F270" s="38">
        <f t="shared" si="86"/>
        <v>1719</v>
      </c>
      <c r="G270" s="38">
        <f t="shared" si="86"/>
        <v>1808</v>
      </c>
      <c r="H270" s="38">
        <f t="shared" si="86"/>
        <v>1887</v>
      </c>
      <c r="I270" s="38">
        <f t="shared" si="86"/>
        <v>1889</v>
      </c>
      <c r="J270" s="38">
        <f t="shared" si="86"/>
        <v>1783</v>
      </c>
      <c r="K270" s="38">
        <f t="shared" si="86"/>
        <v>1772</v>
      </c>
      <c r="L270" s="38">
        <f t="shared" si="86"/>
        <v>1814</v>
      </c>
      <c r="M270" s="66"/>
      <c r="N270" s="66"/>
      <c r="O270" s="66"/>
      <c r="P270" s="78"/>
      <c r="Q270" s="78"/>
      <c r="R270" s="66"/>
      <c r="S270" s="78"/>
      <c r="T270" s="136"/>
      <c r="U270" s="66"/>
      <c r="V270" s="146"/>
    </row>
    <row r="271" spans="1:25" x14ac:dyDescent="0.3">
      <c r="A271" s="128">
        <v>42898</v>
      </c>
      <c r="B271" s="129" t="s">
        <v>124</v>
      </c>
      <c r="C271" s="71" t="s">
        <v>88</v>
      </c>
      <c r="D271" s="56">
        <v>29342.59</v>
      </c>
      <c r="E271" s="56">
        <v>26919.47</v>
      </c>
      <c r="F271" s="56">
        <v>26964.13</v>
      </c>
      <c r="G271" s="56">
        <v>26864.09</v>
      </c>
      <c r="H271" s="56">
        <v>29335.39</v>
      </c>
      <c r="I271" s="56">
        <v>29294.48</v>
      </c>
      <c r="J271" s="56">
        <v>29131.5</v>
      </c>
      <c r="K271" s="56">
        <v>29105.599999999999</v>
      </c>
      <c r="L271" s="56">
        <v>29325.54</v>
      </c>
      <c r="M271" s="66">
        <f>IF((L272=""),"",MAX(D273:L273))</f>
        <v>2007.7999999999993</v>
      </c>
      <c r="N271" s="66">
        <f>IF(L272="","",MIN(D273:L273))</f>
        <v>-394.70999999999913</v>
      </c>
      <c r="O271" s="66">
        <f>IF((L273=""),"",AVERAGE(D273:L273))</f>
        <v>1155.3177777777782</v>
      </c>
      <c r="P271" s="145">
        <v>1600</v>
      </c>
      <c r="Q271" s="145">
        <v>2000</v>
      </c>
      <c r="R271" s="66">
        <f>IF((L272=""),"",((M271-N271)/(M271+N271))*100)</f>
        <v>148.93837293641386</v>
      </c>
      <c r="S271" s="145">
        <v>20</v>
      </c>
      <c r="T271" s="130" t="str">
        <f>IF(L272="","",IF(R272&lt;20,(IF(O271&gt;1730,IF(O271&lt;1970,"Pass","Fail"),"Fail"))))</f>
        <v>Fail</v>
      </c>
      <c r="U271" s="66">
        <v>1428</v>
      </c>
      <c r="V271" s="146"/>
      <c r="W271" s="56">
        <v>1730</v>
      </c>
      <c r="X271" s="56">
        <v>1970</v>
      </c>
      <c r="Y271" s="56">
        <v>6.2</v>
      </c>
    </row>
    <row r="272" spans="1:25" x14ac:dyDescent="0.3">
      <c r="A272" s="128"/>
      <c r="B272" s="147"/>
      <c r="C272" s="71" t="s">
        <v>89</v>
      </c>
      <c r="D272" s="56">
        <v>27472.11</v>
      </c>
      <c r="E272" s="56">
        <v>27240.799999999999</v>
      </c>
      <c r="F272" s="56">
        <v>27358.84</v>
      </c>
      <c r="G272" s="56">
        <v>27178.75</v>
      </c>
      <c r="H272" s="56">
        <v>27394.92</v>
      </c>
      <c r="I272" s="56">
        <v>27286.68</v>
      </c>
      <c r="J272" s="56">
        <v>27205.17</v>
      </c>
      <c r="K272" s="56">
        <v>27240.34</v>
      </c>
      <c r="L272" s="56">
        <v>27507.32</v>
      </c>
      <c r="M272" s="66"/>
      <c r="N272" s="66"/>
      <c r="O272" s="66"/>
      <c r="P272" s="148"/>
      <c r="Q272" s="148"/>
      <c r="R272" s="66"/>
      <c r="S272" s="148"/>
      <c r="T272" s="132"/>
      <c r="U272" s="66"/>
      <c r="V272" s="146"/>
    </row>
    <row r="273" spans="1:25" ht="39.9" x14ac:dyDescent="0.3">
      <c r="A273" s="128"/>
      <c r="B273" s="149"/>
      <c r="C273" s="71" t="s">
        <v>123</v>
      </c>
      <c r="D273" s="38">
        <f t="shared" ref="D273:L273" si="87">IF(((D271="")*AND(D272="")),"",(D271-D272)*1)</f>
        <v>1870.4799999999996</v>
      </c>
      <c r="E273" s="38">
        <f t="shared" si="87"/>
        <v>-321.32999999999811</v>
      </c>
      <c r="F273" s="38">
        <f t="shared" si="87"/>
        <v>-394.70999999999913</v>
      </c>
      <c r="G273" s="38">
        <f t="shared" si="87"/>
        <v>-314.65999999999985</v>
      </c>
      <c r="H273" s="38">
        <f t="shared" si="87"/>
        <v>1940.4700000000012</v>
      </c>
      <c r="I273" s="38">
        <f t="shared" si="87"/>
        <v>2007.7999999999993</v>
      </c>
      <c r="J273" s="38">
        <f t="shared" si="87"/>
        <v>1926.3300000000017</v>
      </c>
      <c r="K273" s="38">
        <f t="shared" si="87"/>
        <v>1865.2599999999984</v>
      </c>
      <c r="L273" s="38">
        <f t="shared" si="87"/>
        <v>1818.2200000000012</v>
      </c>
      <c r="M273" s="66"/>
      <c r="N273" s="66"/>
      <c r="O273" s="66"/>
      <c r="P273" s="78"/>
      <c r="Q273" s="78"/>
      <c r="R273" s="66"/>
      <c r="S273" s="78"/>
      <c r="T273" s="136"/>
      <c r="U273" s="66"/>
      <c r="V273" s="146"/>
    </row>
    <row r="274" spans="1:25" x14ac:dyDescent="0.3">
      <c r="A274" s="128">
        <v>42901</v>
      </c>
      <c r="B274" s="129" t="s">
        <v>124</v>
      </c>
      <c r="C274" s="71" t="s">
        <v>88</v>
      </c>
      <c r="D274" s="56">
        <v>24674.560000000001</v>
      </c>
      <c r="E274" s="56">
        <v>24639.06</v>
      </c>
      <c r="F274" s="56">
        <v>24823.53</v>
      </c>
      <c r="G274" s="56">
        <v>24568.639999999999</v>
      </c>
      <c r="H274" s="56">
        <v>24484.46</v>
      </c>
      <c r="I274" s="56">
        <v>24446.05</v>
      </c>
      <c r="J274" s="56">
        <v>24588.98</v>
      </c>
      <c r="K274" s="56">
        <v>24571.86</v>
      </c>
      <c r="L274" s="56">
        <v>24667.71</v>
      </c>
      <c r="M274" s="66">
        <f>IF((L275=""),"",MAX(D276:L276))</f>
        <v>1830.1499999999978</v>
      </c>
      <c r="N274" s="66">
        <f>IF(L275="","",MIN(D276:L276))</f>
        <v>1700.6100000000006</v>
      </c>
      <c r="O274" s="66">
        <f>IF((L276=""),"",AVERAGE(D276:L276))</f>
        <v>1765.1255555555554</v>
      </c>
      <c r="P274" s="145">
        <v>1600</v>
      </c>
      <c r="Q274" s="145">
        <v>2000</v>
      </c>
      <c r="R274" s="66">
        <f>IF((L275=""),"",((M274-N274)/(M274+N274))*100)</f>
        <v>3.6688984807802654</v>
      </c>
      <c r="S274" s="145">
        <v>20</v>
      </c>
      <c r="T274" s="130" t="str">
        <f>IF(L275="","",IF(R275&lt;20,(IF(O274&gt;1730,IF(O274&lt;1970,"Pass","Fail"),"Fail"))))</f>
        <v>Pass</v>
      </c>
      <c r="U274" s="66">
        <v>1428</v>
      </c>
      <c r="V274" s="146"/>
      <c r="W274" s="56">
        <v>1730</v>
      </c>
      <c r="X274" s="56">
        <v>1970</v>
      </c>
      <c r="Y274" s="56">
        <v>6.2</v>
      </c>
    </row>
    <row r="275" spans="1:25" x14ac:dyDescent="0.3">
      <c r="A275" s="128"/>
      <c r="B275" s="147"/>
      <c r="C275" s="71" t="s">
        <v>89</v>
      </c>
      <c r="D275" s="56">
        <v>22892.94</v>
      </c>
      <c r="E275" s="56">
        <v>22907.83</v>
      </c>
      <c r="F275" s="56">
        <v>23122.92</v>
      </c>
      <c r="G275" s="56">
        <v>22803.95</v>
      </c>
      <c r="H275" s="56">
        <v>22660.58</v>
      </c>
      <c r="I275" s="56">
        <v>22615.9</v>
      </c>
      <c r="J275" s="56">
        <v>22831.3</v>
      </c>
      <c r="K275" s="56">
        <v>22823.19</v>
      </c>
      <c r="L275" s="56">
        <v>22920.11</v>
      </c>
      <c r="M275" s="66"/>
      <c r="N275" s="66"/>
      <c r="O275" s="66"/>
      <c r="P275" s="148"/>
      <c r="Q275" s="148"/>
      <c r="R275" s="66"/>
      <c r="S275" s="148"/>
      <c r="T275" s="132"/>
      <c r="U275" s="66"/>
      <c r="V275" s="146"/>
    </row>
    <row r="276" spans="1:25" ht="39.9" x14ac:dyDescent="0.3">
      <c r="A276" s="128"/>
      <c r="B276" s="149"/>
      <c r="C276" s="71" t="s">
        <v>123</v>
      </c>
      <c r="D276" s="38">
        <f t="shared" ref="D276:L276" si="88">IF(((D274="")*AND(D275="")),"",(D274-D275)*1)</f>
        <v>1781.6200000000026</v>
      </c>
      <c r="E276" s="38">
        <f t="shared" si="88"/>
        <v>1731.2299999999996</v>
      </c>
      <c r="F276" s="38">
        <f t="shared" si="88"/>
        <v>1700.6100000000006</v>
      </c>
      <c r="G276" s="38">
        <f t="shared" si="88"/>
        <v>1764.6899999999987</v>
      </c>
      <c r="H276" s="38">
        <f t="shared" si="88"/>
        <v>1823.8799999999974</v>
      </c>
      <c r="I276" s="38">
        <f t="shared" si="88"/>
        <v>1830.1499999999978</v>
      </c>
      <c r="J276" s="38">
        <f t="shared" si="88"/>
        <v>1757.6800000000003</v>
      </c>
      <c r="K276" s="38">
        <f t="shared" si="88"/>
        <v>1748.6700000000019</v>
      </c>
      <c r="L276" s="38">
        <f t="shared" si="88"/>
        <v>1747.5999999999985</v>
      </c>
      <c r="M276" s="66"/>
      <c r="N276" s="66"/>
      <c r="O276" s="66"/>
      <c r="P276" s="78"/>
      <c r="Q276" s="78"/>
      <c r="R276" s="66"/>
      <c r="S276" s="78"/>
      <c r="T276" s="136"/>
      <c r="U276" s="66"/>
      <c r="V276" s="146"/>
    </row>
    <row r="277" spans="1:25" x14ac:dyDescent="0.3">
      <c r="A277" s="128">
        <v>42905</v>
      </c>
      <c r="B277" s="129" t="s">
        <v>124</v>
      </c>
      <c r="C277" s="71" t="s">
        <v>88</v>
      </c>
      <c r="D277" s="56">
        <v>29419</v>
      </c>
      <c r="E277" s="56">
        <v>29253</v>
      </c>
      <c r="F277" s="56">
        <v>29221</v>
      </c>
      <c r="G277" s="56">
        <v>29221</v>
      </c>
      <c r="H277" s="56">
        <v>29416</v>
      </c>
      <c r="I277" s="56">
        <v>29390</v>
      </c>
      <c r="J277" s="144">
        <v>29218</v>
      </c>
      <c r="K277" s="144">
        <v>29223</v>
      </c>
      <c r="L277" s="144">
        <v>29426</v>
      </c>
      <c r="M277" s="66">
        <f>IF((L278=""),"",MAX(D279:L279))</f>
        <v>2019</v>
      </c>
      <c r="N277" s="66">
        <f>IF(L278="","",MIN(D279:L279))</f>
        <v>1854</v>
      </c>
      <c r="O277" s="66">
        <f>IF((L279=""),"",AVERAGE(D279:L279))</f>
        <v>1920.8888888888889</v>
      </c>
      <c r="P277" s="145">
        <v>1600</v>
      </c>
      <c r="Q277" s="145">
        <v>2000</v>
      </c>
      <c r="R277" s="66">
        <f>IF((L278=""),"",((M277-N277)/(M277+N277))*100)</f>
        <v>4.2602633617350891</v>
      </c>
      <c r="S277" s="145">
        <v>20</v>
      </c>
      <c r="T277" s="130" t="str">
        <f>IF(L278="","",IF(R278&lt;20,(IF(O277&gt;1730,IF(O277&lt;1970,"Pass","Fail"),"Fail"))))</f>
        <v>Pass</v>
      </c>
      <c r="U277" s="66">
        <v>1159</v>
      </c>
      <c r="V277" s="146"/>
      <c r="W277" s="56">
        <v>1730</v>
      </c>
      <c r="X277" s="56">
        <v>1970</v>
      </c>
      <c r="Y277" s="56">
        <v>6.2</v>
      </c>
    </row>
    <row r="278" spans="1:25" x14ac:dyDescent="0.3">
      <c r="A278" s="128"/>
      <c r="B278" s="147"/>
      <c r="C278" s="71" t="s">
        <v>89</v>
      </c>
      <c r="D278" s="56">
        <v>27503</v>
      </c>
      <c r="E278" s="56">
        <v>27372</v>
      </c>
      <c r="F278" s="56">
        <v>27367</v>
      </c>
      <c r="G278" s="56">
        <v>27289</v>
      </c>
      <c r="H278" s="56">
        <v>27411</v>
      </c>
      <c r="I278" s="56">
        <v>27371</v>
      </c>
      <c r="J278" s="144">
        <v>27307</v>
      </c>
      <c r="K278" s="144">
        <v>27334</v>
      </c>
      <c r="L278" s="144">
        <v>27545</v>
      </c>
      <c r="M278" s="66"/>
      <c r="N278" s="66"/>
      <c r="O278" s="66"/>
      <c r="P278" s="148"/>
      <c r="Q278" s="148"/>
      <c r="R278" s="66"/>
      <c r="S278" s="148"/>
      <c r="T278" s="132"/>
      <c r="U278" s="66"/>
      <c r="V278" s="146"/>
    </row>
    <row r="279" spans="1:25" ht="39.9" x14ac:dyDescent="0.3">
      <c r="A279" s="128"/>
      <c r="B279" s="149"/>
      <c r="C279" s="71" t="s">
        <v>123</v>
      </c>
      <c r="D279" s="38">
        <f t="shared" ref="D279:L279" si="89">IF(((D277="")*AND(D278="")),"",(D277-D278)*1)</f>
        <v>1916</v>
      </c>
      <c r="E279" s="38">
        <f t="shared" si="89"/>
        <v>1881</v>
      </c>
      <c r="F279" s="38">
        <f t="shared" si="89"/>
        <v>1854</v>
      </c>
      <c r="G279" s="38">
        <f t="shared" si="89"/>
        <v>1932</v>
      </c>
      <c r="H279" s="38">
        <f t="shared" si="89"/>
        <v>2005</v>
      </c>
      <c r="I279" s="38">
        <f t="shared" si="89"/>
        <v>2019</v>
      </c>
      <c r="J279" s="38">
        <f t="shared" si="89"/>
        <v>1911</v>
      </c>
      <c r="K279" s="38">
        <f t="shared" si="89"/>
        <v>1889</v>
      </c>
      <c r="L279" s="38">
        <f t="shared" si="89"/>
        <v>1881</v>
      </c>
      <c r="M279" s="66"/>
      <c r="N279" s="66"/>
      <c r="O279" s="66"/>
      <c r="P279" s="78"/>
      <c r="Q279" s="78"/>
      <c r="R279" s="66"/>
      <c r="S279" s="78"/>
      <c r="T279" s="136"/>
      <c r="U279" s="66"/>
      <c r="V279" s="146"/>
    </row>
    <row r="280" spans="1:25" x14ac:dyDescent="0.3">
      <c r="A280" s="128">
        <v>42908</v>
      </c>
      <c r="B280" s="129" t="s">
        <v>124</v>
      </c>
      <c r="C280" s="71" t="s">
        <v>88</v>
      </c>
      <c r="D280" s="56">
        <v>29359</v>
      </c>
      <c r="E280" s="56">
        <v>29199</v>
      </c>
      <c r="F280" s="56">
        <v>29258</v>
      </c>
      <c r="G280" s="56">
        <v>29225</v>
      </c>
      <c r="H280" s="56">
        <v>29487</v>
      </c>
      <c r="I280" s="56">
        <v>29328</v>
      </c>
      <c r="J280" s="144">
        <v>29194</v>
      </c>
      <c r="K280" s="144">
        <v>29210</v>
      </c>
      <c r="L280" s="144">
        <v>29420</v>
      </c>
      <c r="M280" s="66">
        <f>IF((L281=""),"",MAX(D282:L282))</f>
        <v>1983</v>
      </c>
      <c r="N280" s="66">
        <f>IF(L281="","",MIN(D282:L282))</f>
        <v>1802</v>
      </c>
      <c r="O280" s="66">
        <f>IF((L282=""),"",AVERAGE(D282:L282))</f>
        <v>1893.2222222222222</v>
      </c>
      <c r="P280" s="145">
        <v>1600</v>
      </c>
      <c r="Q280" s="145">
        <v>2000</v>
      </c>
      <c r="R280" s="66">
        <f>IF((L281=""),"",((M280-N280)/(M280+N280))*100)</f>
        <v>4.7820343461030381</v>
      </c>
      <c r="S280" s="145">
        <v>20</v>
      </c>
      <c r="T280" s="130" t="str">
        <f>IF(L281="","",IF(R281&lt;20,(IF(O280&gt;1730,IF(O280&lt;1970,"Pass","Fail"),"Fail"))))</f>
        <v>Pass</v>
      </c>
      <c r="U280" s="66">
        <v>1159</v>
      </c>
      <c r="V280" s="146"/>
      <c r="W280" s="56">
        <v>1730</v>
      </c>
      <c r="X280" s="56">
        <v>1970</v>
      </c>
      <c r="Y280" s="56">
        <v>6.2</v>
      </c>
    </row>
    <row r="281" spans="1:25" x14ac:dyDescent="0.3">
      <c r="A281" s="128"/>
      <c r="B281" s="147"/>
      <c r="C281" s="71" t="s">
        <v>89</v>
      </c>
      <c r="D281" s="56">
        <v>27495</v>
      </c>
      <c r="E281" s="56">
        <v>27347</v>
      </c>
      <c r="F281" s="56">
        <v>27456</v>
      </c>
      <c r="G281" s="56">
        <v>27308</v>
      </c>
      <c r="H281" s="56">
        <v>27514</v>
      </c>
      <c r="I281" s="144">
        <v>27345</v>
      </c>
      <c r="J281" s="144">
        <v>27292</v>
      </c>
      <c r="K281" s="144">
        <v>27319</v>
      </c>
      <c r="L281" s="144">
        <v>27565</v>
      </c>
      <c r="M281" s="66"/>
      <c r="N281" s="66"/>
      <c r="O281" s="66"/>
      <c r="P281" s="148"/>
      <c r="Q281" s="148"/>
      <c r="R281" s="66"/>
      <c r="S281" s="148"/>
      <c r="T281" s="132"/>
      <c r="U281" s="66"/>
      <c r="V281" s="146"/>
    </row>
    <row r="282" spans="1:25" ht="39.9" x14ac:dyDescent="0.3">
      <c r="A282" s="128"/>
      <c r="B282" s="149"/>
      <c r="C282" s="71" t="s">
        <v>123</v>
      </c>
      <c r="D282" s="38">
        <f t="shared" ref="D282:L282" si="90">IF(((D280="")*AND(D281="")),"",(D280-D281)*1)</f>
        <v>1864</v>
      </c>
      <c r="E282" s="38">
        <f t="shared" si="90"/>
        <v>1852</v>
      </c>
      <c r="F282" s="38">
        <f t="shared" si="90"/>
        <v>1802</v>
      </c>
      <c r="G282" s="38">
        <f t="shared" si="90"/>
        <v>1917</v>
      </c>
      <c r="H282" s="38">
        <f t="shared" si="90"/>
        <v>1973</v>
      </c>
      <c r="I282" s="38">
        <f t="shared" si="90"/>
        <v>1983</v>
      </c>
      <c r="J282" s="38">
        <f t="shared" si="90"/>
        <v>1902</v>
      </c>
      <c r="K282" s="38">
        <f t="shared" si="90"/>
        <v>1891</v>
      </c>
      <c r="L282" s="38">
        <f t="shared" si="90"/>
        <v>1855</v>
      </c>
      <c r="M282" s="66"/>
      <c r="N282" s="66"/>
      <c r="O282" s="66"/>
      <c r="P282" s="78"/>
      <c r="Q282" s="78"/>
      <c r="R282" s="66"/>
      <c r="S282" s="78"/>
      <c r="T282" s="136"/>
      <c r="U282" s="66"/>
      <c r="V282" s="146"/>
    </row>
    <row r="283" spans="1:25" x14ac:dyDescent="0.3">
      <c r="A283" s="129">
        <v>42912</v>
      </c>
      <c r="B283" s="129" t="s">
        <v>124</v>
      </c>
      <c r="C283" s="71" t="s">
        <v>88</v>
      </c>
      <c r="D283" s="56">
        <v>29284</v>
      </c>
      <c r="E283" s="56">
        <v>29112</v>
      </c>
      <c r="F283" s="56">
        <v>29144</v>
      </c>
      <c r="G283" s="56">
        <v>29161</v>
      </c>
      <c r="H283" s="56">
        <v>29384</v>
      </c>
      <c r="I283" s="144">
        <v>29241</v>
      </c>
      <c r="J283" s="144">
        <v>29117</v>
      </c>
      <c r="K283" s="144">
        <v>29101</v>
      </c>
      <c r="L283" s="144">
        <v>29322</v>
      </c>
      <c r="M283" s="69">
        <f>IF((L284=""),"",MAX(D285:L285))</f>
        <v>2054</v>
      </c>
      <c r="N283" s="69">
        <f>IF(L284="","",MIN(D285:L285))</f>
        <v>1821</v>
      </c>
      <c r="O283" s="69">
        <f>IF((L285=""),"",AVERAGE(D285:L285))</f>
        <v>1923</v>
      </c>
      <c r="P283" s="69">
        <v>1600</v>
      </c>
      <c r="Q283" s="69">
        <v>2000</v>
      </c>
      <c r="R283" s="69">
        <f>IF((L284=""),"",((M283-N283)/(M283+N283))*100)</f>
        <v>6.0129032258064514</v>
      </c>
      <c r="S283" s="69">
        <v>22</v>
      </c>
      <c r="T283" s="130" t="str">
        <f>IF(L284="","",IF(R284&lt;20,(IF(O283&gt;1730,IF(O283&lt;1970,"Pass","Fail"),"Fail"))))</f>
        <v>Pass</v>
      </c>
      <c r="U283" s="69">
        <v>1159</v>
      </c>
      <c r="V283" s="138"/>
      <c r="W283" s="56">
        <v>1730</v>
      </c>
      <c r="X283" s="56">
        <v>1970</v>
      </c>
      <c r="Y283" s="56">
        <v>6.2</v>
      </c>
    </row>
    <row r="284" spans="1:25" x14ac:dyDescent="0.3">
      <c r="A284" s="147"/>
      <c r="B284" s="147"/>
      <c r="C284" s="71" t="s">
        <v>89</v>
      </c>
      <c r="D284" s="56">
        <v>27376</v>
      </c>
      <c r="E284" s="56">
        <v>27267</v>
      </c>
      <c r="F284" s="56">
        <v>27323</v>
      </c>
      <c r="G284" s="56">
        <v>27164</v>
      </c>
      <c r="H284" s="56">
        <v>27330</v>
      </c>
      <c r="I284" s="144">
        <v>27225</v>
      </c>
      <c r="J284" s="144">
        <v>27214</v>
      </c>
      <c r="K284" s="144">
        <v>27191</v>
      </c>
      <c r="L284" s="144">
        <v>27469</v>
      </c>
      <c r="M284" s="77"/>
      <c r="N284" s="77"/>
      <c r="O284" s="77"/>
      <c r="P284" s="77"/>
      <c r="Q284" s="77"/>
      <c r="R284" s="77"/>
      <c r="S284" s="77"/>
      <c r="T284" s="132"/>
      <c r="U284" s="77"/>
      <c r="V284" s="139"/>
    </row>
    <row r="285" spans="1:25" ht="39.9" x14ac:dyDescent="0.3">
      <c r="A285" s="149"/>
      <c r="B285" s="149"/>
      <c r="C285" s="71" t="s">
        <v>123</v>
      </c>
      <c r="D285" s="38">
        <f t="shared" ref="D285:L285" si="91">IF(((D283="")*AND(D284="")),"",(D283-D284)*1)</f>
        <v>1908</v>
      </c>
      <c r="E285" s="38">
        <f t="shared" si="91"/>
        <v>1845</v>
      </c>
      <c r="F285" s="38">
        <f t="shared" si="91"/>
        <v>1821</v>
      </c>
      <c r="G285" s="38">
        <f t="shared" si="91"/>
        <v>1997</v>
      </c>
      <c r="H285" s="38">
        <f t="shared" si="91"/>
        <v>2054</v>
      </c>
      <c r="I285" s="38">
        <f t="shared" si="91"/>
        <v>2016</v>
      </c>
      <c r="J285" s="38">
        <f t="shared" si="91"/>
        <v>1903</v>
      </c>
      <c r="K285" s="38">
        <f t="shared" si="91"/>
        <v>1910</v>
      </c>
      <c r="L285" s="38">
        <f t="shared" si="91"/>
        <v>1853</v>
      </c>
      <c r="M285" s="135"/>
      <c r="N285" s="135"/>
      <c r="O285" s="135"/>
      <c r="P285" s="135"/>
      <c r="Q285" s="135"/>
      <c r="R285" s="135"/>
      <c r="S285" s="135"/>
      <c r="T285" s="136"/>
      <c r="U285" s="135"/>
      <c r="V285" s="140"/>
    </row>
    <row r="286" spans="1:25" x14ac:dyDescent="0.3">
      <c r="A286" s="129">
        <v>42915</v>
      </c>
      <c r="B286" s="129" t="s">
        <v>124</v>
      </c>
      <c r="C286" s="71" t="s">
        <v>88</v>
      </c>
      <c r="D286" s="56">
        <v>29382.33</v>
      </c>
      <c r="E286" s="56">
        <v>29219.919999999998</v>
      </c>
      <c r="F286" s="56">
        <v>29203.34</v>
      </c>
      <c r="G286" s="56">
        <v>29223.17</v>
      </c>
      <c r="H286" s="56">
        <v>29461.15</v>
      </c>
      <c r="I286" s="56">
        <v>29384.15</v>
      </c>
      <c r="J286" s="56">
        <v>29209.439999999999</v>
      </c>
      <c r="K286" s="56">
        <v>29226.14</v>
      </c>
      <c r="L286" s="56">
        <v>29449</v>
      </c>
      <c r="M286" s="69">
        <f>IF((L287=""),"",MAX(D288:L288))</f>
        <v>1958.2100000000028</v>
      </c>
      <c r="N286" s="69">
        <f>IF(L287="","",MIN(D288:L288))</f>
        <v>1793.0699999999997</v>
      </c>
      <c r="O286" s="69">
        <f>IF((L288=""),"",AVERAGE(D288:L288))</f>
        <v>1861.4744444444445</v>
      </c>
      <c r="P286" s="69">
        <v>1600</v>
      </c>
      <c r="Q286" s="69">
        <v>2000</v>
      </c>
      <c r="R286" s="69">
        <f>IF((L287=""),"",((M286-N286)/(M286+N286))*100)</f>
        <v>4.4022307052526859</v>
      </c>
      <c r="S286" s="69">
        <v>23</v>
      </c>
      <c r="T286" s="130" t="str">
        <f>IF(L287="","",IF(R287&lt;20,(IF(O286&gt;1730,IF(O286&lt;1970,"Pass","Fail"),"Fail"))))</f>
        <v>Pass</v>
      </c>
      <c r="U286" s="69">
        <v>102</v>
      </c>
      <c r="V286" s="138"/>
      <c r="W286" s="56">
        <v>1730</v>
      </c>
      <c r="X286" s="56">
        <v>1970</v>
      </c>
      <c r="Y286" s="56">
        <v>6.2</v>
      </c>
    </row>
    <row r="287" spans="1:25" x14ac:dyDescent="0.3">
      <c r="A287" s="147"/>
      <c r="B287" s="147"/>
      <c r="C287" s="71" t="s">
        <v>89</v>
      </c>
      <c r="D287" s="56">
        <v>27532</v>
      </c>
      <c r="E287" s="56">
        <v>27402.69</v>
      </c>
      <c r="F287" s="56">
        <v>27410.27</v>
      </c>
      <c r="G287" s="56">
        <v>27358.49</v>
      </c>
      <c r="H287" s="56">
        <v>27514.12</v>
      </c>
      <c r="I287" s="56">
        <v>27425.94</v>
      </c>
      <c r="J287" s="56">
        <v>27363.18</v>
      </c>
      <c r="K287" s="56">
        <v>27381.599999999999</v>
      </c>
      <c r="L287" s="56">
        <v>27617.08</v>
      </c>
      <c r="M287" s="77"/>
      <c r="N287" s="77"/>
      <c r="O287" s="77"/>
      <c r="P287" s="77"/>
      <c r="Q287" s="77"/>
      <c r="R287" s="77"/>
      <c r="S287" s="77"/>
      <c r="T287" s="132"/>
      <c r="U287" s="77"/>
      <c r="V287" s="139"/>
    </row>
    <row r="288" spans="1:25" ht="39.9" x14ac:dyDescent="0.3">
      <c r="A288" s="149"/>
      <c r="B288" s="149"/>
      <c r="C288" s="71" t="s">
        <v>123</v>
      </c>
      <c r="D288" s="38">
        <f t="shared" ref="D288:L288" si="92">IF(((D286="")*AND(D287="")),"",(D286-D287)*1)</f>
        <v>1850.3300000000017</v>
      </c>
      <c r="E288" s="38">
        <f t="shared" si="92"/>
        <v>1817.2299999999996</v>
      </c>
      <c r="F288" s="38">
        <f t="shared" si="92"/>
        <v>1793.0699999999997</v>
      </c>
      <c r="G288" s="38">
        <f t="shared" si="92"/>
        <v>1864.6799999999967</v>
      </c>
      <c r="H288" s="38">
        <f t="shared" si="92"/>
        <v>1947.0300000000025</v>
      </c>
      <c r="I288" s="38">
        <f t="shared" si="92"/>
        <v>1958.2100000000028</v>
      </c>
      <c r="J288" s="38">
        <f t="shared" si="92"/>
        <v>1846.2599999999984</v>
      </c>
      <c r="K288" s="38">
        <f t="shared" si="92"/>
        <v>1844.5400000000009</v>
      </c>
      <c r="L288" s="38">
        <f t="shared" si="92"/>
        <v>1831.9199999999983</v>
      </c>
      <c r="M288" s="135"/>
      <c r="N288" s="135"/>
      <c r="O288" s="135"/>
      <c r="P288" s="135"/>
      <c r="Q288" s="135"/>
      <c r="R288" s="135"/>
      <c r="S288" s="135"/>
      <c r="T288" s="136"/>
      <c r="U288" s="135"/>
      <c r="V288" s="140"/>
    </row>
    <row r="289" spans="1:25" x14ac:dyDescent="0.3">
      <c r="A289" s="128">
        <v>42921</v>
      </c>
      <c r="B289" s="129" t="s">
        <v>124</v>
      </c>
      <c r="C289" s="71" t="s">
        <v>88</v>
      </c>
      <c r="D289" s="56">
        <v>29293</v>
      </c>
      <c r="E289" s="56">
        <v>29111</v>
      </c>
      <c r="F289" s="56">
        <v>29162</v>
      </c>
      <c r="G289" s="56">
        <v>29127</v>
      </c>
      <c r="H289" s="56">
        <v>29382</v>
      </c>
      <c r="I289" s="144">
        <v>29243</v>
      </c>
      <c r="J289" s="144">
        <v>29101</v>
      </c>
      <c r="K289" s="144">
        <v>29120</v>
      </c>
      <c r="L289" s="144">
        <v>29358</v>
      </c>
      <c r="M289" s="66">
        <f>IF((L290=""),"",MAX(D291:L291))</f>
        <v>1917</v>
      </c>
      <c r="N289" s="66">
        <f>IF(L290="","",MIN(D291:L291))</f>
        <v>1771</v>
      </c>
      <c r="O289" s="66">
        <f>IF((L291=""),"",AVERAGE(D291:L291))</f>
        <v>1833.1111111111111</v>
      </c>
      <c r="P289" s="145">
        <v>1600</v>
      </c>
      <c r="Q289" s="145">
        <v>2000</v>
      </c>
      <c r="R289" s="66">
        <f>IF((L290=""),"",((M289-N289)/(M289+N289))*100)</f>
        <v>3.9587852494577005</v>
      </c>
      <c r="S289" s="145">
        <v>20</v>
      </c>
      <c r="T289" s="130" t="str">
        <f>IF(L290="","",IF(R290&lt;20,(IF(O289&gt;1730,IF(O289&lt;1970,"Pass","Fail"),"Fail"))))</f>
        <v>Pass</v>
      </c>
      <c r="U289" s="66">
        <v>121</v>
      </c>
      <c r="V289" s="146"/>
      <c r="W289" s="56">
        <v>1730</v>
      </c>
      <c r="X289" s="56">
        <v>1970</v>
      </c>
      <c r="Y289" s="56">
        <v>6.2</v>
      </c>
    </row>
    <row r="290" spans="1:25" x14ac:dyDescent="0.3">
      <c r="A290" s="128"/>
      <c r="B290" s="147"/>
      <c r="C290" s="71" t="s">
        <v>89</v>
      </c>
      <c r="D290" s="56">
        <v>27457</v>
      </c>
      <c r="E290" s="56">
        <v>27321</v>
      </c>
      <c r="F290" s="56">
        <v>27391</v>
      </c>
      <c r="G290" s="56">
        <v>27291</v>
      </c>
      <c r="H290" s="56">
        <v>27465</v>
      </c>
      <c r="I290" s="56">
        <v>27330</v>
      </c>
      <c r="J290" s="144">
        <v>27290</v>
      </c>
      <c r="K290" s="144">
        <v>27312</v>
      </c>
      <c r="L290" s="144">
        <v>27542</v>
      </c>
      <c r="M290" s="66"/>
      <c r="N290" s="66"/>
      <c r="O290" s="66"/>
      <c r="P290" s="148"/>
      <c r="Q290" s="148"/>
      <c r="R290" s="66"/>
      <c r="S290" s="148"/>
      <c r="T290" s="132"/>
      <c r="U290" s="66"/>
      <c r="V290" s="146"/>
    </row>
    <row r="291" spans="1:25" ht="39.9" x14ac:dyDescent="0.3">
      <c r="A291" s="128"/>
      <c r="B291" s="149"/>
      <c r="C291" s="71" t="s">
        <v>123</v>
      </c>
      <c r="D291" s="38">
        <f t="shared" ref="D291:L291" si="93">IF(((D289="")*AND(D290="")),"",(D289-D290)*1)</f>
        <v>1836</v>
      </c>
      <c r="E291" s="38">
        <f t="shared" si="93"/>
        <v>1790</v>
      </c>
      <c r="F291" s="38">
        <f t="shared" si="93"/>
        <v>1771</v>
      </c>
      <c r="G291" s="38">
        <f t="shared" si="93"/>
        <v>1836</v>
      </c>
      <c r="H291" s="38">
        <f t="shared" si="93"/>
        <v>1917</v>
      </c>
      <c r="I291" s="38">
        <f t="shared" si="93"/>
        <v>1913</v>
      </c>
      <c r="J291" s="38">
        <f t="shared" si="93"/>
        <v>1811</v>
      </c>
      <c r="K291" s="38">
        <f t="shared" si="93"/>
        <v>1808</v>
      </c>
      <c r="L291" s="38">
        <f t="shared" si="93"/>
        <v>1816</v>
      </c>
      <c r="M291" s="66"/>
      <c r="N291" s="66"/>
      <c r="O291" s="66"/>
      <c r="P291" s="78"/>
      <c r="Q291" s="78"/>
      <c r="R291" s="66"/>
      <c r="S291" s="78"/>
      <c r="T291" s="136"/>
      <c r="U291" s="66"/>
      <c r="V291" s="146"/>
    </row>
    <row r="292" spans="1:25" x14ac:dyDescent="0.3">
      <c r="A292" s="128">
        <v>42926</v>
      </c>
      <c r="B292" s="129" t="s">
        <v>124</v>
      </c>
      <c r="C292" s="71" t="s">
        <v>88</v>
      </c>
      <c r="D292" s="56">
        <v>29216.959999999999</v>
      </c>
      <c r="E292" s="56">
        <v>29037.279999999999</v>
      </c>
      <c r="F292" s="56">
        <v>29002.639999999999</v>
      </c>
      <c r="G292" s="56">
        <v>29095.03</v>
      </c>
      <c r="H292" s="56">
        <v>29265.279999999999</v>
      </c>
      <c r="I292" s="56">
        <v>29178.23</v>
      </c>
      <c r="J292" s="56">
        <v>29076.62</v>
      </c>
      <c r="K292" s="56">
        <v>29030.35</v>
      </c>
      <c r="L292" s="56">
        <v>29260.31</v>
      </c>
      <c r="M292" s="66">
        <f>IF((L293=""),"",MAX(D294:L294))</f>
        <v>1978.3600000000006</v>
      </c>
      <c r="N292" s="66">
        <f>IF(L293="","",MIN(D294:L294))</f>
        <v>1731.8499999999985</v>
      </c>
      <c r="O292" s="66">
        <f>IF((L294=""),"",AVERAGE(D294:L294))</f>
        <v>1867.2244444444441</v>
      </c>
      <c r="P292" s="145">
        <v>1600</v>
      </c>
      <c r="Q292" s="145">
        <v>2000</v>
      </c>
      <c r="R292" s="66">
        <f>IF((L293=""),"",((M292-N292)/(M292+N292))*100)</f>
        <v>6.6440983124944983</v>
      </c>
      <c r="S292" s="145">
        <v>20</v>
      </c>
      <c r="T292" s="130" t="str">
        <f>IF(L293="","",IF(R293&lt;20,(IF(O292&gt;1730,IF(O292&lt;1970,"Pass","Fail"),"Fail"))))</f>
        <v>Pass</v>
      </c>
      <c r="U292" s="66">
        <v>1159</v>
      </c>
      <c r="V292" s="146"/>
      <c r="W292" s="56">
        <v>1730</v>
      </c>
      <c r="X292" s="56">
        <v>1970</v>
      </c>
      <c r="Y292" s="56">
        <v>6.2</v>
      </c>
    </row>
    <row r="293" spans="1:25" x14ac:dyDescent="0.3">
      <c r="A293" s="128"/>
      <c r="B293" s="147"/>
      <c r="C293" s="71" t="s">
        <v>89</v>
      </c>
      <c r="D293" s="56">
        <v>27397.03</v>
      </c>
      <c r="E293" s="56">
        <v>27258.11</v>
      </c>
      <c r="F293" s="56">
        <v>27270.79</v>
      </c>
      <c r="G293" s="56">
        <v>27116.67</v>
      </c>
      <c r="H293" s="56">
        <v>27297.01</v>
      </c>
      <c r="I293" s="56">
        <v>27210.57</v>
      </c>
      <c r="J293" s="56">
        <v>27193.79</v>
      </c>
      <c r="K293" s="56">
        <v>27196.95</v>
      </c>
      <c r="L293" s="56">
        <v>27416.76</v>
      </c>
      <c r="M293" s="66"/>
      <c r="N293" s="66"/>
      <c r="O293" s="66"/>
      <c r="P293" s="148"/>
      <c r="Q293" s="148"/>
      <c r="R293" s="66"/>
      <c r="S293" s="148"/>
      <c r="T293" s="132"/>
      <c r="U293" s="66"/>
      <c r="V293" s="146"/>
    </row>
    <row r="294" spans="1:25" ht="39.9" x14ac:dyDescent="0.3">
      <c r="A294" s="128"/>
      <c r="B294" s="149"/>
      <c r="C294" s="71" t="s">
        <v>123</v>
      </c>
      <c r="D294" s="38">
        <f t="shared" ref="D294:L294" si="94">IF(((D292="")*AND(D293="")),"",(D292-D293)*1)</f>
        <v>1819.9300000000003</v>
      </c>
      <c r="E294" s="38">
        <f t="shared" si="94"/>
        <v>1779.1699999999983</v>
      </c>
      <c r="F294" s="38">
        <f t="shared" si="94"/>
        <v>1731.8499999999985</v>
      </c>
      <c r="G294" s="38">
        <f t="shared" si="94"/>
        <v>1978.3600000000006</v>
      </c>
      <c r="H294" s="38">
        <f t="shared" si="94"/>
        <v>1968.2700000000004</v>
      </c>
      <c r="I294" s="38">
        <f t="shared" si="94"/>
        <v>1967.6599999999999</v>
      </c>
      <c r="J294" s="38">
        <f t="shared" si="94"/>
        <v>1882.8299999999981</v>
      </c>
      <c r="K294" s="38">
        <f t="shared" si="94"/>
        <v>1833.3999999999978</v>
      </c>
      <c r="L294" s="38">
        <f t="shared" si="94"/>
        <v>1843.5500000000029</v>
      </c>
      <c r="M294" s="66"/>
      <c r="N294" s="66"/>
      <c r="O294" s="66"/>
      <c r="P294" s="78"/>
      <c r="Q294" s="78"/>
      <c r="R294" s="66"/>
      <c r="S294" s="78"/>
      <c r="T294" s="136"/>
      <c r="U294" s="66"/>
      <c r="V294" s="146"/>
    </row>
    <row r="295" spans="1:25" x14ac:dyDescent="0.3">
      <c r="A295" s="129">
        <v>42929</v>
      </c>
      <c r="B295" s="129" t="s">
        <v>124</v>
      </c>
      <c r="C295" s="71" t="s">
        <v>88</v>
      </c>
      <c r="D295" s="56">
        <v>29385.23</v>
      </c>
      <c r="E295" s="56">
        <v>29210.69</v>
      </c>
      <c r="F295" s="56">
        <v>29266.59</v>
      </c>
      <c r="G295" s="56">
        <v>29221.34</v>
      </c>
      <c r="H295" s="56">
        <v>29444.560000000001</v>
      </c>
      <c r="I295" s="56">
        <v>29309.54</v>
      </c>
      <c r="J295" s="56">
        <v>29204.67</v>
      </c>
      <c r="K295" s="56">
        <v>29216.29</v>
      </c>
      <c r="L295" s="56">
        <v>29465.41</v>
      </c>
      <c r="M295" s="69">
        <f>IF((L296=""),"",MAX(D297:L297))</f>
        <v>2006.510000000002</v>
      </c>
      <c r="N295" s="69">
        <f>IF(L296="","",MIN(D297:L297))</f>
        <v>1842.5999999999985</v>
      </c>
      <c r="O295" s="69">
        <f>IF((L297=""),"",AVERAGE(D297:L297))</f>
        <v>1909.5466666666669</v>
      </c>
      <c r="P295" s="69">
        <v>1600</v>
      </c>
      <c r="Q295" s="69">
        <v>2000</v>
      </c>
      <c r="R295" s="69">
        <f>IF((L296=""),"",((M295-N295)/(M295+N295))*100)</f>
        <v>4.2583870037490081</v>
      </c>
      <c r="S295" s="69">
        <v>22</v>
      </c>
      <c r="T295" s="130" t="str">
        <f>IF(L296="","",IF(R296&lt;20,(IF(O295&gt;1730,IF(O295&lt;1970,"Pass","Fail"),"Fail"))))</f>
        <v>Pass</v>
      </c>
      <c r="U295" s="69">
        <v>1159</v>
      </c>
      <c r="V295" s="138"/>
      <c r="W295" s="56">
        <v>1730</v>
      </c>
      <c r="X295" s="56">
        <v>1970</v>
      </c>
      <c r="Y295" s="56">
        <v>6.2</v>
      </c>
    </row>
    <row r="296" spans="1:25" x14ac:dyDescent="0.3">
      <c r="A296" s="147"/>
      <c r="B296" s="147"/>
      <c r="C296" s="71" t="s">
        <v>89</v>
      </c>
      <c r="D296" s="56">
        <v>27500.36</v>
      </c>
      <c r="E296" s="56">
        <v>27358.61</v>
      </c>
      <c r="F296" s="56">
        <v>27423.99</v>
      </c>
      <c r="G296" s="56">
        <v>27305.599999999999</v>
      </c>
      <c r="H296" s="56">
        <v>27438.05</v>
      </c>
      <c r="I296" s="56">
        <v>27315.75</v>
      </c>
      <c r="J296" s="56">
        <v>27303.66</v>
      </c>
      <c r="K296" s="56">
        <v>27322.46</v>
      </c>
      <c r="L296" s="56">
        <v>27569.919999999998</v>
      </c>
      <c r="M296" s="77"/>
      <c r="N296" s="77"/>
      <c r="O296" s="77"/>
      <c r="P296" s="77"/>
      <c r="Q296" s="77"/>
      <c r="R296" s="77"/>
      <c r="S296" s="77"/>
      <c r="T296" s="132"/>
      <c r="U296" s="77"/>
      <c r="V296" s="139"/>
    </row>
    <row r="297" spans="1:25" ht="39.9" x14ac:dyDescent="0.3">
      <c r="A297" s="149"/>
      <c r="B297" s="149"/>
      <c r="C297" s="71" t="s">
        <v>123</v>
      </c>
      <c r="D297" s="38">
        <f t="shared" ref="D297:L297" si="95">IF(((D295="")*AND(D296="")),"",(D295-D296)*1)</f>
        <v>1884.869999999999</v>
      </c>
      <c r="E297" s="38">
        <f t="shared" si="95"/>
        <v>1852.0799999999981</v>
      </c>
      <c r="F297" s="38">
        <f t="shared" si="95"/>
        <v>1842.5999999999985</v>
      </c>
      <c r="G297" s="38">
        <f t="shared" si="95"/>
        <v>1915.7400000000016</v>
      </c>
      <c r="H297" s="38">
        <f t="shared" si="95"/>
        <v>2006.510000000002</v>
      </c>
      <c r="I297" s="38">
        <f t="shared" si="95"/>
        <v>1993.7900000000009</v>
      </c>
      <c r="J297" s="38">
        <f t="shared" si="95"/>
        <v>1901.0099999999984</v>
      </c>
      <c r="K297" s="38">
        <f t="shared" si="95"/>
        <v>1893.8300000000017</v>
      </c>
      <c r="L297" s="38">
        <f t="shared" si="95"/>
        <v>1895.4900000000016</v>
      </c>
      <c r="M297" s="135"/>
      <c r="N297" s="135"/>
      <c r="O297" s="135"/>
      <c r="P297" s="135"/>
      <c r="Q297" s="135"/>
      <c r="R297" s="135"/>
      <c r="S297" s="135"/>
      <c r="T297" s="136"/>
      <c r="U297" s="135"/>
      <c r="V297" s="140"/>
    </row>
    <row r="298" spans="1:25" x14ac:dyDescent="0.3">
      <c r="A298" s="129">
        <v>42933</v>
      </c>
      <c r="B298" s="129" t="s">
        <v>124</v>
      </c>
      <c r="C298" s="71" t="s">
        <v>88</v>
      </c>
      <c r="D298" s="56">
        <v>29312.81</v>
      </c>
      <c r="E298" s="56">
        <v>29179.32</v>
      </c>
      <c r="F298" s="56">
        <v>29184.09</v>
      </c>
      <c r="G298" s="56">
        <v>29156.67</v>
      </c>
      <c r="H298" s="56">
        <v>29342.31</v>
      </c>
      <c r="I298" s="56">
        <v>29293.91</v>
      </c>
      <c r="J298" s="56">
        <v>29119.13</v>
      </c>
      <c r="K298" s="56">
        <v>29121.07</v>
      </c>
      <c r="L298" s="56">
        <v>29316.25</v>
      </c>
      <c r="M298" s="69">
        <f>IF((L299=""),"",MAX(D300:L300))</f>
        <v>1975.7900000000009</v>
      </c>
      <c r="N298" s="69">
        <f>IF(L299="","",MIN(D300:L300))</f>
        <v>1804.0400000000009</v>
      </c>
      <c r="O298" s="69">
        <f>IF((L300=""),"",AVERAGE(D300:L300))</f>
        <v>1902.7755555555555</v>
      </c>
      <c r="P298" s="69">
        <v>1600</v>
      </c>
      <c r="Q298" s="69">
        <v>2000</v>
      </c>
      <c r="R298" s="69">
        <f>IF((L299=""),"",((M298-N298)/(M298+N298))*100)</f>
        <v>4.5438551469245949</v>
      </c>
      <c r="S298" s="69">
        <v>23</v>
      </c>
      <c r="T298" s="130" t="str">
        <f>IF(L299="","",IF(R299&lt;20,(IF(O298&gt;1730,IF(O298&lt;1970,"Pass","Fail"),"Fail"))))</f>
        <v>Pass</v>
      </c>
      <c r="U298" s="69">
        <v>1428</v>
      </c>
      <c r="V298" s="138"/>
      <c r="W298" s="56">
        <v>1730</v>
      </c>
      <c r="X298" s="56">
        <v>1970</v>
      </c>
      <c r="Y298" s="56">
        <v>6.2</v>
      </c>
    </row>
    <row r="299" spans="1:25" x14ac:dyDescent="0.3">
      <c r="A299" s="147"/>
      <c r="B299" s="147"/>
      <c r="C299" s="71" t="s">
        <v>89</v>
      </c>
      <c r="D299" s="56">
        <v>27398.25</v>
      </c>
      <c r="E299" s="56">
        <v>27307.040000000001</v>
      </c>
      <c r="F299" s="56">
        <v>27380.05</v>
      </c>
      <c r="G299" s="56">
        <v>27227.49</v>
      </c>
      <c r="H299" s="56">
        <v>27366.52</v>
      </c>
      <c r="I299" s="56">
        <v>27330.34</v>
      </c>
      <c r="J299" s="56">
        <v>27211.11</v>
      </c>
      <c r="K299" s="56">
        <v>27259.71</v>
      </c>
      <c r="L299" s="56">
        <v>27420.07</v>
      </c>
      <c r="M299" s="77"/>
      <c r="N299" s="77"/>
      <c r="O299" s="77"/>
      <c r="P299" s="77"/>
      <c r="Q299" s="77"/>
      <c r="R299" s="77"/>
      <c r="S299" s="77"/>
      <c r="T299" s="132"/>
      <c r="U299" s="77"/>
      <c r="V299" s="139"/>
    </row>
    <row r="300" spans="1:25" ht="39.9" x14ac:dyDescent="0.3">
      <c r="A300" s="149"/>
      <c r="B300" s="149"/>
      <c r="C300" s="71" t="s">
        <v>123</v>
      </c>
      <c r="D300" s="38">
        <f t="shared" ref="D300:L300" si="96">IF(((D298="")*AND(D299="")),"",(D298-D299)*1)</f>
        <v>1914.5600000000013</v>
      </c>
      <c r="E300" s="38">
        <f t="shared" si="96"/>
        <v>1872.2799999999988</v>
      </c>
      <c r="F300" s="38">
        <f t="shared" si="96"/>
        <v>1804.0400000000009</v>
      </c>
      <c r="G300" s="38">
        <f t="shared" si="96"/>
        <v>1929.1799999999967</v>
      </c>
      <c r="H300" s="38">
        <f t="shared" si="96"/>
        <v>1975.7900000000009</v>
      </c>
      <c r="I300" s="38">
        <f t="shared" si="96"/>
        <v>1963.5699999999997</v>
      </c>
      <c r="J300" s="38">
        <f t="shared" si="96"/>
        <v>1908.0200000000004</v>
      </c>
      <c r="K300" s="38">
        <f t="shared" si="96"/>
        <v>1861.3600000000006</v>
      </c>
      <c r="L300" s="38">
        <f t="shared" si="96"/>
        <v>1896.1800000000003</v>
      </c>
      <c r="M300" s="135"/>
      <c r="N300" s="135"/>
      <c r="O300" s="135"/>
      <c r="P300" s="135"/>
      <c r="Q300" s="135"/>
      <c r="R300" s="135"/>
      <c r="S300" s="135"/>
      <c r="T300" s="136"/>
      <c r="U300" s="135"/>
      <c r="V300" s="140"/>
    </row>
    <row r="301" spans="1:25" x14ac:dyDescent="0.3">
      <c r="A301" s="129">
        <v>42937</v>
      </c>
      <c r="B301" s="129" t="s">
        <v>124</v>
      </c>
      <c r="C301" s="71" t="s">
        <v>88</v>
      </c>
      <c r="D301" s="56">
        <v>27445.72</v>
      </c>
      <c r="E301" s="56">
        <v>27339.439999999999</v>
      </c>
      <c r="F301" s="56">
        <v>27417.91</v>
      </c>
      <c r="G301" s="56">
        <v>27203.89</v>
      </c>
      <c r="H301" s="56">
        <v>27414.959999999999</v>
      </c>
      <c r="I301" s="56">
        <v>27336.97</v>
      </c>
      <c r="J301" s="56">
        <v>27291.7</v>
      </c>
      <c r="K301" s="56">
        <v>27268.62</v>
      </c>
      <c r="L301" s="56">
        <v>27456.54</v>
      </c>
      <c r="M301" s="69">
        <f>IF((L302=""),"",MAX(D303:L303))</f>
        <v>1927.4500000000007</v>
      </c>
      <c r="N301" s="69">
        <f>IF(L302="","",MIN(D303:L303))</f>
        <v>1742.9700000000012</v>
      </c>
      <c r="O301" s="69">
        <f>IF((L303=""),"",AVERAGE(D303:L303))</f>
        <v>1844.1900000000003</v>
      </c>
      <c r="P301" s="69">
        <v>1600</v>
      </c>
      <c r="Q301" s="69">
        <v>2000</v>
      </c>
      <c r="R301" s="69">
        <f>IF((L302=""),"",((M301-N301)/(M301+N301))*100)</f>
        <v>5.0261278000882585</v>
      </c>
      <c r="S301" s="69">
        <v>23</v>
      </c>
      <c r="T301" s="130" t="str">
        <f>IF(L302="","",IF(R302&lt;20,(IF(O301&gt;1730,IF(O301&lt;1970,"Pass","Fail"),"Fail"))))</f>
        <v>Pass</v>
      </c>
      <c r="U301" s="69">
        <v>1335</v>
      </c>
      <c r="W301" s="56">
        <v>1730</v>
      </c>
      <c r="X301" s="56">
        <v>1970</v>
      </c>
      <c r="Y301" s="56">
        <v>6.2</v>
      </c>
    </row>
    <row r="302" spans="1:25" x14ac:dyDescent="0.3">
      <c r="A302" s="62"/>
      <c r="B302" s="147"/>
      <c r="C302" s="71" t="s">
        <v>89</v>
      </c>
      <c r="D302" s="56">
        <v>25608.43</v>
      </c>
      <c r="E302" s="56">
        <v>25524.34</v>
      </c>
      <c r="F302" s="56">
        <v>25674.94</v>
      </c>
      <c r="G302" s="56">
        <v>25406.97</v>
      </c>
      <c r="H302" s="56">
        <v>25487.51</v>
      </c>
      <c r="I302" s="56">
        <v>25417.94</v>
      </c>
      <c r="J302" s="56">
        <v>25413.33</v>
      </c>
      <c r="K302" s="56">
        <v>25430.14</v>
      </c>
      <c r="L302" s="56">
        <v>25614.44</v>
      </c>
      <c r="M302" s="77"/>
      <c r="N302" s="77"/>
      <c r="O302" s="77"/>
      <c r="P302" s="77"/>
      <c r="Q302" s="77"/>
      <c r="R302" s="77"/>
      <c r="S302" s="77"/>
      <c r="T302" s="132"/>
      <c r="U302" s="77"/>
      <c r="V302" s="139"/>
    </row>
    <row r="303" spans="1:25" ht="39.9" x14ac:dyDescent="0.3">
      <c r="A303" s="149"/>
      <c r="B303" s="149"/>
      <c r="C303" s="71" t="s">
        <v>123</v>
      </c>
      <c r="D303" s="38">
        <f t="shared" ref="D303:L303" si="97">IF(((D301="")*AND(D302="")),"",(D301-D302)*1)</f>
        <v>1837.2900000000009</v>
      </c>
      <c r="E303" s="38">
        <f t="shared" si="97"/>
        <v>1815.0999999999985</v>
      </c>
      <c r="F303" s="38">
        <f t="shared" si="97"/>
        <v>1742.9700000000012</v>
      </c>
      <c r="G303" s="38">
        <f t="shared" si="97"/>
        <v>1796.9199999999983</v>
      </c>
      <c r="H303" s="38">
        <f t="shared" si="97"/>
        <v>1927.4500000000007</v>
      </c>
      <c r="I303" s="38">
        <f t="shared" si="97"/>
        <v>1919.0300000000025</v>
      </c>
      <c r="J303" s="38">
        <f t="shared" si="97"/>
        <v>1878.369999999999</v>
      </c>
      <c r="K303" s="38">
        <f t="shared" si="97"/>
        <v>1838.4799999999996</v>
      </c>
      <c r="L303" s="38">
        <f t="shared" si="97"/>
        <v>1842.1000000000022</v>
      </c>
      <c r="M303" s="135"/>
      <c r="N303" s="135"/>
      <c r="O303" s="135"/>
      <c r="P303" s="135"/>
      <c r="Q303" s="135"/>
      <c r="R303" s="135"/>
      <c r="S303" s="135"/>
      <c r="T303" s="136"/>
      <c r="U303" s="135"/>
      <c r="V303" s="140"/>
    </row>
    <row r="304" spans="1:25" x14ac:dyDescent="0.3">
      <c r="A304" s="129">
        <v>42940</v>
      </c>
      <c r="B304" s="129" t="s">
        <v>124</v>
      </c>
      <c r="C304" s="71" t="s">
        <v>88</v>
      </c>
      <c r="D304" s="56">
        <v>29323.46</v>
      </c>
      <c r="E304" s="56">
        <v>29121.45</v>
      </c>
      <c r="F304" s="56">
        <v>29247.78</v>
      </c>
      <c r="G304" s="56">
        <v>29142.91</v>
      </c>
      <c r="H304" s="56">
        <v>29277.06</v>
      </c>
      <c r="I304" s="56">
        <v>29263.23</v>
      </c>
      <c r="J304" s="56">
        <v>29123.79</v>
      </c>
      <c r="K304" s="56">
        <v>29146.560000000001</v>
      </c>
      <c r="L304" s="56">
        <v>29326.58</v>
      </c>
      <c r="M304" s="69">
        <f>IF((L305=""),"",MAX(D306:L306))</f>
        <v>1983.3100000000013</v>
      </c>
      <c r="N304" s="69">
        <f>IF(L305="","",MIN(D306:L306))</f>
        <v>1840.1399999999994</v>
      </c>
      <c r="O304" s="69">
        <f>IF((L306=""),"",AVERAGE(D306:L306))</f>
        <v>1929.7644444444441</v>
      </c>
      <c r="P304" s="69">
        <v>1600</v>
      </c>
      <c r="Q304" s="69">
        <v>2000</v>
      </c>
      <c r="R304" s="69">
        <f>IF((L305=""),"",((M304-N304)/(M304+N304))*100)</f>
        <v>3.7445239247277162</v>
      </c>
      <c r="S304" s="69">
        <v>23</v>
      </c>
      <c r="T304" s="130" t="str">
        <f>IF(L305="","",IF(R305&lt;20,(IF(O304&gt;1730,IF(O304&lt;1970,"Pass","Fail"),"Fail"))))</f>
        <v>Pass</v>
      </c>
      <c r="U304" s="69">
        <v>102</v>
      </c>
      <c r="V304" s="138"/>
      <c r="W304" s="56">
        <v>1730</v>
      </c>
      <c r="X304" s="56">
        <v>1970</v>
      </c>
      <c r="Y304" s="56">
        <v>6.2</v>
      </c>
    </row>
    <row r="305" spans="1:25" x14ac:dyDescent="0.3">
      <c r="A305" s="62"/>
      <c r="B305" s="147"/>
      <c r="C305" s="71" t="s">
        <v>89</v>
      </c>
      <c r="D305" s="56">
        <v>27402.63</v>
      </c>
      <c r="E305" s="56">
        <v>27281.31</v>
      </c>
      <c r="F305" s="56">
        <v>27362.7</v>
      </c>
      <c r="G305" s="56">
        <v>27204.14</v>
      </c>
      <c r="H305" s="56">
        <v>27316.47</v>
      </c>
      <c r="I305" s="56">
        <v>27286.83</v>
      </c>
      <c r="J305" s="56">
        <v>27206.66</v>
      </c>
      <c r="K305" s="56">
        <v>27200.93</v>
      </c>
      <c r="L305" s="56">
        <v>27343.27</v>
      </c>
      <c r="M305" s="77"/>
      <c r="N305" s="77"/>
      <c r="O305" s="77"/>
      <c r="P305" s="77"/>
      <c r="Q305" s="77"/>
      <c r="R305" s="77"/>
      <c r="S305" s="77"/>
      <c r="T305" s="132"/>
      <c r="U305" s="77"/>
      <c r="V305" s="139"/>
    </row>
    <row r="306" spans="1:25" ht="39.9" x14ac:dyDescent="0.3">
      <c r="A306" s="149"/>
      <c r="B306" s="149"/>
      <c r="C306" s="71" t="s">
        <v>123</v>
      </c>
      <c r="D306" s="38">
        <f t="shared" ref="D306:L306" si="98">IF(((D304="")*AND(D305="")),"",(D304-D305)*1)</f>
        <v>1920.8299999999981</v>
      </c>
      <c r="E306" s="38">
        <f t="shared" si="98"/>
        <v>1840.1399999999994</v>
      </c>
      <c r="F306" s="38">
        <f t="shared" si="98"/>
        <v>1885.0799999999981</v>
      </c>
      <c r="G306" s="38">
        <f t="shared" si="98"/>
        <v>1938.7700000000004</v>
      </c>
      <c r="H306" s="38">
        <f t="shared" si="98"/>
        <v>1960.5900000000001</v>
      </c>
      <c r="I306" s="38">
        <f t="shared" si="98"/>
        <v>1976.3999999999978</v>
      </c>
      <c r="J306" s="38">
        <f t="shared" si="98"/>
        <v>1917.130000000001</v>
      </c>
      <c r="K306" s="38">
        <f t="shared" si="98"/>
        <v>1945.630000000001</v>
      </c>
      <c r="L306" s="38">
        <f t="shared" si="98"/>
        <v>1983.3100000000013</v>
      </c>
      <c r="M306" s="135"/>
      <c r="N306" s="135"/>
      <c r="O306" s="135"/>
      <c r="P306" s="135"/>
      <c r="Q306" s="135"/>
      <c r="R306" s="135"/>
      <c r="S306" s="135"/>
      <c r="T306" s="136"/>
      <c r="U306" s="135"/>
      <c r="V306" s="140"/>
    </row>
    <row r="307" spans="1:25" x14ac:dyDescent="0.3">
      <c r="A307" s="129">
        <v>42944</v>
      </c>
      <c r="B307" s="129" t="s">
        <v>124</v>
      </c>
      <c r="C307" s="71" t="s">
        <v>88</v>
      </c>
      <c r="D307" s="56">
        <v>29252.84</v>
      </c>
      <c r="E307" s="56">
        <v>29032.05</v>
      </c>
      <c r="F307" s="56">
        <v>29029.93</v>
      </c>
      <c r="G307" s="56">
        <v>29053.15</v>
      </c>
      <c r="H307" s="56">
        <v>29276.95</v>
      </c>
      <c r="I307" s="56">
        <v>29278</v>
      </c>
      <c r="J307" s="56">
        <v>29096.21</v>
      </c>
      <c r="K307" s="56">
        <v>29038.07</v>
      </c>
      <c r="L307" s="56">
        <v>29326.95</v>
      </c>
      <c r="M307" s="69">
        <f>IF((L308=""),"",MAX(D309:L309))</f>
        <v>2017.1800000000003</v>
      </c>
      <c r="N307" s="69">
        <f>IF(L308="","",MIN(D309:L309))</f>
        <v>1768.2799999999988</v>
      </c>
      <c r="O307" s="69">
        <f>IF((L309=""),"",AVERAGE(D309:L309))</f>
        <v>1870.6844444444444</v>
      </c>
      <c r="P307" s="69">
        <v>1600</v>
      </c>
      <c r="Q307" s="69">
        <v>2000</v>
      </c>
      <c r="R307" s="69">
        <f>IF((L308=""),"",((M307-N307)/(M307+N307))*100)</f>
        <v>6.5751586332969181</v>
      </c>
      <c r="S307" s="69">
        <v>23</v>
      </c>
      <c r="T307" s="130" t="str">
        <f>IF(L308="","",IF(R308&lt;20,(IF(O307&gt;1730,IF(O307&lt;1970,"Pass","Fail"),"Fail"))))</f>
        <v>Pass</v>
      </c>
      <c r="U307" s="69">
        <v>121</v>
      </c>
      <c r="V307" s="138"/>
      <c r="W307" s="56">
        <v>1730</v>
      </c>
      <c r="X307" s="56">
        <v>1970</v>
      </c>
      <c r="Y307" s="56">
        <v>6.2</v>
      </c>
    </row>
    <row r="308" spans="1:25" x14ac:dyDescent="0.3">
      <c r="A308" s="62"/>
      <c r="B308" s="147"/>
      <c r="C308" s="71" t="s">
        <v>89</v>
      </c>
      <c r="D308" s="56">
        <v>27377.52</v>
      </c>
      <c r="E308" s="56">
        <v>27235.86</v>
      </c>
      <c r="F308" s="56">
        <v>27261.65</v>
      </c>
      <c r="G308" s="56">
        <v>27186.959999999999</v>
      </c>
      <c r="H308" s="56">
        <v>27358.46</v>
      </c>
      <c r="I308" s="56">
        <v>27260.82</v>
      </c>
      <c r="J308" s="56">
        <v>27197.23</v>
      </c>
      <c r="K308" s="56">
        <v>27200.2</v>
      </c>
      <c r="L308" s="56">
        <v>27469.29</v>
      </c>
      <c r="M308" s="77"/>
      <c r="N308" s="77"/>
      <c r="O308" s="77"/>
      <c r="P308" s="77"/>
      <c r="Q308" s="77"/>
      <c r="R308" s="77"/>
      <c r="S308" s="77"/>
      <c r="T308" s="132"/>
      <c r="U308" s="77"/>
      <c r="V308" s="139"/>
    </row>
    <row r="309" spans="1:25" ht="39.9" x14ac:dyDescent="0.3">
      <c r="A309" s="149"/>
      <c r="B309" s="149"/>
      <c r="C309" s="71" t="s">
        <v>123</v>
      </c>
      <c r="D309" s="38">
        <f t="shared" ref="D309:L309" si="99">IF(((D307="")*AND(D308="")),"",(D307-D308)*1)</f>
        <v>1875.3199999999997</v>
      </c>
      <c r="E309" s="38">
        <f t="shared" si="99"/>
        <v>1796.1899999999987</v>
      </c>
      <c r="F309" s="38">
        <f t="shared" si="99"/>
        <v>1768.2799999999988</v>
      </c>
      <c r="G309" s="38">
        <f t="shared" si="99"/>
        <v>1866.1900000000023</v>
      </c>
      <c r="H309" s="38">
        <f t="shared" si="99"/>
        <v>1918.4900000000016</v>
      </c>
      <c r="I309" s="38">
        <f t="shared" si="99"/>
        <v>2017.1800000000003</v>
      </c>
      <c r="J309" s="38">
        <f t="shared" si="99"/>
        <v>1898.9799999999996</v>
      </c>
      <c r="K309" s="38">
        <f t="shared" si="99"/>
        <v>1837.869999999999</v>
      </c>
      <c r="L309" s="38">
        <f t="shared" si="99"/>
        <v>1857.6599999999999</v>
      </c>
      <c r="M309" s="135"/>
      <c r="N309" s="135"/>
      <c r="O309" s="135"/>
      <c r="P309" s="135"/>
      <c r="Q309" s="135"/>
      <c r="R309" s="135"/>
      <c r="S309" s="135"/>
      <c r="T309" s="136"/>
      <c r="U309" s="135"/>
      <c r="V309" s="140"/>
    </row>
    <row r="310" spans="1:25" x14ac:dyDescent="0.3">
      <c r="A310" s="129">
        <v>42947</v>
      </c>
      <c r="B310" s="129" t="s">
        <v>124</v>
      </c>
      <c r="C310" s="71" t="s">
        <v>88</v>
      </c>
      <c r="D310" s="56">
        <v>29439.919999999998</v>
      </c>
      <c r="E310" s="56">
        <v>29270.74</v>
      </c>
      <c r="F310" s="56">
        <v>29274.639999999999</v>
      </c>
      <c r="G310" s="56">
        <v>29279.8</v>
      </c>
      <c r="H310" s="56">
        <v>29510.57</v>
      </c>
      <c r="I310" s="56">
        <v>29462.35</v>
      </c>
      <c r="J310" s="56">
        <v>29285.14</v>
      </c>
      <c r="K310" s="56">
        <v>29250.65</v>
      </c>
      <c r="L310" s="56">
        <v>29503.53</v>
      </c>
      <c r="M310" s="69">
        <f>IF((L311=""),"",MAX(D312:L312))</f>
        <v>1973.7899999999972</v>
      </c>
      <c r="N310" s="69">
        <f>IF(L311="","",MIN(D312:L312))</f>
        <v>1735.1599999999999</v>
      </c>
      <c r="O310" s="69">
        <f>IF((L312=""),"",AVERAGE(D312:L312))</f>
        <v>1871.0466666666662</v>
      </c>
      <c r="P310" s="69">
        <v>1600</v>
      </c>
      <c r="Q310" s="69">
        <v>2000</v>
      </c>
      <c r="R310" s="69">
        <f>IF((L311=""),"",((M310-N310)/(M310+N310))*100)</f>
        <v>6.4338963857694917</v>
      </c>
      <c r="S310" s="69">
        <v>23</v>
      </c>
      <c r="T310" s="130" t="str">
        <f>IF(L311="","",IF(R311&lt;20,(IF(O310&gt;1730,IF(O310&lt;1970,"Pass","Fail"),"Fail"))))</f>
        <v>Pass</v>
      </c>
      <c r="U310" s="69" t="s">
        <v>125</v>
      </c>
      <c r="V310" s="138"/>
      <c r="W310" s="56">
        <v>1730</v>
      </c>
      <c r="X310" s="56">
        <v>1970</v>
      </c>
      <c r="Y310" s="56">
        <v>6.2</v>
      </c>
    </row>
    <row r="311" spans="1:25" x14ac:dyDescent="0.3">
      <c r="A311" s="62"/>
      <c r="B311" s="147"/>
      <c r="C311" s="71" t="s">
        <v>89</v>
      </c>
      <c r="D311" s="56">
        <v>27562.85</v>
      </c>
      <c r="E311" s="56">
        <v>27431.52</v>
      </c>
      <c r="F311" s="56">
        <v>27539.48</v>
      </c>
      <c r="G311" s="56">
        <v>27426.18</v>
      </c>
      <c r="H311" s="56">
        <v>27546.48</v>
      </c>
      <c r="I311" s="56">
        <v>27488.560000000001</v>
      </c>
      <c r="J311" s="56">
        <v>27423.97</v>
      </c>
      <c r="K311" s="56">
        <v>27382.68</v>
      </c>
      <c r="L311" s="56">
        <v>27636.2</v>
      </c>
      <c r="M311" s="77"/>
      <c r="N311" s="77"/>
      <c r="O311" s="77"/>
      <c r="P311" s="77"/>
      <c r="Q311" s="77"/>
      <c r="R311" s="77"/>
      <c r="S311" s="77"/>
      <c r="T311" s="132"/>
      <c r="U311" s="77"/>
      <c r="V311" s="139"/>
    </row>
    <row r="312" spans="1:25" ht="39.9" x14ac:dyDescent="0.3">
      <c r="A312" s="149"/>
      <c r="B312" s="149"/>
      <c r="C312" s="71" t="s">
        <v>123</v>
      </c>
      <c r="D312" s="38">
        <f t="shared" ref="D312:L312" si="100">IF(((D310="")*AND(D311="")),"",(D310-D311)*1)</f>
        <v>1877.0699999999997</v>
      </c>
      <c r="E312" s="38">
        <f t="shared" si="100"/>
        <v>1839.2200000000012</v>
      </c>
      <c r="F312" s="38">
        <f t="shared" si="100"/>
        <v>1735.1599999999999</v>
      </c>
      <c r="G312" s="38">
        <f t="shared" si="100"/>
        <v>1853.619999999999</v>
      </c>
      <c r="H312" s="38">
        <f t="shared" si="100"/>
        <v>1964.0900000000001</v>
      </c>
      <c r="I312" s="38">
        <f t="shared" si="100"/>
        <v>1973.7899999999972</v>
      </c>
      <c r="J312" s="38">
        <f t="shared" si="100"/>
        <v>1861.1699999999983</v>
      </c>
      <c r="K312" s="38">
        <f t="shared" si="100"/>
        <v>1867.9700000000012</v>
      </c>
      <c r="L312" s="38">
        <f t="shared" si="100"/>
        <v>1867.3299999999981</v>
      </c>
      <c r="M312" s="135"/>
      <c r="N312" s="135"/>
      <c r="O312" s="135"/>
      <c r="P312" s="135"/>
      <c r="Q312" s="135"/>
      <c r="R312" s="135"/>
      <c r="S312" s="135"/>
      <c r="T312" s="136"/>
      <c r="U312" s="135"/>
      <c r="V312" s="140"/>
    </row>
    <row r="313" spans="1:25" x14ac:dyDescent="0.3">
      <c r="A313" s="128">
        <v>42951</v>
      </c>
      <c r="B313" s="129" t="s">
        <v>124</v>
      </c>
      <c r="C313" s="71" t="s">
        <v>88</v>
      </c>
      <c r="D313" s="56">
        <v>29380.74</v>
      </c>
      <c r="E313" s="56">
        <v>29238.95</v>
      </c>
      <c r="F313" s="56">
        <v>29282.78</v>
      </c>
      <c r="G313" s="56">
        <v>29217.05</v>
      </c>
      <c r="H313" s="56">
        <v>29434.45</v>
      </c>
      <c r="I313" s="56">
        <v>29395.63</v>
      </c>
      <c r="J313" s="56">
        <v>29236.54</v>
      </c>
      <c r="K313" s="56">
        <v>29215.62</v>
      </c>
      <c r="L313" s="56">
        <v>29441.21</v>
      </c>
      <c r="M313" s="69">
        <f>IF((L314=""),"",MAX(D315:L315))</f>
        <v>1991.3100000000013</v>
      </c>
      <c r="N313" s="69">
        <f>IF(L314="","",MIN(D315:L315))</f>
        <v>1803.119999999999</v>
      </c>
      <c r="O313" s="69">
        <f>IF((L315=""),"",AVERAGE(D315:L315))</f>
        <v>1871.9600000000003</v>
      </c>
      <c r="P313" s="69">
        <v>1600</v>
      </c>
      <c r="Q313" s="69">
        <v>2000</v>
      </c>
      <c r="R313" s="69">
        <f>IF((L314=""),"",((M313-N313)/(M313+N313))*100)</f>
        <v>4.9596382065291049</v>
      </c>
      <c r="S313" s="69">
        <v>23</v>
      </c>
      <c r="T313" s="130" t="str">
        <f>IF(L314="","",IF(R314&lt;20,(IF(O313&gt;1730,IF(O313&lt;1970,"Pass","Fail"),"Fail"))))</f>
        <v>Pass</v>
      </c>
      <c r="U313" s="69">
        <v>1335</v>
      </c>
      <c r="V313" s="138"/>
      <c r="W313" s="56">
        <v>1730</v>
      </c>
      <c r="X313" s="56">
        <v>1970</v>
      </c>
      <c r="Y313" s="56">
        <v>6.2</v>
      </c>
    </row>
    <row r="314" spans="1:25" x14ac:dyDescent="0.3">
      <c r="A314" s="128"/>
      <c r="B314" s="147"/>
      <c r="C314" s="71" t="s">
        <v>89</v>
      </c>
      <c r="D314" s="56">
        <v>27521.98</v>
      </c>
      <c r="E314" s="56">
        <v>27413.23</v>
      </c>
      <c r="F314" s="56">
        <v>27479.66</v>
      </c>
      <c r="G314" s="56">
        <v>27348.17</v>
      </c>
      <c r="H314" s="56">
        <v>27443.14</v>
      </c>
      <c r="I314" s="56">
        <v>27464.77</v>
      </c>
      <c r="J314" s="56">
        <v>27370.55</v>
      </c>
      <c r="K314" s="56">
        <v>27382.95</v>
      </c>
      <c r="L314" s="56">
        <v>27570.880000000001</v>
      </c>
      <c r="M314" s="77"/>
      <c r="N314" s="77"/>
      <c r="O314" s="77"/>
      <c r="P314" s="77"/>
      <c r="Q314" s="77"/>
      <c r="R314" s="77"/>
      <c r="S314" s="77"/>
      <c r="T314" s="132"/>
      <c r="U314" s="77"/>
      <c r="V314" s="139"/>
    </row>
    <row r="315" spans="1:25" ht="39.9" x14ac:dyDescent="0.3">
      <c r="A315" s="128"/>
      <c r="B315" s="149"/>
      <c r="C315" s="71" t="s">
        <v>123</v>
      </c>
      <c r="D315" s="38">
        <f t="shared" ref="D315:L315" si="101">IF(((D313="")*AND(D314="")),"",(D313-D314)*1)</f>
        <v>1858.760000000002</v>
      </c>
      <c r="E315" s="38">
        <f t="shared" si="101"/>
        <v>1825.7200000000012</v>
      </c>
      <c r="F315" s="38">
        <f t="shared" si="101"/>
        <v>1803.119999999999</v>
      </c>
      <c r="G315" s="38">
        <f t="shared" si="101"/>
        <v>1868.880000000001</v>
      </c>
      <c r="H315" s="38">
        <f t="shared" si="101"/>
        <v>1991.3100000000013</v>
      </c>
      <c r="I315" s="38">
        <f t="shared" si="101"/>
        <v>1930.8600000000006</v>
      </c>
      <c r="J315" s="38">
        <f t="shared" si="101"/>
        <v>1865.9900000000016</v>
      </c>
      <c r="K315" s="38">
        <f t="shared" si="101"/>
        <v>1832.6699999999983</v>
      </c>
      <c r="L315" s="38">
        <f t="shared" si="101"/>
        <v>1870.3299999999981</v>
      </c>
      <c r="M315" s="135"/>
      <c r="N315" s="135"/>
      <c r="O315" s="135"/>
      <c r="P315" s="135"/>
      <c r="Q315" s="135"/>
      <c r="R315" s="135"/>
      <c r="S315" s="135"/>
      <c r="T315" s="136"/>
      <c r="U315" s="135"/>
      <c r="V315" s="140"/>
    </row>
    <row r="316" spans="1:25" x14ac:dyDescent="0.3">
      <c r="A316" s="128">
        <v>42954</v>
      </c>
      <c r="B316" s="129" t="s">
        <v>124</v>
      </c>
      <c r="C316" s="71" t="s">
        <v>88</v>
      </c>
      <c r="D316" s="56">
        <v>29336.02</v>
      </c>
      <c r="E316" s="56">
        <v>29335.77</v>
      </c>
      <c r="F316" s="56">
        <v>29286.39</v>
      </c>
      <c r="G316" s="56">
        <v>29229.39</v>
      </c>
      <c r="H316" s="56">
        <v>29458.19</v>
      </c>
      <c r="I316" s="56">
        <v>29422.99</v>
      </c>
      <c r="J316" s="56">
        <v>29224.26</v>
      </c>
      <c r="K316" s="56">
        <v>29270.7</v>
      </c>
      <c r="L316" s="56">
        <v>29460.47</v>
      </c>
      <c r="M316" s="69">
        <f>IF((L317=""),"",MAX(D318:L318))</f>
        <v>1949.8299999999981</v>
      </c>
      <c r="N316" s="69">
        <f>IF(L317="","",MIN(D318:L318))</f>
        <v>1722.8899999999994</v>
      </c>
      <c r="O316" s="69">
        <f>IF((L318=""),"",AVERAGE(D318:L318))</f>
        <v>1847.3877777777775</v>
      </c>
      <c r="P316" s="69">
        <v>1600</v>
      </c>
      <c r="Q316" s="69">
        <v>2000</v>
      </c>
      <c r="R316" s="69">
        <f>IF((L317=""),"",((M316-N316)/(M316+N316))*100)</f>
        <v>6.1790716417259919</v>
      </c>
      <c r="S316" s="69">
        <v>23</v>
      </c>
      <c r="T316" s="130" t="str">
        <f>IF(L317="","",IF(R317&lt;20,(IF(O316&gt;1730,IF(O316&lt;1970,"Pass","Fail"),"Fail"))))</f>
        <v>Pass</v>
      </c>
      <c r="U316" s="69">
        <v>1428</v>
      </c>
      <c r="V316" s="138"/>
      <c r="W316" s="56">
        <v>1730</v>
      </c>
      <c r="X316" s="56">
        <v>1970</v>
      </c>
      <c r="Y316" s="56">
        <v>6.2</v>
      </c>
    </row>
    <row r="317" spans="1:25" x14ac:dyDescent="0.3">
      <c r="A317" s="128"/>
      <c r="B317" s="147"/>
      <c r="C317" s="71" t="s">
        <v>89</v>
      </c>
      <c r="D317" s="56">
        <v>27613.13</v>
      </c>
      <c r="E317" s="56">
        <v>27459.46</v>
      </c>
      <c r="F317" s="56">
        <v>27560.82</v>
      </c>
      <c r="G317" s="56">
        <v>27364.76</v>
      </c>
      <c r="H317" s="56">
        <v>27508.36</v>
      </c>
      <c r="I317" s="56">
        <v>27493.91</v>
      </c>
      <c r="J317" s="56">
        <v>27411.99</v>
      </c>
      <c r="K317" s="56">
        <v>27379.81</v>
      </c>
      <c r="L317" s="56">
        <v>27605.45</v>
      </c>
      <c r="M317" s="77"/>
      <c r="N317" s="77"/>
      <c r="O317" s="77"/>
      <c r="P317" s="77"/>
      <c r="Q317" s="77"/>
      <c r="R317" s="77"/>
      <c r="S317" s="77"/>
      <c r="T317" s="132"/>
      <c r="U317" s="77"/>
      <c r="V317" s="139"/>
    </row>
    <row r="318" spans="1:25" ht="39.9" x14ac:dyDescent="0.3">
      <c r="A318" s="128"/>
      <c r="B318" s="149"/>
      <c r="C318" s="71" t="s">
        <v>123</v>
      </c>
      <c r="D318" s="38">
        <f t="shared" ref="D318:L318" si="102">IF(((D316="")*AND(D317="")),"",(D316-D317)*1)</f>
        <v>1722.8899999999994</v>
      </c>
      <c r="E318" s="38">
        <f t="shared" si="102"/>
        <v>1876.3100000000013</v>
      </c>
      <c r="F318" s="38">
        <f t="shared" si="102"/>
        <v>1725.5699999999997</v>
      </c>
      <c r="G318" s="38">
        <f t="shared" si="102"/>
        <v>1864.630000000001</v>
      </c>
      <c r="H318" s="38">
        <f t="shared" si="102"/>
        <v>1949.8299999999981</v>
      </c>
      <c r="I318" s="38">
        <f t="shared" si="102"/>
        <v>1929.0800000000017</v>
      </c>
      <c r="J318" s="38">
        <f t="shared" si="102"/>
        <v>1812.2699999999968</v>
      </c>
      <c r="K318" s="38">
        <f t="shared" si="102"/>
        <v>1890.8899999999994</v>
      </c>
      <c r="L318" s="38">
        <f t="shared" si="102"/>
        <v>1855.0200000000004</v>
      </c>
      <c r="M318" s="135"/>
      <c r="N318" s="135"/>
      <c r="O318" s="135"/>
      <c r="P318" s="135"/>
      <c r="Q318" s="135"/>
      <c r="R318" s="135"/>
      <c r="S318" s="135"/>
      <c r="T318" s="136"/>
      <c r="U318" s="135"/>
      <c r="V318" s="140"/>
    </row>
    <row r="319" spans="1:25" x14ac:dyDescent="0.3">
      <c r="A319" s="128">
        <v>42957</v>
      </c>
      <c r="B319" s="129" t="s">
        <v>124</v>
      </c>
      <c r="C319" s="71" t="s">
        <v>88</v>
      </c>
      <c r="D319" s="56">
        <v>29335.06</v>
      </c>
      <c r="E319" s="56">
        <v>29108.48</v>
      </c>
      <c r="F319" s="56">
        <v>29145.57</v>
      </c>
      <c r="G319" s="56">
        <v>29156.5</v>
      </c>
      <c r="H319" s="56">
        <v>29406.78</v>
      </c>
      <c r="I319" s="56">
        <v>29302.73</v>
      </c>
      <c r="J319" s="56">
        <v>29134.62</v>
      </c>
      <c r="K319" s="56">
        <v>29170.959999999999</v>
      </c>
      <c r="L319" s="56">
        <v>29411</v>
      </c>
      <c r="M319" s="69">
        <f>IF((L320=""),"",MAX(D321:L321))</f>
        <v>1954.2799999999988</v>
      </c>
      <c r="N319" s="69">
        <f>IF(L320="","",MIN(D321:L321))</f>
        <v>1731.6699999999983</v>
      </c>
      <c r="O319" s="69">
        <f>IF((L321=""),"",AVERAGE(D321:L321))</f>
        <v>1838.2033333333331</v>
      </c>
      <c r="P319" s="69">
        <v>1600</v>
      </c>
      <c r="Q319" s="69">
        <v>2000</v>
      </c>
      <c r="R319" s="69">
        <f>IF((L320=""),"",((M319-N319)/(M319+N319))*100)</f>
        <v>6.0394199595762492</v>
      </c>
      <c r="S319" s="69">
        <v>23</v>
      </c>
      <c r="T319" s="130" t="str">
        <f>IF(L320="","",IF(R320&lt;20,(IF(O319&gt;1730,IF(O319&lt;1970,"Pass","Fail"),"Fail"))))</f>
        <v>Pass</v>
      </c>
      <c r="U319" s="69">
        <v>1428</v>
      </c>
      <c r="V319" s="138"/>
      <c r="W319" s="56">
        <v>1730</v>
      </c>
      <c r="X319" s="56">
        <v>1970</v>
      </c>
      <c r="Y319" s="56">
        <v>6.2</v>
      </c>
    </row>
    <row r="320" spans="1:25" x14ac:dyDescent="0.3">
      <c r="A320" s="128"/>
      <c r="B320" s="147"/>
      <c r="C320" s="71" t="s">
        <v>89</v>
      </c>
      <c r="D320" s="56">
        <v>27497</v>
      </c>
      <c r="E320" s="56">
        <v>27376.81</v>
      </c>
      <c r="F320" s="56">
        <v>27387.14</v>
      </c>
      <c r="G320" s="56">
        <v>27332.16</v>
      </c>
      <c r="H320" s="56">
        <v>27452.5</v>
      </c>
      <c r="I320" s="56">
        <v>27375.29</v>
      </c>
      <c r="J320" s="56">
        <v>27293.439999999999</v>
      </c>
      <c r="K320" s="56">
        <v>27337.32</v>
      </c>
      <c r="L320" s="56">
        <v>27576.21</v>
      </c>
      <c r="M320" s="77"/>
      <c r="N320" s="77"/>
      <c r="O320" s="77"/>
      <c r="P320" s="77"/>
      <c r="Q320" s="77"/>
      <c r="R320" s="77"/>
      <c r="S320" s="77"/>
      <c r="T320" s="132"/>
      <c r="U320" s="77"/>
      <c r="V320" s="139"/>
    </row>
    <row r="321" spans="1:25" ht="39.9" x14ac:dyDescent="0.3">
      <c r="A321" s="128"/>
      <c r="B321" s="149"/>
      <c r="C321" s="71" t="s">
        <v>123</v>
      </c>
      <c r="D321" s="38">
        <f t="shared" ref="D321:L321" si="103">IF(((D319="")*AND(D320="")),"",(D319-D320)*1)</f>
        <v>1838.0600000000013</v>
      </c>
      <c r="E321" s="38">
        <f t="shared" si="103"/>
        <v>1731.6699999999983</v>
      </c>
      <c r="F321" s="38">
        <f t="shared" si="103"/>
        <v>1758.4300000000003</v>
      </c>
      <c r="G321" s="38">
        <f t="shared" si="103"/>
        <v>1824.3400000000001</v>
      </c>
      <c r="H321" s="38">
        <f t="shared" si="103"/>
        <v>1954.2799999999988</v>
      </c>
      <c r="I321" s="38">
        <f t="shared" si="103"/>
        <v>1927.4399999999987</v>
      </c>
      <c r="J321" s="38">
        <f t="shared" si="103"/>
        <v>1841.1800000000003</v>
      </c>
      <c r="K321" s="38">
        <f t="shared" si="103"/>
        <v>1833.6399999999994</v>
      </c>
      <c r="L321" s="38">
        <f t="shared" si="103"/>
        <v>1834.7900000000009</v>
      </c>
      <c r="M321" s="135"/>
      <c r="N321" s="135"/>
      <c r="O321" s="135"/>
      <c r="P321" s="135"/>
      <c r="Q321" s="135"/>
      <c r="R321" s="135"/>
      <c r="S321" s="135"/>
      <c r="T321" s="136"/>
      <c r="U321" s="135"/>
      <c r="V321" s="140"/>
    </row>
    <row r="322" spans="1:25" x14ac:dyDescent="0.3">
      <c r="A322" s="128">
        <v>42960</v>
      </c>
      <c r="B322" s="129" t="s">
        <v>124</v>
      </c>
      <c r="C322" s="71" t="s">
        <v>88</v>
      </c>
      <c r="D322" s="56">
        <v>29383</v>
      </c>
      <c r="E322" s="56">
        <v>29236</v>
      </c>
      <c r="F322" s="56">
        <v>29229</v>
      </c>
      <c r="G322" s="56">
        <v>29254</v>
      </c>
      <c r="H322" s="56">
        <v>29462</v>
      </c>
      <c r="I322" s="56">
        <v>29380</v>
      </c>
      <c r="J322" s="56">
        <v>29227</v>
      </c>
      <c r="K322" s="56">
        <v>29201</v>
      </c>
      <c r="L322" s="56">
        <v>29440</v>
      </c>
      <c r="M322" s="69">
        <f>IF((L323=""),"",MAX(D324:L324))</f>
        <v>1975</v>
      </c>
      <c r="N322" s="69">
        <f>IF(L323="","",MIN(D324:L324))</f>
        <v>1768</v>
      </c>
      <c r="O322" s="69">
        <f>IF((L324=""),"",AVERAGE(D324:L324))</f>
        <v>1866.5555555555557</v>
      </c>
      <c r="P322" s="69">
        <v>1600</v>
      </c>
      <c r="Q322" s="69">
        <v>2000</v>
      </c>
      <c r="R322" s="69">
        <f>IF((L323=""),"",((M322-N322)/(M322+N322))*100)</f>
        <v>5.5303232701041951</v>
      </c>
      <c r="S322" s="69">
        <v>23</v>
      </c>
      <c r="T322" s="130" t="str">
        <f>IF(L323="","",IF(R323&lt;20,(IF(O322&gt;1730,IF(O322&lt;1970,"Pass","Fail"),"Fail"))))</f>
        <v>Pass</v>
      </c>
      <c r="U322" s="69">
        <v>1159</v>
      </c>
      <c r="V322" s="138"/>
      <c r="W322" s="56">
        <v>1730</v>
      </c>
      <c r="X322" s="56">
        <v>1970</v>
      </c>
      <c r="Y322" s="56">
        <v>6.2</v>
      </c>
    </row>
    <row r="323" spans="1:25" x14ac:dyDescent="0.3">
      <c r="A323" s="128"/>
      <c r="B323" s="147"/>
      <c r="C323" s="71" t="s">
        <v>89</v>
      </c>
      <c r="D323" s="56">
        <v>27485</v>
      </c>
      <c r="E323" s="56">
        <v>27378</v>
      </c>
      <c r="F323" s="56">
        <v>27461</v>
      </c>
      <c r="G323" s="56">
        <v>27383</v>
      </c>
      <c r="H323" s="56">
        <v>27519</v>
      </c>
      <c r="I323" s="56">
        <v>27405</v>
      </c>
      <c r="J323" s="144">
        <v>27362</v>
      </c>
      <c r="K323" s="144">
        <v>27361</v>
      </c>
      <c r="L323" s="144">
        <v>27659</v>
      </c>
      <c r="M323" s="77"/>
      <c r="N323" s="77"/>
      <c r="O323" s="77"/>
      <c r="P323" s="77"/>
      <c r="Q323" s="77"/>
      <c r="R323" s="77"/>
      <c r="S323" s="77"/>
      <c r="T323" s="132"/>
      <c r="U323" s="77"/>
      <c r="V323" s="139"/>
    </row>
    <row r="324" spans="1:25" ht="39.9" x14ac:dyDescent="0.3">
      <c r="A324" s="128"/>
      <c r="B324" s="149"/>
      <c r="C324" s="71" t="s">
        <v>123</v>
      </c>
      <c r="D324" s="38">
        <f t="shared" ref="D324:L324" si="104">IF(((D322="")*AND(D323="")),"",(D322-D323)*1)</f>
        <v>1898</v>
      </c>
      <c r="E324" s="38">
        <f t="shared" si="104"/>
        <v>1858</v>
      </c>
      <c r="F324" s="38">
        <f t="shared" si="104"/>
        <v>1768</v>
      </c>
      <c r="G324" s="38">
        <f t="shared" si="104"/>
        <v>1871</v>
      </c>
      <c r="H324" s="38">
        <f t="shared" si="104"/>
        <v>1943</v>
      </c>
      <c r="I324" s="38">
        <f t="shared" si="104"/>
        <v>1975</v>
      </c>
      <c r="J324" s="38">
        <f t="shared" si="104"/>
        <v>1865</v>
      </c>
      <c r="K324" s="38">
        <f t="shared" si="104"/>
        <v>1840</v>
      </c>
      <c r="L324" s="38">
        <f t="shared" si="104"/>
        <v>1781</v>
      </c>
      <c r="M324" s="135"/>
      <c r="N324" s="135"/>
      <c r="O324" s="135"/>
      <c r="P324" s="135"/>
      <c r="Q324" s="135"/>
      <c r="R324" s="135"/>
      <c r="S324" s="135"/>
      <c r="T324" s="136"/>
      <c r="U324" s="135"/>
      <c r="V324" s="140"/>
    </row>
    <row r="325" spans="1:25" x14ac:dyDescent="0.3">
      <c r="A325" s="128">
        <v>42963</v>
      </c>
      <c r="B325" s="129" t="s">
        <v>124</v>
      </c>
      <c r="C325" s="71" t="s">
        <v>88</v>
      </c>
      <c r="D325" s="56">
        <v>29343.4</v>
      </c>
      <c r="E325" s="56">
        <v>29189.15</v>
      </c>
      <c r="F325" s="56">
        <v>29217.79</v>
      </c>
      <c r="G325" s="56">
        <v>29154.28</v>
      </c>
      <c r="H325" s="56">
        <v>29428.37</v>
      </c>
      <c r="I325" s="56">
        <v>29310.77</v>
      </c>
      <c r="J325" s="56">
        <v>29132.04</v>
      </c>
      <c r="K325" s="56">
        <v>29181.27</v>
      </c>
      <c r="L325" s="56">
        <v>29436.91</v>
      </c>
      <c r="M325" s="69">
        <f>IF((L326=""),"",MAX(D327:L327))</f>
        <v>1916.7899999999972</v>
      </c>
      <c r="N325" s="69">
        <f>IF(L326="","",MIN(D327:L327))</f>
        <v>1679.1700000000019</v>
      </c>
      <c r="O325" s="69">
        <f>IF((L327=""),"",AVERAGE(D327:L327))</f>
        <v>1802.5633333333337</v>
      </c>
      <c r="P325" s="69">
        <v>1600</v>
      </c>
      <c r="Q325" s="69">
        <v>2000</v>
      </c>
      <c r="R325" s="69">
        <f>IF((L326=""),"",((M325-N325)/(M325+N325))*100)</f>
        <v>6.6079711676435613</v>
      </c>
      <c r="S325" s="69">
        <v>23</v>
      </c>
      <c r="T325" s="130" t="str">
        <f>IF(L326="","",IF(R326&lt;20,(IF(O325&gt;1730,IF(O325&lt;1970,"Pass","Fail"),"Fail"))))</f>
        <v>Pass</v>
      </c>
      <c r="U325" s="69">
        <v>121</v>
      </c>
      <c r="V325" s="138"/>
      <c r="W325" s="56">
        <v>1730</v>
      </c>
      <c r="X325" s="56">
        <v>1970</v>
      </c>
      <c r="Y325" s="56">
        <v>6.2</v>
      </c>
    </row>
    <row r="326" spans="1:25" x14ac:dyDescent="0.3">
      <c r="A326" s="128"/>
      <c r="B326" s="147"/>
      <c r="C326" s="71" t="s">
        <v>89</v>
      </c>
      <c r="D326" s="56">
        <v>27518.27</v>
      </c>
      <c r="E326" s="56">
        <v>27370.86</v>
      </c>
      <c r="F326" s="56">
        <v>27538.62</v>
      </c>
      <c r="G326" s="56">
        <v>27372.53</v>
      </c>
      <c r="H326" s="56">
        <v>27511.58</v>
      </c>
      <c r="I326" s="56">
        <v>27437.03</v>
      </c>
      <c r="J326" s="56">
        <v>27390.25</v>
      </c>
      <c r="K326" s="56">
        <v>27391.06</v>
      </c>
      <c r="L326" s="56">
        <v>27640.71</v>
      </c>
      <c r="M326" s="77"/>
      <c r="N326" s="77"/>
      <c r="O326" s="77"/>
      <c r="P326" s="77"/>
      <c r="Q326" s="77"/>
      <c r="R326" s="77"/>
      <c r="S326" s="77"/>
      <c r="T326" s="132"/>
      <c r="U326" s="77"/>
      <c r="V326" s="139"/>
    </row>
    <row r="327" spans="1:25" ht="39.9" x14ac:dyDescent="0.3">
      <c r="A327" s="128"/>
      <c r="B327" s="149"/>
      <c r="C327" s="71" t="s">
        <v>123</v>
      </c>
      <c r="D327" s="38">
        <f t="shared" ref="D327:L327" si="105">IF(((D325="")*AND(D326="")),"",(D325-D326)*1)</f>
        <v>1825.130000000001</v>
      </c>
      <c r="E327" s="38">
        <f t="shared" si="105"/>
        <v>1818.2900000000009</v>
      </c>
      <c r="F327" s="38">
        <f t="shared" si="105"/>
        <v>1679.1700000000019</v>
      </c>
      <c r="G327" s="38">
        <f t="shared" si="105"/>
        <v>1781.75</v>
      </c>
      <c r="H327" s="38">
        <f t="shared" si="105"/>
        <v>1916.7899999999972</v>
      </c>
      <c r="I327" s="38">
        <f t="shared" si="105"/>
        <v>1873.7400000000016</v>
      </c>
      <c r="J327" s="38">
        <f t="shared" si="105"/>
        <v>1741.7900000000009</v>
      </c>
      <c r="K327" s="38">
        <f t="shared" si="105"/>
        <v>1790.2099999999991</v>
      </c>
      <c r="L327" s="38">
        <f t="shared" si="105"/>
        <v>1796.2000000000007</v>
      </c>
      <c r="M327" s="135"/>
      <c r="N327" s="135"/>
      <c r="O327" s="135"/>
      <c r="P327" s="135"/>
      <c r="Q327" s="135"/>
      <c r="R327" s="135"/>
      <c r="S327" s="135"/>
      <c r="T327" s="136"/>
      <c r="U327" s="135"/>
      <c r="V327" s="140"/>
    </row>
    <row r="328" spans="1:25" x14ac:dyDescent="0.3">
      <c r="A328" s="128">
        <v>42966</v>
      </c>
      <c r="B328" s="129" t="s">
        <v>124</v>
      </c>
      <c r="C328" s="71" t="s">
        <v>88</v>
      </c>
      <c r="D328" s="56">
        <v>29312.03</v>
      </c>
      <c r="E328" s="56">
        <v>29045.63</v>
      </c>
      <c r="F328" s="56">
        <v>29168.86</v>
      </c>
      <c r="G328" s="56">
        <v>29071.03</v>
      </c>
      <c r="H328" s="56">
        <v>29264.21</v>
      </c>
      <c r="I328" s="56">
        <v>29272.27</v>
      </c>
      <c r="J328" s="56">
        <v>29078.03</v>
      </c>
      <c r="K328" s="56">
        <v>29040.21</v>
      </c>
      <c r="L328" s="56">
        <v>29267.48</v>
      </c>
      <c r="M328" s="69">
        <f>IF((L329=""),"",MAX(D330:L330))</f>
        <v>1939.6100000000006</v>
      </c>
      <c r="N328" s="69">
        <f>IF(L329="","",MIN(D330:L330))</f>
        <v>1747.510000000002</v>
      </c>
      <c r="O328" s="69">
        <f>IF((L330=""),"",AVERAGE(D330:L330))</f>
        <v>1821.0888888888887</v>
      </c>
      <c r="P328" s="69">
        <v>1600</v>
      </c>
      <c r="Q328" s="69">
        <v>2000</v>
      </c>
      <c r="R328" s="69">
        <f>IF((L329=""),"",((M328-N328)/(M328+N328))*100)</f>
        <v>5.2100284232679819</v>
      </c>
      <c r="S328" s="69">
        <v>23</v>
      </c>
      <c r="T328" s="130" t="str">
        <f>IF(L329="","",IF(R329&lt;20,(IF(O328&gt;1730,IF(O328&lt;1970,"Pass","Fail"),"Fail"))))</f>
        <v>Pass</v>
      </c>
      <c r="U328" s="69">
        <v>121</v>
      </c>
      <c r="V328" s="138"/>
      <c r="W328" s="56">
        <v>1730</v>
      </c>
      <c r="X328" s="56">
        <v>1970</v>
      </c>
      <c r="Y328" s="56">
        <v>6.2</v>
      </c>
    </row>
    <row r="329" spans="1:25" x14ac:dyDescent="0.3">
      <c r="A329" s="128"/>
      <c r="B329" s="147"/>
      <c r="C329" s="71" t="s">
        <v>89</v>
      </c>
      <c r="D329" s="56">
        <v>27441.55</v>
      </c>
      <c r="E329" s="56">
        <v>27298.12</v>
      </c>
      <c r="F329" s="56">
        <v>27379.81</v>
      </c>
      <c r="G329" s="56">
        <v>27256.94</v>
      </c>
      <c r="H329" s="56">
        <v>27372.21</v>
      </c>
      <c r="I329" s="56">
        <v>27332.66</v>
      </c>
      <c r="J329" s="56">
        <v>27242.46</v>
      </c>
      <c r="K329" s="56">
        <v>27286.75</v>
      </c>
      <c r="L329" s="56">
        <v>27519.45</v>
      </c>
      <c r="M329" s="77"/>
      <c r="N329" s="77"/>
      <c r="O329" s="77"/>
      <c r="P329" s="77"/>
      <c r="Q329" s="77"/>
      <c r="R329" s="77"/>
      <c r="S329" s="77"/>
      <c r="T329" s="132"/>
      <c r="U329" s="77"/>
      <c r="V329" s="139"/>
    </row>
    <row r="330" spans="1:25" ht="39.9" x14ac:dyDescent="0.3">
      <c r="A330" s="128"/>
      <c r="B330" s="149"/>
      <c r="C330" s="71" t="s">
        <v>123</v>
      </c>
      <c r="D330" s="38">
        <f t="shared" ref="D330:L330" si="106">IF(((D328="")*AND(D329="")),"",(D328-D329)*1)</f>
        <v>1870.4799999999996</v>
      </c>
      <c r="E330" s="38">
        <f t="shared" si="106"/>
        <v>1747.510000000002</v>
      </c>
      <c r="F330" s="38">
        <f t="shared" si="106"/>
        <v>1789.0499999999993</v>
      </c>
      <c r="G330" s="38">
        <f t="shared" si="106"/>
        <v>1814.0900000000001</v>
      </c>
      <c r="H330" s="38">
        <f t="shared" si="106"/>
        <v>1892</v>
      </c>
      <c r="I330" s="38">
        <f t="shared" si="106"/>
        <v>1939.6100000000006</v>
      </c>
      <c r="J330" s="38">
        <f t="shared" si="106"/>
        <v>1835.5699999999997</v>
      </c>
      <c r="K330" s="38">
        <f t="shared" si="106"/>
        <v>1753.4599999999991</v>
      </c>
      <c r="L330" s="38">
        <f t="shared" si="106"/>
        <v>1748.0299999999988</v>
      </c>
      <c r="M330" s="135"/>
      <c r="N330" s="135"/>
      <c r="O330" s="135"/>
      <c r="P330" s="135"/>
      <c r="Q330" s="135"/>
      <c r="R330" s="135"/>
      <c r="S330" s="135"/>
      <c r="T330" s="136"/>
      <c r="U330" s="135"/>
      <c r="V330" s="140"/>
    </row>
    <row r="331" spans="1:25" x14ac:dyDescent="0.3">
      <c r="A331" s="128">
        <v>42974</v>
      </c>
      <c r="B331" s="129" t="s">
        <v>124</v>
      </c>
      <c r="C331" s="71" t="s">
        <v>88</v>
      </c>
      <c r="D331" s="56">
        <v>29468.36</v>
      </c>
      <c r="E331" s="56">
        <v>29313.24</v>
      </c>
      <c r="F331" s="56">
        <v>29327.97</v>
      </c>
      <c r="G331" s="56">
        <v>29310.62</v>
      </c>
      <c r="H331" s="56">
        <v>29510.61</v>
      </c>
      <c r="I331" s="56">
        <v>29473.48</v>
      </c>
      <c r="J331" s="56">
        <v>29290.9</v>
      </c>
      <c r="K331" s="56">
        <v>29330</v>
      </c>
      <c r="L331" s="56">
        <v>29498.66</v>
      </c>
      <c r="M331" s="69">
        <f>IF((L332=""),"",MAX(D333:L333))</f>
        <v>1938.7799999999988</v>
      </c>
      <c r="N331" s="69">
        <f>IF(L332="","",MIN(D333:L333))</f>
        <v>1763.1399999999994</v>
      </c>
      <c r="O331" s="69">
        <f>IF((L333=""),"",AVERAGE(D333:L333))</f>
        <v>1836.604444444444</v>
      </c>
      <c r="P331" s="69">
        <v>1600</v>
      </c>
      <c r="Q331" s="69">
        <v>2000</v>
      </c>
      <c r="R331" s="69">
        <f>IF((L332=""),"",((M331-N331)/(M331+N331))*100)</f>
        <v>4.7445649824955565</v>
      </c>
      <c r="S331" s="69">
        <v>23</v>
      </c>
      <c r="T331" s="130" t="str">
        <f>IF(L332="","",IF(R332&lt;20,(IF(O331&gt;1730,IF(O331&lt;1970,"Pass","Fail"),"Fail"))))</f>
        <v>Pass</v>
      </c>
      <c r="U331" s="69">
        <v>121</v>
      </c>
      <c r="V331" s="138"/>
      <c r="W331" s="56">
        <v>1730</v>
      </c>
      <c r="X331" s="56">
        <v>1970</v>
      </c>
      <c r="Y331" s="56">
        <v>6.2</v>
      </c>
    </row>
    <row r="332" spans="1:25" x14ac:dyDescent="0.3">
      <c r="A332" s="128"/>
      <c r="B332" s="147"/>
      <c r="C332" s="71" t="s">
        <v>89</v>
      </c>
      <c r="D332" s="56">
        <v>27644.33</v>
      </c>
      <c r="E332" s="56">
        <v>27508.84</v>
      </c>
      <c r="F332" s="56">
        <v>27564.83</v>
      </c>
      <c r="G332" s="56">
        <v>27468.71</v>
      </c>
      <c r="H332" s="56">
        <v>27571.83</v>
      </c>
      <c r="I332" s="56">
        <v>27556.45</v>
      </c>
      <c r="J332" s="56">
        <v>27476.79</v>
      </c>
      <c r="K332" s="56">
        <v>27504.83</v>
      </c>
      <c r="L332" s="56">
        <v>27697.79</v>
      </c>
      <c r="M332" s="77"/>
      <c r="N332" s="77"/>
      <c r="O332" s="77"/>
      <c r="P332" s="77"/>
      <c r="Q332" s="77"/>
      <c r="R332" s="77"/>
      <c r="S332" s="77"/>
      <c r="T332" s="132"/>
      <c r="U332" s="77"/>
      <c r="V332" s="139"/>
    </row>
    <row r="333" spans="1:25" ht="39.9" x14ac:dyDescent="0.3">
      <c r="A333" s="128"/>
      <c r="B333" s="149"/>
      <c r="C333" s="71" t="s">
        <v>123</v>
      </c>
      <c r="D333" s="38">
        <f t="shared" ref="D333:L333" si="107">IF(((D331="")*AND(D332="")),"",(D331-D332)*1)</f>
        <v>1824.0299999999988</v>
      </c>
      <c r="E333" s="38">
        <f t="shared" si="107"/>
        <v>1804.4000000000015</v>
      </c>
      <c r="F333" s="38">
        <f t="shared" si="107"/>
        <v>1763.1399999999994</v>
      </c>
      <c r="G333" s="38">
        <f t="shared" si="107"/>
        <v>1841.9099999999999</v>
      </c>
      <c r="H333" s="38">
        <f t="shared" si="107"/>
        <v>1938.7799999999988</v>
      </c>
      <c r="I333" s="38">
        <f t="shared" si="107"/>
        <v>1917.0299999999988</v>
      </c>
      <c r="J333" s="38">
        <f t="shared" si="107"/>
        <v>1814.1100000000006</v>
      </c>
      <c r="K333" s="38">
        <f t="shared" si="107"/>
        <v>1825.1699999999983</v>
      </c>
      <c r="L333" s="38">
        <f t="shared" si="107"/>
        <v>1800.869999999999</v>
      </c>
      <c r="M333" s="135"/>
      <c r="N333" s="135"/>
      <c r="O333" s="135"/>
      <c r="P333" s="135"/>
      <c r="Q333" s="135"/>
      <c r="R333" s="135"/>
      <c r="S333" s="135"/>
      <c r="T333" s="136"/>
      <c r="U333" s="135"/>
      <c r="V333" s="140"/>
    </row>
    <row r="334" spans="1:25" x14ac:dyDescent="0.3">
      <c r="A334" s="128">
        <v>42977</v>
      </c>
      <c r="B334" s="129" t="s">
        <v>124</v>
      </c>
      <c r="C334" s="71" t="s">
        <v>88</v>
      </c>
      <c r="D334" s="56">
        <v>29422.1</v>
      </c>
      <c r="E334" s="56">
        <v>29259.599999999999</v>
      </c>
      <c r="F334" s="56">
        <v>29304.04</v>
      </c>
      <c r="G334" s="56">
        <v>29245.45</v>
      </c>
      <c r="H334" s="56">
        <v>29475.47</v>
      </c>
      <c r="I334" s="56">
        <v>29385.79</v>
      </c>
      <c r="J334" s="56">
        <v>29250.09</v>
      </c>
      <c r="K334" s="56">
        <v>29243.91</v>
      </c>
      <c r="L334" s="56">
        <v>29485.72</v>
      </c>
      <c r="M334" s="69">
        <f>IF((L335=""),"",MAX(D336:L336))</f>
        <v>1876.0699999999997</v>
      </c>
      <c r="N334" s="69">
        <f>IF(L335="","",MIN(D336:L336))</f>
        <v>1733.7200000000012</v>
      </c>
      <c r="O334" s="69">
        <f>IF((L336=""),"",AVERAGE(D336:L336))</f>
        <v>1791.5411111111118</v>
      </c>
      <c r="P334" s="69">
        <v>1600</v>
      </c>
      <c r="Q334" s="69">
        <v>2000</v>
      </c>
      <c r="R334" s="69">
        <f>IF((L335=""),"",((M334-N334)/(M334+N334))*100)</f>
        <v>3.9434426933422309</v>
      </c>
      <c r="S334" s="69">
        <v>23</v>
      </c>
      <c r="T334" s="130" t="str">
        <f>IF(L335="","",IF(R335&lt;20,(IF(O334&gt;1730,IF(O334&lt;1970,"Pass","Fail"),"Fail"))))</f>
        <v>Pass</v>
      </c>
      <c r="U334" s="69">
        <v>1428</v>
      </c>
      <c r="V334" s="138"/>
      <c r="W334" s="56">
        <v>1730</v>
      </c>
      <c r="X334" s="56">
        <v>1970</v>
      </c>
      <c r="Y334" s="56">
        <v>6.2</v>
      </c>
    </row>
    <row r="335" spans="1:25" x14ac:dyDescent="0.3">
      <c r="A335" s="128"/>
      <c r="B335" s="147"/>
      <c r="C335" s="71" t="s">
        <v>89</v>
      </c>
      <c r="D335" s="56">
        <v>27630.26</v>
      </c>
      <c r="E335" s="56">
        <v>27509.03</v>
      </c>
      <c r="F335" s="56">
        <v>27570.32</v>
      </c>
      <c r="G335" s="56">
        <v>27445.21</v>
      </c>
      <c r="H335" s="56">
        <v>27607.26</v>
      </c>
      <c r="I335" s="56">
        <v>27509.72</v>
      </c>
      <c r="J335" s="56">
        <v>27463.03</v>
      </c>
      <c r="K335" s="56">
        <v>27464.48</v>
      </c>
      <c r="L335" s="56">
        <v>27748.99</v>
      </c>
      <c r="M335" s="77"/>
      <c r="N335" s="77"/>
      <c r="O335" s="77"/>
      <c r="P335" s="77"/>
      <c r="Q335" s="77"/>
      <c r="R335" s="77"/>
      <c r="S335" s="77"/>
      <c r="T335" s="132"/>
      <c r="U335" s="77"/>
      <c r="V335" s="139"/>
    </row>
    <row r="336" spans="1:25" ht="39.9" x14ac:dyDescent="0.3">
      <c r="A336" s="128"/>
      <c r="B336" s="149"/>
      <c r="C336" s="71" t="s">
        <v>123</v>
      </c>
      <c r="D336" s="38">
        <f t="shared" ref="D336:L336" si="108">IF(((D334="")*AND(D335="")),"",(D334-D335)*1)</f>
        <v>1791.8400000000001</v>
      </c>
      <c r="E336" s="38">
        <f t="shared" si="108"/>
        <v>1750.5699999999997</v>
      </c>
      <c r="F336" s="38">
        <f t="shared" si="108"/>
        <v>1733.7200000000012</v>
      </c>
      <c r="G336" s="38">
        <f t="shared" si="108"/>
        <v>1800.2400000000016</v>
      </c>
      <c r="H336" s="38">
        <f t="shared" si="108"/>
        <v>1868.2100000000028</v>
      </c>
      <c r="I336" s="38">
        <f t="shared" si="108"/>
        <v>1876.0699999999997</v>
      </c>
      <c r="J336" s="38">
        <f t="shared" si="108"/>
        <v>1787.0600000000013</v>
      </c>
      <c r="K336" s="38">
        <f t="shared" si="108"/>
        <v>1779.4300000000003</v>
      </c>
      <c r="L336" s="38">
        <f t="shared" si="108"/>
        <v>1736.7299999999996</v>
      </c>
      <c r="M336" s="135"/>
      <c r="N336" s="135"/>
      <c r="O336" s="135"/>
      <c r="P336" s="135"/>
      <c r="Q336" s="135"/>
      <c r="R336" s="135"/>
      <c r="S336" s="135"/>
      <c r="T336" s="136"/>
      <c r="U336" s="135"/>
      <c r="V336" s="140"/>
    </row>
    <row r="337" spans="1:25" x14ac:dyDescent="0.3">
      <c r="A337" s="128">
        <v>42981</v>
      </c>
      <c r="B337" s="129" t="s">
        <v>124</v>
      </c>
      <c r="C337" s="71" t="s">
        <v>88</v>
      </c>
      <c r="D337" s="56">
        <v>29421</v>
      </c>
      <c r="E337" s="56">
        <v>29224</v>
      </c>
      <c r="F337" s="56">
        <v>29250</v>
      </c>
      <c r="G337" s="56">
        <v>29284</v>
      </c>
      <c r="H337" s="56">
        <v>29449</v>
      </c>
      <c r="I337" s="56">
        <v>29493</v>
      </c>
      <c r="J337" s="56">
        <v>29256</v>
      </c>
      <c r="K337" s="56">
        <v>29249</v>
      </c>
      <c r="L337" s="56">
        <v>29478</v>
      </c>
      <c r="M337" s="69">
        <f>IF((L338=""),"",MAX(D339:L339))</f>
        <v>1954</v>
      </c>
      <c r="N337" s="69">
        <f>IF(L338="","",MIN(D339:L339))</f>
        <v>1671</v>
      </c>
      <c r="O337" s="69">
        <f>IF((L339=""),"",AVERAGE(D339:L339))</f>
        <v>1825.7777777777778</v>
      </c>
      <c r="P337" s="69">
        <v>1600</v>
      </c>
      <c r="Q337" s="69">
        <v>2000</v>
      </c>
      <c r="R337" s="69">
        <f>IF((L338=""),"",((M337-N337)/(M337+N337))*100)</f>
        <v>7.8068965517241375</v>
      </c>
      <c r="S337" s="69">
        <v>23</v>
      </c>
      <c r="T337" s="130" t="str">
        <f>IF(L338="","",IF(R338&lt;20,(IF(O337&gt;1730,IF(O337&lt;1970,"Pass","Fail"),"Fail"))))</f>
        <v>Pass</v>
      </c>
      <c r="U337" s="69">
        <v>1335</v>
      </c>
      <c r="V337" s="138"/>
      <c r="W337" s="56">
        <v>1730</v>
      </c>
      <c r="X337" s="56">
        <v>1970</v>
      </c>
      <c r="Y337" s="56">
        <v>6.2</v>
      </c>
    </row>
    <row r="338" spans="1:25" x14ac:dyDescent="0.3">
      <c r="A338" s="128"/>
      <c r="B338" s="147"/>
      <c r="C338" s="71" t="s">
        <v>89</v>
      </c>
      <c r="D338" s="56">
        <v>27632</v>
      </c>
      <c r="E338" s="56">
        <v>27473</v>
      </c>
      <c r="F338" s="56">
        <v>27579</v>
      </c>
      <c r="G338" s="56">
        <v>27426</v>
      </c>
      <c r="H338" s="56">
        <v>27514</v>
      </c>
      <c r="I338" s="56">
        <v>27539</v>
      </c>
      <c r="J338" s="144">
        <v>27422</v>
      </c>
      <c r="K338" s="144">
        <v>27449</v>
      </c>
      <c r="L338" s="144">
        <v>27638</v>
      </c>
      <c r="M338" s="77"/>
      <c r="N338" s="77"/>
      <c r="O338" s="77"/>
      <c r="P338" s="77"/>
      <c r="Q338" s="77"/>
      <c r="R338" s="77"/>
      <c r="S338" s="77"/>
      <c r="T338" s="132"/>
      <c r="U338" s="77"/>
      <c r="V338" s="139"/>
    </row>
    <row r="339" spans="1:25" ht="39.9" x14ac:dyDescent="0.3">
      <c r="A339" s="128"/>
      <c r="B339" s="149"/>
      <c r="C339" s="71" t="s">
        <v>123</v>
      </c>
      <c r="D339" s="38">
        <f t="shared" ref="D339:L339" si="109">IF(((D337="")*AND(D338="")),"",(D337-D338)*1)</f>
        <v>1789</v>
      </c>
      <c r="E339" s="38">
        <f t="shared" si="109"/>
        <v>1751</v>
      </c>
      <c r="F339" s="38">
        <f t="shared" si="109"/>
        <v>1671</v>
      </c>
      <c r="G339" s="38">
        <f t="shared" si="109"/>
        <v>1858</v>
      </c>
      <c r="H339" s="38">
        <f t="shared" si="109"/>
        <v>1935</v>
      </c>
      <c r="I339" s="38">
        <f t="shared" si="109"/>
        <v>1954</v>
      </c>
      <c r="J339" s="38">
        <f t="shared" si="109"/>
        <v>1834</v>
      </c>
      <c r="K339" s="38">
        <f t="shared" si="109"/>
        <v>1800</v>
      </c>
      <c r="L339" s="38">
        <f t="shared" si="109"/>
        <v>1840</v>
      </c>
      <c r="M339" s="135"/>
      <c r="N339" s="135"/>
      <c r="O339" s="135"/>
      <c r="P339" s="135"/>
      <c r="Q339" s="135"/>
      <c r="R339" s="135"/>
      <c r="S339" s="135"/>
      <c r="T339" s="136"/>
      <c r="U339" s="135"/>
      <c r="V339" s="140"/>
    </row>
    <row r="340" spans="1:25" x14ac:dyDescent="0.3">
      <c r="A340" s="128">
        <v>42989</v>
      </c>
      <c r="B340" s="129" t="s">
        <v>124</v>
      </c>
      <c r="C340" s="71" t="s">
        <v>88</v>
      </c>
      <c r="D340" s="151">
        <v>29378.799999999999</v>
      </c>
      <c r="E340" s="151">
        <v>29244.76</v>
      </c>
      <c r="F340" s="151">
        <v>29307.43</v>
      </c>
      <c r="G340" s="151">
        <v>29269.94</v>
      </c>
      <c r="H340" s="151">
        <v>29505.84</v>
      </c>
      <c r="I340" s="151">
        <v>29446.720000000001</v>
      </c>
      <c r="J340" s="151">
        <v>29253.98</v>
      </c>
      <c r="K340" s="151">
        <v>29237.01</v>
      </c>
      <c r="L340" s="151">
        <v>29415.03</v>
      </c>
      <c r="M340" s="69">
        <f>IF((L341=""),"",MAX(D342:L342))</f>
        <v>1993.7900000000009</v>
      </c>
      <c r="N340" s="69">
        <f>IF(L341="","",MIN(D342:L342))</f>
        <v>1812.8899999999994</v>
      </c>
      <c r="O340" s="69">
        <f>IF((L342=""),"",AVERAGE(D342:L342))</f>
        <v>1884.1433333333325</v>
      </c>
      <c r="P340" s="69">
        <v>1600</v>
      </c>
      <c r="Q340" s="69">
        <v>2000</v>
      </c>
      <c r="R340" s="69">
        <f>IF((L341=""),"",((M340-N340)/(M340+N340))*100)</f>
        <v>4.7521724967688757</v>
      </c>
      <c r="S340" s="69">
        <v>23</v>
      </c>
      <c r="T340" s="130" t="str">
        <f>IF(L341="","",IF(R341&lt;20,(IF(O340&gt;1730,IF(O340&lt;1970,"Pass","Fail"),"Fail"))))</f>
        <v>Pass</v>
      </c>
      <c r="U340" s="69">
        <v>1534</v>
      </c>
      <c r="V340" s="138"/>
      <c r="W340" s="56">
        <v>1730</v>
      </c>
      <c r="X340" s="56">
        <v>1970</v>
      </c>
      <c r="Y340" s="56">
        <v>6.2</v>
      </c>
    </row>
    <row r="341" spans="1:25" x14ac:dyDescent="0.3">
      <c r="A341" s="128"/>
      <c r="B341" s="147"/>
      <c r="C341" s="71" t="s">
        <v>89</v>
      </c>
      <c r="D341" s="152">
        <v>27507.57</v>
      </c>
      <c r="E341" s="152">
        <v>27414.37</v>
      </c>
      <c r="F341" s="152">
        <v>27494.54</v>
      </c>
      <c r="G341" s="152">
        <v>27385.79</v>
      </c>
      <c r="H341" s="152">
        <v>27512.05</v>
      </c>
      <c r="I341" s="152">
        <v>27485.72</v>
      </c>
      <c r="J341" s="152">
        <v>27390.46</v>
      </c>
      <c r="K341" s="152">
        <v>27385.74</v>
      </c>
      <c r="L341" s="152">
        <v>27525.98</v>
      </c>
      <c r="M341" s="77"/>
      <c r="N341" s="77"/>
      <c r="O341" s="77"/>
      <c r="P341" s="77"/>
      <c r="Q341" s="77"/>
      <c r="R341" s="77"/>
      <c r="S341" s="77"/>
      <c r="T341" s="132"/>
      <c r="U341" s="77"/>
      <c r="V341" s="139"/>
    </row>
    <row r="342" spans="1:25" ht="39.9" x14ac:dyDescent="0.3">
      <c r="A342" s="128"/>
      <c r="B342" s="149"/>
      <c r="C342" s="71" t="s">
        <v>123</v>
      </c>
      <c r="D342" s="38">
        <f t="shared" ref="D342:L342" si="110">IF(((D340="")*AND(D341="")),"",(D340-D341)*1)</f>
        <v>1871.2299999999996</v>
      </c>
      <c r="E342" s="38">
        <f t="shared" si="110"/>
        <v>1830.3899999999994</v>
      </c>
      <c r="F342" s="38">
        <f t="shared" si="110"/>
        <v>1812.8899999999994</v>
      </c>
      <c r="G342" s="38">
        <f t="shared" si="110"/>
        <v>1884.1499999999978</v>
      </c>
      <c r="H342" s="38">
        <f t="shared" si="110"/>
        <v>1993.7900000000009</v>
      </c>
      <c r="I342" s="38">
        <f t="shared" si="110"/>
        <v>1961</v>
      </c>
      <c r="J342" s="38">
        <f t="shared" si="110"/>
        <v>1863.5200000000004</v>
      </c>
      <c r="K342" s="38">
        <f t="shared" si="110"/>
        <v>1851.2699999999968</v>
      </c>
      <c r="L342" s="38">
        <f t="shared" si="110"/>
        <v>1889.0499999999993</v>
      </c>
      <c r="M342" s="135"/>
      <c r="N342" s="135"/>
      <c r="O342" s="135"/>
      <c r="P342" s="135"/>
      <c r="Q342" s="135"/>
      <c r="R342" s="135"/>
      <c r="S342" s="135"/>
      <c r="T342" s="136"/>
      <c r="U342" s="135"/>
      <c r="V342" s="140"/>
    </row>
    <row r="343" spans="1:25" x14ac:dyDescent="0.3">
      <c r="A343" s="128">
        <v>42994</v>
      </c>
      <c r="B343" s="129" t="s">
        <v>124</v>
      </c>
      <c r="C343" s="71" t="s">
        <v>88</v>
      </c>
      <c r="D343" s="56">
        <v>29361.55</v>
      </c>
      <c r="E343" s="56">
        <v>29215.79</v>
      </c>
      <c r="F343" s="56">
        <v>29093.69</v>
      </c>
      <c r="G343" s="56">
        <v>29170.98</v>
      </c>
      <c r="H343" s="56">
        <v>29358.33</v>
      </c>
      <c r="I343" s="56">
        <v>29318.82</v>
      </c>
      <c r="J343" s="56">
        <v>29199.74</v>
      </c>
      <c r="K343" s="56">
        <v>29131.360000000001</v>
      </c>
      <c r="L343" s="56">
        <v>29360.94</v>
      </c>
      <c r="M343" s="69">
        <f>IF((L344=""),"",MAX(D345:L345))</f>
        <v>1929.9099999999999</v>
      </c>
      <c r="N343" s="69">
        <f>IF(L344="","",MIN(D345:L345))</f>
        <v>1694.8400000000001</v>
      </c>
      <c r="O343" s="69">
        <f>IF((L345=""),"",AVERAGE(D345:L345))</f>
        <v>1846.3966666666665</v>
      </c>
      <c r="P343" s="69">
        <v>1600</v>
      </c>
      <c r="Q343" s="69">
        <v>2000</v>
      </c>
      <c r="R343" s="69">
        <f>IF((L344=""),"",((M343-N343)/(M343+N343))*100)</f>
        <v>6.4851369059935093</v>
      </c>
      <c r="S343" s="69">
        <v>23</v>
      </c>
      <c r="T343" s="130" t="str">
        <f>IF(L344="","",IF(R344&lt;20,(IF(O343&gt;1730,IF(O343&lt;1970,"Pass","Fail"),"Fail"))))</f>
        <v>Pass</v>
      </c>
      <c r="U343" s="69">
        <v>1159</v>
      </c>
      <c r="V343" s="138"/>
      <c r="W343" s="56">
        <v>1730</v>
      </c>
      <c r="X343" s="56">
        <v>1970</v>
      </c>
      <c r="Y343" s="56">
        <v>6.2</v>
      </c>
    </row>
    <row r="344" spans="1:25" x14ac:dyDescent="0.3">
      <c r="A344" s="128"/>
      <c r="B344" s="147"/>
      <c r="C344" s="71" t="s">
        <v>89</v>
      </c>
      <c r="D344" s="56">
        <v>27535.89</v>
      </c>
      <c r="E344" s="56">
        <v>27335.29</v>
      </c>
      <c r="F344" s="56">
        <v>27398.85</v>
      </c>
      <c r="G344" s="56">
        <v>27295.97</v>
      </c>
      <c r="H344" s="56">
        <v>27501.13</v>
      </c>
      <c r="I344" s="56">
        <v>27388.91</v>
      </c>
      <c r="J344" s="56">
        <v>27332.5</v>
      </c>
      <c r="K344" s="56">
        <v>27269.72</v>
      </c>
      <c r="L344" s="56">
        <v>27535.37</v>
      </c>
      <c r="M344" s="77"/>
      <c r="N344" s="77"/>
      <c r="O344" s="77"/>
      <c r="P344" s="77"/>
      <c r="Q344" s="77"/>
      <c r="R344" s="77"/>
      <c r="S344" s="77"/>
      <c r="T344" s="132"/>
      <c r="U344" s="77"/>
      <c r="V344" s="139"/>
    </row>
    <row r="345" spans="1:25" ht="39.9" x14ac:dyDescent="0.3">
      <c r="A345" s="128"/>
      <c r="B345" s="149"/>
      <c r="C345" s="71" t="s">
        <v>123</v>
      </c>
      <c r="D345" s="38">
        <f t="shared" ref="D345:L345" si="111">IF(((D343="")*AND(D344="")),"",(D343-D344)*1)</f>
        <v>1825.6599999999999</v>
      </c>
      <c r="E345" s="38">
        <f t="shared" si="111"/>
        <v>1880.5</v>
      </c>
      <c r="F345" s="38">
        <f t="shared" si="111"/>
        <v>1694.8400000000001</v>
      </c>
      <c r="G345" s="38">
        <f t="shared" si="111"/>
        <v>1875.0099999999984</v>
      </c>
      <c r="H345" s="38">
        <f t="shared" si="111"/>
        <v>1857.2000000000007</v>
      </c>
      <c r="I345" s="38">
        <f t="shared" si="111"/>
        <v>1929.9099999999999</v>
      </c>
      <c r="J345" s="38">
        <f t="shared" si="111"/>
        <v>1867.2400000000016</v>
      </c>
      <c r="K345" s="38">
        <f t="shared" si="111"/>
        <v>1861.6399999999994</v>
      </c>
      <c r="L345" s="38">
        <f t="shared" si="111"/>
        <v>1825.5699999999997</v>
      </c>
      <c r="M345" s="135"/>
      <c r="N345" s="135"/>
      <c r="O345" s="135"/>
      <c r="P345" s="135"/>
      <c r="Q345" s="135"/>
      <c r="R345" s="135"/>
      <c r="S345" s="135"/>
      <c r="T345" s="136"/>
      <c r="U345" s="135"/>
      <c r="V345" s="140"/>
    </row>
    <row r="346" spans="1:25" x14ac:dyDescent="0.3">
      <c r="A346" s="128">
        <v>42997</v>
      </c>
      <c r="B346" s="129" t="s">
        <v>124</v>
      </c>
      <c r="C346" s="71" t="s">
        <v>88</v>
      </c>
      <c r="D346" s="56">
        <v>29399.67</v>
      </c>
      <c r="E346" s="56">
        <v>29285.68</v>
      </c>
      <c r="F346" s="56">
        <v>29222.76</v>
      </c>
      <c r="G346" s="56">
        <v>29139.96</v>
      </c>
      <c r="H346" s="56">
        <v>29355.94</v>
      </c>
      <c r="I346" s="56">
        <v>29368.76</v>
      </c>
      <c r="J346" s="56">
        <v>29213.119999999999</v>
      </c>
      <c r="K346" s="56">
        <v>29210.47</v>
      </c>
      <c r="L346" s="56">
        <v>29374.77</v>
      </c>
      <c r="M346" s="69">
        <f>IF((L347=""),"",MAX(D348:L348))</f>
        <v>2020.4599999999991</v>
      </c>
      <c r="N346" s="69">
        <f>IF(L347="","",MIN(D348:L348))</f>
        <v>1811.119999999999</v>
      </c>
      <c r="O346" s="69">
        <f>IF((L348=""),"",AVERAGE(D348:L348))</f>
        <v>1918.2733333333319</v>
      </c>
      <c r="P346" s="69">
        <v>1600</v>
      </c>
      <c r="Q346" s="69">
        <v>2000</v>
      </c>
      <c r="R346" s="69">
        <f>IF((L347=""),"",((M346-N346)/(M346+N346))*100)</f>
        <v>5.463542455070761</v>
      </c>
      <c r="S346" s="69">
        <v>23</v>
      </c>
      <c r="T346" s="130" t="str">
        <f>IF(L347="","",IF(R347&lt;20,(IF(O346&gt;1730,IF(O346&lt;1970,"Pass","Fail"),"Fail"))))</f>
        <v>Pass</v>
      </c>
      <c r="U346" s="69">
        <v>1428</v>
      </c>
      <c r="V346" s="138"/>
      <c r="W346" s="56">
        <v>1730</v>
      </c>
      <c r="X346" s="56">
        <v>1970</v>
      </c>
      <c r="Y346" s="56">
        <v>6.2</v>
      </c>
    </row>
    <row r="347" spans="1:25" x14ac:dyDescent="0.3">
      <c r="A347" s="128"/>
      <c r="B347" s="147"/>
      <c r="C347" s="71" t="s">
        <v>89</v>
      </c>
      <c r="D347" s="56">
        <v>27503.22</v>
      </c>
      <c r="E347" s="56">
        <v>27337.9</v>
      </c>
      <c r="F347" s="56">
        <v>27313.83</v>
      </c>
      <c r="G347" s="56">
        <v>27279.25</v>
      </c>
      <c r="H347" s="56">
        <v>27335.48</v>
      </c>
      <c r="I347" s="56">
        <v>27392</v>
      </c>
      <c r="J347" s="56">
        <v>27402</v>
      </c>
      <c r="K347" s="56">
        <v>27285.7</v>
      </c>
      <c r="L347" s="56">
        <v>27457.29</v>
      </c>
      <c r="M347" s="77"/>
      <c r="N347" s="77"/>
      <c r="O347" s="77"/>
      <c r="P347" s="77"/>
      <c r="Q347" s="77"/>
      <c r="R347" s="77"/>
      <c r="S347" s="77"/>
      <c r="T347" s="132"/>
      <c r="U347" s="77"/>
      <c r="V347" s="139"/>
    </row>
    <row r="348" spans="1:25" ht="39.9" x14ac:dyDescent="0.3">
      <c r="A348" s="128"/>
      <c r="B348" s="149"/>
      <c r="C348" s="71" t="s">
        <v>123</v>
      </c>
      <c r="D348" s="38">
        <f t="shared" ref="D348:L348" si="112">IF(((D346="")*AND(D347="")),"",(D346-D347)*1)</f>
        <v>1896.4499999999971</v>
      </c>
      <c r="E348" s="38">
        <f t="shared" si="112"/>
        <v>1947.7799999999988</v>
      </c>
      <c r="F348" s="38">
        <f t="shared" si="112"/>
        <v>1908.9299999999967</v>
      </c>
      <c r="G348" s="38">
        <f t="shared" si="112"/>
        <v>1860.7099999999991</v>
      </c>
      <c r="H348" s="38">
        <f t="shared" si="112"/>
        <v>2020.4599999999991</v>
      </c>
      <c r="I348" s="38">
        <f t="shared" si="112"/>
        <v>1976.7599999999984</v>
      </c>
      <c r="J348" s="38">
        <f t="shared" si="112"/>
        <v>1811.119999999999</v>
      </c>
      <c r="K348" s="38">
        <f t="shared" si="112"/>
        <v>1924.7700000000004</v>
      </c>
      <c r="L348" s="38">
        <f t="shared" si="112"/>
        <v>1917.4799999999996</v>
      </c>
      <c r="M348" s="135"/>
      <c r="N348" s="135"/>
      <c r="O348" s="135"/>
      <c r="P348" s="135"/>
      <c r="Q348" s="135"/>
      <c r="R348" s="135"/>
      <c r="S348" s="135"/>
      <c r="T348" s="136"/>
      <c r="U348" s="135"/>
      <c r="V348" s="140"/>
    </row>
    <row r="349" spans="1:25" x14ac:dyDescent="0.3">
      <c r="A349" s="128">
        <v>43000</v>
      </c>
      <c r="B349" s="129" t="s">
        <v>124</v>
      </c>
      <c r="C349" s="71" t="s">
        <v>88</v>
      </c>
      <c r="D349" s="56">
        <v>29221.98</v>
      </c>
      <c r="E349" s="56">
        <v>29061.83</v>
      </c>
      <c r="F349" s="56">
        <v>29048.51</v>
      </c>
      <c r="G349" s="56">
        <v>29071.9</v>
      </c>
      <c r="H349" s="56">
        <v>29316.28</v>
      </c>
      <c r="I349" s="56">
        <v>29260.43</v>
      </c>
      <c r="J349" s="56">
        <v>29063.46</v>
      </c>
      <c r="K349" s="56">
        <v>29078.78</v>
      </c>
      <c r="L349" s="56">
        <v>29330.45</v>
      </c>
      <c r="M349" s="69">
        <f>IF((L350=""),"",MAX(D351:L351))</f>
        <v>1963.2700000000004</v>
      </c>
      <c r="N349" s="69">
        <f>IF(L350="","",MIN(D351:L351))</f>
        <v>1811.4199999999983</v>
      </c>
      <c r="O349" s="69">
        <f>IF((L351=""),"",AVERAGE(D351:L351))</f>
        <v>1880.9144444444444</v>
      </c>
      <c r="P349" s="69">
        <v>1600</v>
      </c>
      <c r="Q349" s="69">
        <v>2000</v>
      </c>
      <c r="R349" s="69">
        <f>IF((L350=""),"",((M349-N349)/(M349+N349))*100)</f>
        <v>4.0228469092826753</v>
      </c>
      <c r="S349" s="69">
        <v>23</v>
      </c>
      <c r="T349" s="130" t="str">
        <f>IF(L350="","",IF(R350&lt;20,(IF(O349&gt;1730,IF(O349&lt;1970,"Pass","Fail"),"Fail"))))</f>
        <v>Pass</v>
      </c>
      <c r="U349" s="69">
        <v>1428</v>
      </c>
      <c r="V349" s="138"/>
      <c r="W349" s="56">
        <v>1730</v>
      </c>
      <c r="X349" s="56">
        <v>1970</v>
      </c>
      <c r="Y349" s="56">
        <v>6.2</v>
      </c>
    </row>
    <row r="350" spans="1:25" x14ac:dyDescent="0.3">
      <c r="A350" s="128"/>
      <c r="B350" s="147"/>
      <c r="C350" s="71" t="s">
        <v>89</v>
      </c>
      <c r="D350" s="56">
        <v>27359.08</v>
      </c>
      <c r="E350" s="56">
        <v>27237.23</v>
      </c>
      <c r="F350" s="56">
        <v>27237.09</v>
      </c>
      <c r="G350" s="56">
        <v>27189.7</v>
      </c>
      <c r="H350" s="56">
        <v>27353.01</v>
      </c>
      <c r="I350" s="56">
        <v>27302.29</v>
      </c>
      <c r="J350" s="56">
        <v>27196.36</v>
      </c>
      <c r="K350" s="56">
        <v>27217.96</v>
      </c>
      <c r="L350" s="56">
        <v>27432.67</v>
      </c>
      <c r="M350" s="77"/>
      <c r="N350" s="77"/>
      <c r="O350" s="77"/>
      <c r="P350" s="77"/>
      <c r="Q350" s="77"/>
      <c r="R350" s="77"/>
      <c r="S350" s="77"/>
      <c r="T350" s="132"/>
      <c r="U350" s="77"/>
      <c r="V350" s="139"/>
    </row>
    <row r="351" spans="1:25" ht="39.9" x14ac:dyDescent="0.3">
      <c r="A351" s="128"/>
      <c r="B351" s="149"/>
      <c r="C351" s="71" t="s">
        <v>123</v>
      </c>
      <c r="D351" s="38">
        <f t="shared" ref="D351:L351" si="113">IF(((D349="")*AND(D350="")),"",(D349-D350)*1)</f>
        <v>1862.8999999999978</v>
      </c>
      <c r="E351" s="38">
        <f t="shared" si="113"/>
        <v>1824.6000000000022</v>
      </c>
      <c r="F351" s="38">
        <f t="shared" si="113"/>
        <v>1811.4199999999983</v>
      </c>
      <c r="G351" s="38">
        <f t="shared" si="113"/>
        <v>1882.2000000000007</v>
      </c>
      <c r="H351" s="38">
        <f t="shared" si="113"/>
        <v>1963.2700000000004</v>
      </c>
      <c r="I351" s="38">
        <f t="shared" si="113"/>
        <v>1958.1399999999994</v>
      </c>
      <c r="J351" s="38">
        <f t="shared" si="113"/>
        <v>1867.0999999999985</v>
      </c>
      <c r="K351" s="38">
        <f t="shared" si="113"/>
        <v>1860.8199999999997</v>
      </c>
      <c r="L351" s="38">
        <f t="shared" si="113"/>
        <v>1897.7800000000025</v>
      </c>
      <c r="M351" s="135"/>
      <c r="N351" s="135"/>
      <c r="O351" s="135"/>
      <c r="P351" s="135"/>
      <c r="Q351" s="135"/>
      <c r="R351" s="135"/>
      <c r="S351" s="135"/>
      <c r="T351" s="136"/>
      <c r="U351" s="135"/>
      <c r="V351" s="140"/>
    </row>
    <row r="352" spans="1:25" x14ac:dyDescent="0.3">
      <c r="A352" s="128">
        <v>43003</v>
      </c>
      <c r="B352" s="129" t="s">
        <v>124</v>
      </c>
      <c r="C352" s="71" t="s">
        <v>88</v>
      </c>
      <c r="D352" s="56">
        <v>29439.25</v>
      </c>
      <c r="E352" s="56">
        <v>29268.52</v>
      </c>
      <c r="F352" s="56">
        <v>29271.84</v>
      </c>
      <c r="G352" s="56">
        <v>29245.919999999998</v>
      </c>
      <c r="H352" s="56">
        <v>29516.44</v>
      </c>
      <c r="I352" s="56">
        <v>29459.05</v>
      </c>
      <c r="J352" s="56">
        <v>29255.48</v>
      </c>
      <c r="K352" s="56">
        <v>29314.74</v>
      </c>
      <c r="L352" s="56">
        <v>29494.99</v>
      </c>
      <c r="M352" s="69">
        <f>IF((L353=""),"",MAX(D354:L354))</f>
        <v>1998.6899999999987</v>
      </c>
      <c r="N352" s="69">
        <f>IF(L353="","",MIN(D354:L354))</f>
        <v>1827.1800000000003</v>
      </c>
      <c r="O352" s="69">
        <f>IF((L354=""),"",AVERAGE(D354:L354))</f>
        <v>1897.5611111111111</v>
      </c>
      <c r="P352" s="69">
        <v>1600</v>
      </c>
      <c r="Q352" s="69">
        <v>2000</v>
      </c>
      <c r="R352" s="69">
        <f>IF((L353=""),"",((M352-N352)/(M352+N352))*100)</f>
        <v>4.4829019281888423</v>
      </c>
      <c r="S352" s="69">
        <v>23</v>
      </c>
      <c r="T352" s="130" t="str">
        <f>IF(L353="","",IF(R353&lt;20,(IF(O352&gt;1730,IF(O352&lt;1970,"Pass","Fail"),"Fail"))))</f>
        <v>Pass</v>
      </c>
      <c r="U352" s="69">
        <v>1159</v>
      </c>
      <c r="V352" s="138"/>
      <c r="W352" s="56">
        <v>1730</v>
      </c>
      <c r="X352" s="56">
        <v>1970</v>
      </c>
      <c r="Y352" s="56">
        <v>6.2</v>
      </c>
    </row>
    <row r="353" spans="1:25" x14ac:dyDescent="0.3">
      <c r="A353" s="128"/>
      <c r="B353" s="147"/>
      <c r="C353" s="71" t="s">
        <v>89</v>
      </c>
      <c r="D353" s="56">
        <v>27612.07</v>
      </c>
      <c r="E353" s="56">
        <v>27421.439999999999</v>
      </c>
      <c r="F353" s="56">
        <v>27391.87</v>
      </c>
      <c r="G353" s="56">
        <v>27367.06</v>
      </c>
      <c r="H353" s="56">
        <v>27541.86</v>
      </c>
      <c r="I353" s="56">
        <v>27460.36</v>
      </c>
      <c r="J353" s="56">
        <v>27391.61</v>
      </c>
      <c r="K353" s="56">
        <v>27391.03</v>
      </c>
      <c r="L353" s="56">
        <v>27610.880000000001</v>
      </c>
      <c r="M353" s="77"/>
      <c r="N353" s="77"/>
      <c r="O353" s="77"/>
      <c r="P353" s="77"/>
      <c r="Q353" s="77"/>
      <c r="R353" s="77"/>
      <c r="S353" s="77"/>
      <c r="T353" s="132"/>
      <c r="U353" s="77"/>
      <c r="V353" s="139"/>
    </row>
    <row r="354" spans="1:25" ht="39.9" x14ac:dyDescent="0.3">
      <c r="A354" s="128"/>
      <c r="B354" s="149"/>
      <c r="C354" s="71" t="s">
        <v>123</v>
      </c>
      <c r="D354" s="38">
        <f t="shared" ref="D354:L354" si="114">IF(((D352="")*AND(D353="")),"",(D352-D353)*1)</f>
        <v>1827.1800000000003</v>
      </c>
      <c r="E354" s="38">
        <f t="shared" si="114"/>
        <v>1847.0800000000017</v>
      </c>
      <c r="F354" s="38">
        <f t="shared" si="114"/>
        <v>1879.9700000000012</v>
      </c>
      <c r="G354" s="38">
        <f t="shared" si="114"/>
        <v>1878.8599999999969</v>
      </c>
      <c r="H354" s="38">
        <f t="shared" si="114"/>
        <v>1974.5799999999981</v>
      </c>
      <c r="I354" s="38">
        <f t="shared" si="114"/>
        <v>1998.6899999999987</v>
      </c>
      <c r="J354" s="38">
        <f t="shared" si="114"/>
        <v>1863.869999999999</v>
      </c>
      <c r="K354" s="38">
        <f t="shared" si="114"/>
        <v>1923.7100000000028</v>
      </c>
      <c r="L354" s="38">
        <f t="shared" si="114"/>
        <v>1884.1100000000006</v>
      </c>
      <c r="M354" s="135"/>
      <c r="N354" s="135"/>
      <c r="O354" s="135"/>
      <c r="P354" s="135"/>
      <c r="Q354" s="135"/>
      <c r="R354" s="135"/>
      <c r="S354" s="135"/>
      <c r="T354" s="136"/>
      <c r="U354" s="135"/>
      <c r="V354" s="140"/>
    </row>
    <row r="355" spans="1:25" x14ac:dyDescent="0.3">
      <c r="A355" s="128">
        <v>43007</v>
      </c>
      <c r="B355" s="129" t="s">
        <v>124</v>
      </c>
      <c r="C355" s="71" t="s">
        <v>88</v>
      </c>
      <c r="D355" s="56">
        <v>29510.29</v>
      </c>
      <c r="E355" s="56">
        <v>29342.92</v>
      </c>
      <c r="F355" s="56">
        <v>29438</v>
      </c>
      <c r="G355" s="56">
        <v>29340.27</v>
      </c>
      <c r="H355" s="56">
        <v>29578.9</v>
      </c>
      <c r="I355" s="56">
        <v>29488.48</v>
      </c>
      <c r="J355" s="56">
        <v>29343.91</v>
      </c>
      <c r="K355" s="56">
        <v>29358.6</v>
      </c>
      <c r="L355" s="56">
        <v>29577.8</v>
      </c>
      <c r="M355" s="69">
        <f>IF((L356=""),"",MAX(D357:L357))</f>
        <v>1938.3000000000029</v>
      </c>
      <c r="N355" s="69">
        <f>IF(L356="","",MIN(D357:L357))</f>
        <v>1773.4000000000015</v>
      </c>
      <c r="O355" s="69">
        <f>IF((L357=""),"",AVERAGE(D357:L357))</f>
        <v>1846.4433333333336</v>
      </c>
      <c r="P355" s="69">
        <v>1600</v>
      </c>
      <c r="Q355" s="69">
        <v>2000</v>
      </c>
      <c r="R355" s="69">
        <f>IF((L356=""),"",((M355-N355)/(M355+N355))*100)</f>
        <v>4.4427081930113221</v>
      </c>
      <c r="S355" s="69">
        <v>23</v>
      </c>
      <c r="T355" s="130" t="str">
        <f>IF(L356="","",IF(R356&lt;20,(IF(O355&gt;1730,IF(O355&lt;1970,"Pass","Fail"),"Fail"))))</f>
        <v>Pass</v>
      </c>
      <c r="U355" s="69">
        <v>1428</v>
      </c>
      <c r="V355" s="138"/>
      <c r="W355" s="56">
        <v>1730</v>
      </c>
      <c r="X355" s="56">
        <v>1970</v>
      </c>
      <c r="Y355" s="56">
        <v>6.2</v>
      </c>
    </row>
    <row r="356" spans="1:25" x14ac:dyDescent="0.3">
      <c r="A356" s="128"/>
      <c r="B356" s="147"/>
      <c r="C356" s="71" t="s">
        <v>89</v>
      </c>
      <c r="D356" s="56">
        <v>27686.28</v>
      </c>
      <c r="E356" s="56">
        <v>27562.25</v>
      </c>
      <c r="F356" s="56">
        <v>27664.6</v>
      </c>
      <c r="G356" s="56">
        <v>27457.4</v>
      </c>
      <c r="H356" s="56">
        <v>27640.6</v>
      </c>
      <c r="I356" s="56">
        <v>27597.360000000001</v>
      </c>
      <c r="J356" s="56">
        <v>27500.38</v>
      </c>
      <c r="K356" s="56">
        <v>27500.89</v>
      </c>
      <c r="L356" s="56">
        <v>27751.42</v>
      </c>
      <c r="M356" s="77"/>
      <c r="N356" s="77"/>
      <c r="O356" s="77"/>
      <c r="P356" s="77"/>
      <c r="Q356" s="77"/>
      <c r="R356" s="77"/>
      <c r="S356" s="77"/>
      <c r="T356" s="132"/>
      <c r="U356" s="77"/>
      <c r="V356" s="139"/>
    </row>
    <row r="357" spans="1:25" ht="39.9" x14ac:dyDescent="0.3">
      <c r="A357" s="128"/>
      <c r="B357" s="149"/>
      <c r="C357" s="71" t="s">
        <v>123</v>
      </c>
      <c r="D357" s="38">
        <f t="shared" ref="D357:L357" si="115">IF(((D355="")*AND(D356="")),"",(D355-D356)*1)</f>
        <v>1824.010000000002</v>
      </c>
      <c r="E357" s="38">
        <f t="shared" si="115"/>
        <v>1780.6699999999983</v>
      </c>
      <c r="F357" s="38">
        <f t="shared" si="115"/>
        <v>1773.4000000000015</v>
      </c>
      <c r="G357" s="38">
        <f t="shared" si="115"/>
        <v>1882.869999999999</v>
      </c>
      <c r="H357" s="38">
        <f t="shared" si="115"/>
        <v>1938.3000000000029</v>
      </c>
      <c r="I357" s="38">
        <f t="shared" si="115"/>
        <v>1891.119999999999</v>
      </c>
      <c r="J357" s="38">
        <f t="shared" si="115"/>
        <v>1843.5299999999988</v>
      </c>
      <c r="K357" s="38">
        <f t="shared" si="115"/>
        <v>1857.7099999999991</v>
      </c>
      <c r="L357" s="38">
        <f t="shared" si="115"/>
        <v>1826.380000000001</v>
      </c>
      <c r="M357" s="135"/>
      <c r="N357" s="135"/>
      <c r="O357" s="135"/>
      <c r="P357" s="135"/>
      <c r="Q357" s="135"/>
      <c r="R357" s="135"/>
      <c r="S357" s="135"/>
      <c r="T357" s="136"/>
      <c r="U357" s="135"/>
      <c r="V357" s="140"/>
    </row>
    <row r="358" spans="1:25" x14ac:dyDescent="0.3">
      <c r="A358" s="128">
        <v>43011</v>
      </c>
      <c r="B358" s="129" t="s">
        <v>124</v>
      </c>
      <c r="C358" s="71" t="s">
        <v>88</v>
      </c>
      <c r="D358" s="56">
        <v>29420.799999999999</v>
      </c>
      <c r="E358" s="56">
        <v>29238.39</v>
      </c>
      <c r="F358" s="56">
        <v>29254.67</v>
      </c>
      <c r="G358" s="56">
        <v>29248.9</v>
      </c>
      <c r="H358" s="56">
        <v>29446.71</v>
      </c>
      <c r="I358" s="56">
        <v>29446.51</v>
      </c>
      <c r="J358" s="56">
        <v>29249.91</v>
      </c>
      <c r="K358" s="56">
        <v>29249.85</v>
      </c>
      <c r="L358" s="56">
        <v>29471.85</v>
      </c>
      <c r="M358" s="69">
        <f>IF((L359=""),"",MAX(D360:L360))</f>
        <v>1955.5599999999977</v>
      </c>
      <c r="N358" s="69">
        <f>IF(L359="","",MIN(D360:L360))</f>
        <v>1803.5</v>
      </c>
      <c r="O358" s="69">
        <f>IF((L360=""),"",AVERAGE(D360:L360))</f>
        <v>1870.8111111111107</v>
      </c>
      <c r="P358" s="69">
        <v>1600</v>
      </c>
      <c r="Q358" s="69">
        <v>2000</v>
      </c>
      <c r="R358" s="69">
        <f>IF((L359=""),"",((M358-N358)/(M358+N358))*100)</f>
        <v>4.0451602262267103</v>
      </c>
      <c r="S358" s="69">
        <v>23</v>
      </c>
      <c r="T358" s="130" t="str">
        <f>IF(L359="","",IF(R359&lt;20,(IF(O358&gt;1730,IF(O358&lt;1970,"Pass","Fail"),"Fail"))))</f>
        <v>Pass</v>
      </c>
      <c r="U358" s="69">
        <v>1159</v>
      </c>
      <c r="V358" s="138"/>
      <c r="W358" s="56">
        <v>1730</v>
      </c>
      <c r="X358" s="56">
        <v>1970</v>
      </c>
      <c r="Y358" s="56">
        <v>6.2</v>
      </c>
    </row>
    <row r="359" spans="1:25" x14ac:dyDescent="0.3">
      <c r="A359" s="128"/>
      <c r="B359" s="147"/>
      <c r="C359" s="71" t="s">
        <v>89</v>
      </c>
      <c r="D359" s="56">
        <v>27566.639999999999</v>
      </c>
      <c r="E359" s="56">
        <v>27427.63</v>
      </c>
      <c r="F359" s="56">
        <v>27451.17</v>
      </c>
      <c r="G359" s="56">
        <v>27365.03</v>
      </c>
      <c r="H359" s="56">
        <v>27491.15</v>
      </c>
      <c r="I359" s="56">
        <v>27500.13</v>
      </c>
      <c r="J359" s="56">
        <v>27389.53</v>
      </c>
      <c r="K359" s="56">
        <v>27396.05</v>
      </c>
      <c r="L359" s="56">
        <v>27602.959999999999</v>
      </c>
      <c r="M359" s="77"/>
      <c r="N359" s="77"/>
      <c r="O359" s="77"/>
      <c r="P359" s="77"/>
      <c r="Q359" s="77"/>
      <c r="R359" s="77"/>
      <c r="S359" s="77"/>
      <c r="T359" s="132"/>
      <c r="U359" s="77"/>
      <c r="V359" s="139"/>
    </row>
    <row r="360" spans="1:25" ht="39.9" x14ac:dyDescent="0.3">
      <c r="A360" s="128"/>
      <c r="B360" s="149"/>
      <c r="C360" s="71" t="s">
        <v>123</v>
      </c>
      <c r="D360" s="38">
        <f t="shared" ref="D360:L360" si="116">IF(((D358="")*AND(D359="")),"",(D358-D359)*1)</f>
        <v>1854.1599999999999</v>
      </c>
      <c r="E360" s="38">
        <f t="shared" si="116"/>
        <v>1810.7599999999984</v>
      </c>
      <c r="F360" s="38">
        <f t="shared" si="116"/>
        <v>1803.5</v>
      </c>
      <c r="G360" s="38">
        <f t="shared" si="116"/>
        <v>1883.8700000000026</v>
      </c>
      <c r="H360" s="38">
        <f t="shared" si="116"/>
        <v>1955.5599999999977</v>
      </c>
      <c r="I360" s="38">
        <f t="shared" si="116"/>
        <v>1946.3799999999974</v>
      </c>
      <c r="J360" s="38">
        <f t="shared" si="116"/>
        <v>1860.380000000001</v>
      </c>
      <c r="K360" s="38">
        <f t="shared" si="116"/>
        <v>1853.7999999999993</v>
      </c>
      <c r="L360" s="38">
        <f t="shared" si="116"/>
        <v>1868.8899999999994</v>
      </c>
      <c r="M360" s="135"/>
      <c r="N360" s="135"/>
      <c r="O360" s="135"/>
      <c r="P360" s="135"/>
      <c r="Q360" s="135"/>
      <c r="R360" s="135"/>
      <c r="S360" s="135"/>
      <c r="T360" s="136"/>
      <c r="U360" s="135"/>
      <c r="V360" s="140"/>
    </row>
    <row r="361" spans="1:25" x14ac:dyDescent="0.3">
      <c r="A361" s="128">
        <v>43017</v>
      </c>
      <c r="B361" s="129" t="s">
        <v>124</v>
      </c>
      <c r="C361" s="71" t="s">
        <v>88</v>
      </c>
      <c r="D361" s="56">
        <v>29360.06</v>
      </c>
      <c r="E361" s="56">
        <v>29206.5</v>
      </c>
      <c r="F361" s="56">
        <v>29254.959999999999</v>
      </c>
      <c r="G361" s="56">
        <v>29204.77</v>
      </c>
      <c r="H361" s="56">
        <v>29443.119999999999</v>
      </c>
      <c r="I361" s="56">
        <v>29356.52</v>
      </c>
      <c r="J361" s="56">
        <v>29196.53</v>
      </c>
      <c r="K361" s="56">
        <v>29200.17</v>
      </c>
      <c r="L361" s="56">
        <v>29409.56</v>
      </c>
      <c r="M361" s="69">
        <f>IF((L362=""),"",MAX(D363:L363))</f>
        <v>1978.1299999999974</v>
      </c>
      <c r="N361" s="69">
        <f>IF(L362="","",MIN(D363:L363))</f>
        <v>1813.5999999999985</v>
      </c>
      <c r="O361" s="69">
        <f>IF((L363=""),"",AVERAGE(D363:L363))</f>
        <v>1882.7822222222214</v>
      </c>
      <c r="P361" s="69">
        <v>1600</v>
      </c>
      <c r="Q361" s="69">
        <v>2000</v>
      </c>
      <c r="R361" s="69">
        <f>IF((L362=""),"",((M361-N361)/(M361+N361))*100)</f>
        <v>4.3391802686372456</v>
      </c>
      <c r="S361" s="69">
        <v>23</v>
      </c>
      <c r="T361" s="130" t="str">
        <f>IF(L362="","",IF(R362&lt;20,(IF(O361&gt;1730,IF(O361&lt;1970,"Pass","Fail"),"Fail"))))</f>
        <v>Pass</v>
      </c>
      <c r="U361" s="69">
        <v>1428</v>
      </c>
      <c r="V361" s="138"/>
      <c r="W361" s="56">
        <v>1730</v>
      </c>
      <c r="X361" s="56">
        <v>1970</v>
      </c>
      <c r="Y361" s="56">
        <v>6.2</v>
      </c>
    </row>
    <row r="362" spans="1:25" x14ac:dyDescent="0.3">
      <c r="A362" s="128"/>
      <c r="B362" s="147"/>
      <c r="C362" s="71" t="s">
        <v>89</v>
      </c>
      <c r="D362" s="56">
        <v>27490.59</v>
      </c>
      <c r="E362" s="56">
        <v>27374.28</v>
      </c>
      <c r="F362" s="56">
        <v>27441.360000000001</v>
      </c>
      <c r="G362" s="56">
        <v>27310.560000000001</v>
      </c>
      <c r="H362" s="56">
        <v>27464.99</v>
      </c>
      <c r="I362" s="56">
        <v>27401.200000000001</v>
      </c>
      <c r="J362" s="56">
        <v>27322.560000000001</v>
      </c>
      <c r="K362" s="56">
        <v>27344.57</v>
      </c>
      <c r="L362" s="56">
        <v>27537.040000000001</v>
      </c>
      <c r="M362" s="77"/>
      <c r="N362" s="77"/>
      <c r="O362" s="77"/>
      <c r="P362" s="77"/>
      <c r="Q362" s="77"/>
      <c r="R362" s="77"/>
      <c r="S362" s="77"/>
      <c r="T362" s="132"/>
      <c r="U362" s="77"/>
      <c r="V362" s="139"/>
    </row>
    <row r="363" spans="1:25" ht="39.9" x14ac:dyDescent="0.3">
      <c r="A363" s="128"/>
      <c r="B363" s="149"/>
      <c r="C363" s="71" t="s">
        <v>123</v>
      </c>
      <c r="D363" s="38">
        <f t="shared" ref="D363:L363" si="117">IF(((D361="")*AND(D362="")),"",(D361-D362)*1)</f>
        <v>1869.4700000000012</v>
      </c>
      <c r="E363" s="38">
        <f t="shared" si="117"/>
        <v>1832.2200000000012</v>
      </c>
      <c r="F363" s="38">
        <f t="shared" si="117"/>
        <v>1813.5999999999985</v>
      </c>
      <c r="G363" s="38">
        <f t="shared" si="117"/>
        <v>1894.2099999999991</v>
      </c>
      <c r="H363" s="38">
        <f t="shared" si="117"/>
        <v>1978.1299999999974</v>
      </c>
      <c r="I363" s="38">
        <f t="shared" si="117"/>
        <v>1955.3199999999997</v>
      </c>
      <c r="J363" s="38">
        <f t="shared" si="117"/>
        <v>1873.9699999999975</v>
      </c>
      <c r="K363" s="38">
        <f t="shared" si="117"/>
        <v>1855.5999999999985</v>
      </c>
      <c r="L363" s="38">
        <f t="shared" si="117"/>
        <v>1872.5200000000004</v>
      </c>
      <c r="M363" s="135"/>
      <c r="N363" s="135"/>
      <c r="O363" s="135"/>
      <c r="P363" s="135"/>
      <c r="Q363" s="135"/>
      <c r="R363" s="135"/>
      <c r="S363" s="135"/>
      <c r="T363" s="136"/>
      <c r="U363" s="135"/>
      <c r="V363" s="140"/>
    </row>
    <row r="364" spans="1:25" x14ac:dyDescent="0.3">
      <c r="A364" s="128">
        <v>43020</v>
      </c>
      <c r="B364" s="129" t="s">
        <v>124</v>
      </c>
      <c r="C364" s="71" t="s">
        <v>88</v>
      </c>
      <c r="D364" s="56">
        <v>29369.24</v>
      </c>
      <c r="E364" s="56">
        <v>29211.87</v>
      </c>
      <c r="F364" s="56">
        <v>27017.51</v>
      </c>
      <c r="G364" s="56">
        <v>29195.39</v>
      </c>
      <c r="H364" s="56">
        <v>29347.78</v>
      </c>
      <c r="I364" s="56">
        <v>29347.06</v>
      </c>
      <c r="J364" s="56">
        <v>29233.919999999998</v>
      </c>
      <c r="K364" s="56">
        <v>29172.1</v>
      </c>
      <c r="L364" s="56">
        <v>29423.02</v>
      </c>
      <c r="M364" s="69">
        <f>IF((L365=""),"",MAX(D366:L366))</f>
        <v>4123.2700000000004</v>
      </c>
      <c r="N364" s="69">
        <f>IF(L365="","",MIN(D366:L366))</f>
        <v>-352.7400000000016</v>
      </c>
      <c r="O364" s="69">
        <f>IF((L366=""),"",AVERAGE(D366:L366))</f>
        <v>1902.1344444444439</v>
      </c>
      <c r="P364" s="69">
        <v>1600</v>
      </c>
      <c r="Q364" s="69">
        <v>2000</v>
      </c>
      <c r="R364" s="69">
        <f>IF((L365=""),"",((M364-N364)/(M364+N364))*100)</f>
        <v>118.71036697758679</v>
      </c>
      <c r="S364" s="69">
        <v>23</v>
      </c>
      <c r="T364" s="130" t="str">
        <f>IF(L365="","",IF(R365&lt;20,(IF(O364&gt;1730,IF(O364&lt;1970,"Pass","Fail"),"Fail"))))</f>
        <v>Pass</v>
      </c>
      <c r="U364" s="69">
        <v>1428</v>
      </c>
      <c r="V364" s="138"/>
      <c r="W364" s="56">
        <v>1730</v>
      </c>
      <c r="X364" s="56">
        <v>1970</v>
      </c>
      <c r="Y364" s="56">
        <v>6.2</v>
      </c>
    </row>
    <row r="365" spans="1:25" x14ac:dyDescent="0.3">
      <c r="A365" s="128"/>
      <c r="B365" s="147"/>
      <c r="C365" s="71" t="s">
        <v>89</v>
      </c>
      <c r="D365" s="56">
        <v>27525.65</v>
      </c>
      <c r="E365" s="56">
        <v>25088.6</v>
      </c>
      <c r="F365" s="56">
        <v>27370.25</v>
      </c>
      <c r="G365" s="56">
        <v>27273.16</v>
      </c>
      <c r="H365" s="56">
        <v>27378.639999999999</v>
      </c>
      <c r="I365" s="56">
        <v>27336.07</v>
      </c>
      <c r="J365" s="56">
        <v>27287.63</v>
      </c>
      <c r="K365" s="56">
        <v>27327.34</v>
      </c>
      <c r="L365" s="56">
        <v>27611.34</v>
      </c>
      <c r="M365" s="77"/>
      <c r="N365" s="77"/>
      <c r="O365" s="77"/>
      <c r="P365" s="77"/>
      <c r="Q365" s="77"/>
      <c r="R365" s="77"/>
      <c r="S365" s="77"/>
      <c r="T365" s="132"/>
      <c r="U365" s="77"/>
      <c r="V365" s="139"/>
    </row>
    <row r="366" spans="1:25" ht="39.9" x14ac:dyDescent="0.3">
      <c r="A366" s="128"/>
      <c r="B366" s="149"/>
      <c r="C366" s="71" t="s">
        <v>123</v>
      </c>
      <c r="D366" s="38">
        <f t="shared" ref="D366:L366" si="118">IF(((D364="")*AND(D365="")),"",(D364-D365)*1)</f>
        <v>1843.5900000000001</v>
      </c>
      <c r="E366" s="38">
        <f t="shared" si="118"/>
        <v>4123.2700000000004</v>
      </c>
      <c r="F366" s="38">
        <f t="shared" si="118"/>
        <v>-352.7400000000016</v>
      </c>
      <c r="G366" s="38">
        <f t="shared" si="118"/>
        <v>1922.2299999999996</v>
      </c>
      <c r="H366" s="38">
        <f t="shared" si="118"/>
        <v>1969.1399999999994</v>
      </c>
      <c r="I366" s="38">
        <f t="shared" si="118"/>
        <v>2010.9900000000016</v>
      </c>
      <c r="J366" s="38">
        <f t="shared" si="118"/>
        <v>1946.2899999999972</v>
      </c>
      <c r="K366" s="38">
        <f t="shared" si="118"/>
        <v>1844.7599999999984</v>
      </c>
      <c r="L366" s="38">
        <f t="shared" si="118"/>
        <v>1811.6800000000003</v>
      </c>
      <c r="M366" s="135"/>
      <c r="N366" s="135"/>
      <c r="O366" s="135"/>
      <c r="P366" s="135"/>
      <c r="Q366" s="135"/>
      <c r="R366" s="135"/>
      <c r="S366" s="135"/>
      <c r="T366" s="136"/>
      <c r="U366" s="135"/>
      <c r="V366" s="140"/>
    </row>
    <row r="367" spans="1:25" x14ac:dyDescent="0.3">
      <c r="A367" s="128">
        <v>43024</v>
      </c>
      <c r="B367" s="129" t="s">
        <v>124</v>
      </c>
      <c r="C367" s="71" t="s">
        <v>88</v>
      </c>
      <c r="D367" s="56">
        <v>29263.21</v>
      </c>
      <c r="E367" s="56">
        <v>29083.599999999999</v>
      </c>
      <c r="F367" s="56">
        <v>29130.79</v>
      </c>
      <c r="G367" s="56">
        <v>29164.59</v>
      </c>
      <c r="H367" s="56">
        <v>29355.13</v>
      </c>
      <c r="I367" s="56">
        <v>29284.78</v>
      </c>
      <c r="J367" s="56">
        <v>29114.52</v>
      </c>
      <c r="K367" s="56">
        <v>29110.62</v>
      </c>
      <c r="L367" s="56">
        <v>29381.06</v>
      </c>
      <c r="M367" s="69">
        <f>IF((L368=""),"",MAX(D369:L369))</f>
        <v>2018.8400000000001</v>
      </c>
      <c r="N367" s="69">
        <f>IF(L368="","",MIN(D369:L369))</f>
        <v>1704.5600000000013</v>
      </c>
      <c r="O367" s="69">
        <f>IF((L369=""),"",AVERAGE(D369:L369))</f>
        <v>1877.8711111111115</v>
      </c>
      <c r="P367" s="69">
        <v>1600</v>
      </c>
      <c r="Q367" s="69">
        <v>2000</v>
      </c>
      <c r="R367" s="69">
        <f>IF((L368=""),"",((M367-N367)/(M367+N367))*100)</f>
        <v>8.4406725036256827</v>
      </c>
      <c r="S367" s="69">
        <v>23</v>
      </c>
      <c r="T367" s="130" t="str">
        <f>IF(L368="","",IF(R368&lt;20,(IF(O367&gt;1730,IF(O367&lt;1970,"Pass","Fail"),"Fail"))))</f>
        <v>Pass</v>
      </c>
      <c r="U367" s="69"/>
      <c r="V367" s="138"/>
      <c r="W367" s="56">
        <v>1730</v>
      </c>
      <c r="X367" s="56">
        <v>1970</v>
      </c>
      <c r="Y367" s="56">
        <v>6.2</v>
      </c>
    </row>
    <row r="368" spans="1:25" x14ac:dyDescent="0.3">
      <c r="A368" s="128"/>
      <c r="B368" s="147"/>
      <c r="C368" s="71" t="s">
        <v>89</v>
      </c>
      <c r="D368" s="56">
        <v>27405.91</v>
      </c>
      <c r="E368" s="56">
        <v>27284.639999999999</v>
      </c>
      <c r="F368" s="56">
        <v>27426.23</v>
      </c>
      <c r="G368" s="56">
        <v>27224.05</v>
      </c>
      <c r="H368" s="56">
        <v>27388.7</v>
      </c>
      <c r="I368" s="56">
        <v>27265.94</v>
      </c>
      <c r="J368" s="56">
        <v>27223.42</v>
      </c>
      <c r="K368" s="56">
        <v>27251.78</v>
      </c>
      <c r="L368" s="56">
        <v>27516.79</v>
      </c>
      <c r="M368" s="77"/>
      <c r="N368" s="77"/>
      <c r="O368" s="77"/>
      <c r="P368" s="77"/>
      <c r="Q368" s="77"/>
      <c r="R368" s="77"/>
      <c r="S368" s="77"/>
      <c r="T368" s="132"/>
      <c r="U368" s="77">
        <v>1335</v>
      </c>
      <c r="V368" s="139"/>
    </row>
    <row r="369" spans="1:25" ht="39.9" x14ac:dyDescent="0.3">
      <c r="A369" s="128"/>
      <c r="B369" s="149"/>
      <c r="C369" s="71" t="s">
        <v>123</v>
      </c>
      <c r="D369" s="38">
        <f t="shared" ref="D369:L369" si="119">IF(((D367="")*AND(D368="")),"",(D367-D368)*1)</f>
        <v>1857.2999999999993</v>
      </c>
      <c r="E369" s="38">
        <f t="shared" si="119"/>
        <v>1798.9599999999991</v>
      </c>
      <c r="F369" s="38">
        <f t="shared" si="119"/>
        <v>1704.5600000000013</v>
      </c>
      <c r="G369" s="38">
        <f t="shared" si="119"/>
        <v>1940.5400000000009</v>
      </c>
      <c r="H369" s="38">
        <f t="shared" si="119"/>
        <v>1966.4300000000003</v>
      </c>
      <c r="I369" s="38">
        <f t="shared" si="119"/>
        <v>2018.8400000000001</v>
      </c>
      <c r="J369" s="38">
        <f t="shared" si="119"/>
        <v>1891.1000000000022</v>
      </c>
      <c r="K369" s="38">
        <f t="shared" si="119"/>
        <v>1858.8400000000001</v>
      </c>
      <c r="L369" s="38">
        <f t="shared" si="119"/>
        <v>1864.2700000000004</v>
      </c>
      <c r="M369" s="135"/>
      <c r="N369" s="135"/>
      <c r="O369" s="135"/>
      <c r="P369" s="135"/>
      <c r="Q369" s="135"/>
      <c r="R369" s="135"/>
      <c r="S369" s="135"/>
      <c r="T369" s="136"/>
      <c r="U369" s="135"/>
      <c r="V369" s="140"/>
    </row>
    <row r="370" spans="1:25" x14ac:dyDescent="0.3">
      <c r="A370" s="128">
        <v>43028</v>
      </c>
      <c r="B370" s="129" t="s">
        <v>124</v>
      </c>
      <c r="C370" s="71" t="s">
        <v>88</v>
      </c>
      <c r="D370" s="56">
        <v>29326.04</v>
      </c>
      <c r="E370" s="56">
        <v>29157.1</v>
      </c>
      <c r="F370" s="56">
        <v>29167.62</v>
      </c>
      <c r="G370" s="56">
        <v>29149.55</v>
      </c>
      <c r="H370" s="56">
        <v>29381.71</v>
      </c>
      <c r="I370" s="56">
        <v>29340.73</v>
      </c>
      <c r="J370" s="56">
        <v>29144.06</v>
      </c>
      <c r="K370" s="56">
        <v>29145.26</v>
      </c>
      <c r="L370" s="56">
        <v>29393.47</v>
      </c>
      <c r="M370" s="69">
        <f>IF((L371=""),"",MAX(D372:L372))</f>
        <v>2014.8199999999997</v>
      </c>
      <c r="N370" s="69">
        <f>IF(L371="","",MIN(D372:L372))</f>
        <v>1791.4799999999996</v>
      </c>
      <c r="O370" s="69">
        <f>IF((L372=""),"",AVERAGE(D372:L372))</f>
        <v>1901.1122222222216</v>
      </c>
      <c r="P370" s="69">
        <v>1600</v>
      </c>
      <c r="Q370" s="69">
        <v>2000</v>
      </c>
      <c r="R370" s="69">
        <f>IF((L371=""),"",((M370-N370)/(M370+N370))*100)</f>
        <v>5.8676404907653152</v>
      </c>
      <c r="S370" s="69">
        <v>23</v>
      </c>
      <c r="T370" s="130" t="str">
        <f>IF(L371="","",IF(R371&lt;20,(IF(O370&gt;1730,IF(O370&lt;1970,"Pass","Fail"),"Fail"))))</f>
        <v>Pass</v>
      </c>
      <c r="U370" s="69">
        <v>1335</v>
      </c>
      <c r="V370" s="138"/>
      <c r="W370" s="56">
        <v>1730</v>
      </c>
      <c r="X370" s="56">
        <v>1970</v>
      </c>
      <c r="Y370" s="56">
        <v>6.2</v>
      </c>
    </row>
    <row r="371" spans="1:25" x14ac:dyDescent="0.3">
      <c r="A371" s="128"/>
      <c r="B371" s="147"/>
      <c r="C371" s="71" t="s">
        <v>89</v>
      </c>
      <c r="D371" s="56">
        <v>27465.06</v>
      </c>
      <c r="E371" s="56">
        <v>27307.63</v>
      </c>
      <c r="F371" s="56">
        <v>27376.14</v>
      </c>
      <c r="G371" s="56">
        <v>27225.4</v>
      </c>
      <c r="H371" s="56">
        <v>27366.89</v>
      </c>
      <c r="I371" s="56">
        <v>27336.93</v>
      </c>
      <c r="J371" s="56">
        <v>27236.68</v>
      </c>
      <c r="K371" s="56">
        <v>27256.38</v>
      </c>
      <c r="L371" s="56">
        <v>27524.42</v>
      </c>
      <c r="M371" s="77"/>
      <c r="N371" s="77"/>
      <c r="O371" s="77"/>
      <c r="P371" s="77"/>
      <c r="Q371" s="77"/>
      <c r="R371" s="77"/>
      <c r="S371" s="77"/>
      <c r="T371" s="132"/>
      <c r="U371" s="77"/>
      <c r="V371" s="139"/>
    </row>
    <row r="372" spans="1:25" ht="39.9" x14ac:dyDescent="0.3">
      <c r="A372" s="128"/>
      <c r="B372" s="149"/>
      <c r="C372" s="71" t="s">
        <v>123</v>
      </c>
      <c r="D372" s="38">
        <f t="shared" ref="D372:L372" si="120">IF(((D370="")*AND(D371="")),"",(D370-D371)*1)</f>
        <v>1860.9799999999996</v>
      </c>
      <c r="E372" s="38">
        <f t="shared" si="120"/>
        <v>1849.4699999999975</v>
      </c>
      <c r="F372" s="38">
        <f t="shared" si="120"/>
        <v>1791.4799999999996</v>
      </c>
      <c r="G372" s="38">
        <f t="shared" si="120"/>
        <v>1924.1499999999978</v>
      </c>
      <c r="H372" s="38">
        <f t="shared" si="120"/>
        <v>2014.8199999999997</v>
      </c>
      <c r="I372" s="38">
        <f t="shared" si="120"/>
        <v>2003.7999999999993</v>
      </c>
      <c r="J372" s="38">
        <f t="shared" si="120"/>
        <v>1907.380000000001</v>
      </c>
      <c r="K372" s="38">
        <f t="shared" si="120"/>
        <v>1888.8799999999974</v>
      </c>
      <c r="L372" s="38">
        <f t="shared" si="120"/>
        <v>1869.0500000000029</v>
      </c>
      <c r="M372" s="135"/>
      <c r="N372" s="135"/>
      <c r="O372" s="135"/>
      <c r="P372" s="135"/>
      <c r="Q372" s="135"/>
      <c r="R372" s="135"/>
      <c r="S372" s="135"/>
      <c r="T372" s="136"/>
      <c r="U372" s="135"/>
      <c r="V372" s="140"/>
    </row>
    <row r="373" spans="1:25" x14ac:dyDescent="0.3">
      <c r="A373" s="128">
        <v>43032</v>
      </c>
      <c r="B373" s="129" t="s">
        <v>124</v>
      </c>
      <c r="C373" s="71" t="s">
        <v>88</v>
      </c>
      <c r="D373" s="56">
        <v>29361.35</v>
      </c>
      <c r="E373" s="56">
        <v>29156.57</v>
      </c>
      <c r="F373" s="56">
        <v>29184.41</v>
      </c>
      <c r="G373" s="56">
        <v>29178.07</v>
      </c>
      <c r="H373" s="56">
        <v>29413.42</v>
      </c>
      <c r="I373" s="56">
        <v>29289.16</v>
      </c>
      <c r="J373" s="56">
        <v>29143.59</v>
      </c>
      <c r="K373" s="56">
        <v>29180.44</v>
      </c>
      <c r="L373" s="56">
        <v>29416.65</v>
      </c>
      <c r="M373" s="69">
        <f>IF((L374=""),"",MAX(D375:L375))</f>
        <v>1920.3899999999994</v>
      </c>
      <c r="N373" s="69">
        <f>IF(L374="","",MIN(D375:L375))</f>
        <v>1841.9200000000019</v>
      </c>
      <c r="O373" s="69">
        <f>IF((L375=""),"",AVERAGE(D375:L375))</f>
        <v>1884.6955555555551</v>
      </c>
      <c r="P373" s="69">
        <v>1600</v>
      </c>
      <c r="Q373" s="69">
        <v>2000</v>
      </c>
      <c r="R373" s="69">
        <f>IF((L374=""),"",((M373-N373)/(M373+N373))*100)</f>
        <v>2.0856867190634878</v>
      </c>
      <c r="S373" s="69">
        <v>23</v>
      </c>
      <c r="T373" s="130" t="str">
        <f>IF(L374="","",IF(R374&lt;20,(IF(O373&gt;1730,IF(O373&lt;1970,"Pass","Fail"),"Fail"))))</f>
        <v>Pass</v>
      </c>
      <c r="U373" s="69">
        <v>1159</v>
      </c>
      <c r="V373" s="138"/>
      <c r="W373" s="56">
        <v>1730</v>
      </c>
      <c r="X373" s="56">
        <v>1970</v>
      </c>
      <c r="Y373" s="56">
        <v>6.2</v>
      </c>
    </row>
    <row r="374" spans="1:25" x14ac:dyDescent="0.3">
      <c r="A374" s="128"/>
      <c r="B374" s="147"/>
      <c r="C374" s="71" t="s">
        <v>89</v>
      </c>
      <c r="D374" s="56">
        <v>27441.43</v>
      </c>
      <c r="E374" s="56">
        <v>27310.77</v>
      </c>
      <c r="F374" s="56">
        <v>27336.86</v>
      </c>
      <c r="G374" s="56">
        <v>27264.86</v>
      </c>
      <c r="H374" s="56">
        <v>27517.86</v>
      </c>
      <c r="I374" s="56">
        <v>27391.47</v>
      </c>
      <c r="J374" s="56">
        <v>27263.37</v>
      </c>
      <c r="K374" s="56">
        <v>27260.05</v>
      </c>
      <c r="L374" s="56">
        <v>27574.73</v>
      </c>
      <c r="M374" s="77"/>
      <c r="N374" s="77"/>
      <c r="O374" s="77"/>
      <c r="P374" s="77"/>
      <c r="Q374" s="77"/>
      <c r="R374" s="77"/>
      <c r="S374" s="77"/>
      <c r="T374" s="132"/>
      <c r="U374" s="77"/>
      <c r="V374" s="139"/>
    </row>
    <row r="375" spans="1:25" ht="39.9" x14ac:dyDescent="0.3">
      <c r="A375" s="128"/>
      <c r="B375" s="149"/>
      <c r="C375" s="71" t="s">
        <v>123</v>
      </c>
      <c r="D375" s="38">
        <f t="shared" ref="D375:L375" si="121">IF(((D373="")*AND(D374="")),"",(D373-D374)*1)</f>
        <v>1919.9199999999983</v>
      </c>
      <c r="E375" s="38">
        <f t="shared" si="121"/>
        <v>1845.7999999999993</v>
      </c>
      <c r="F375" s="38">
        <f t="shared" si="121"/>
        <v>1847.5499999999993</v>
      </c>
      <c r="G375" s="38">
        <f t="shared" si="121"/>
        <v>1913.2099999999991</v>
      </c>
      <c r="H375" s="38">
        <f t="shared" si="121"/>
        <v>1895.5599999999977</v>
      </c>
      <c r="I375" s="38">
        <f t="shared" si="121"/>
        <v>1897.6899999999987</v>
      </c>
      <c r="J375" s="38">
        <f t="shared" si="121"/>
        <v>1880.2200000000012</v>
      </c>
      <c r="K375" s="38">
        <f t="shared" si="121"/>
        <v>1920.3899999999994</v>
      </c>
      <c r="L375" s="38">
        <f t="shared" si="121"/>
        <v>1841.9200000000019</v>
      </c>
      <c r="M375" s="135"/>
      <c r="N375" s="135"/>
      <c r="O375" s="135"/>
      <c r="P375" s="135"/>
      <c r="Q375" s="135"/>
      <c r="R375" s="135"/>
      <c r="S375" s="135"/>
      <c r="T375" s="136"/>
      <c r="U375" s="135"/>
      <c r="V375" s="140"/>
    </row>
    <row r="376" spans="1:25" x14ac:dyDescent="0.3">
      <c r="A376" s="128">
        <v>43035</v>
      </c>
      <c r="B376" s="129" t="s">
        <v>124</v>
      </c>
      <c r="C376" s="71" t="s">
        <v>88</v>
      </c>
      <c r="D376" s="56">
        <v>29243.22</v>
      </c>
      <c r="E376" s="56">
        <v>29070.95</v>
      </c>
      <c r="F376" s="56">
        <v>29079.84</v>
      </c>
      <c r="G376" s="56">
        <v>29070.32</v>
      </c>
      <c r="H376" s="56">
        <v>29308.35</v>
      </c>
      <c r="I376" s="56">
        <v>29249.72</v>
      </c>
      <c r="J376" s="56">
        <v>29077.95</v>
      </c>
      <c r="K376" s="56">
        <v>29056.11</v>
      </c>
      <c r="L376" s="56">
        <v>29301.83</v>
      </c>
      <c r="M376" s="69">
        <f>IF((L377=""),"",MAX(D378:L378))</f>
        <v>2002.0400000000009</v>
      </c>
      <c r="N376" s="69">
        <f>IF(L377="","",MIN(D378:L378))</f>
        <v>1798.130000000001</v>
      </c>
      <c r="O376" s="69">
        <f>IF((L378=""),"",AVERAGE(D378:L378))</f>
        <v>1932.1144444444444</v>
      </c>
      <c r="P376" s="69">
        <v>1600</v>
      </c>
      <c r="Q376" s="69">
        <v>2000</v>
      </c>
      <c r="R376" s="69">
        <f>IF((L377=""),"",((M376-N376)/(M376+N376))*100)</f>
        <v>5.3658125820686902</v>
      </c>
      <c r="S376" s="69">
        <v>23</v>
      </c>
      <c r="T376" s="130" t="str">
        <f>IF(L377="","",IF(R377&lt;20,(IF(O376&gt;1730,IF(O376&lt;1970,"Pass","Fail"),"Fail"))))</f>
        <v>Pass</v>
      </c>
      <c r="U376" s="69">
        <v>102</v>
      </c>
      <c r="V376" s="138"/>
      <c r="W376" s="56">
        <v>1730</v>
      </c>
      <c r="X376" s="56">
        <v>1970</v>
      </c>
      <c r="Y376" s="56">
        <v>6.2</v>
      </c>
    </row>
    <row r="377" spans="1:25" x14ac:dyDescent="0.3">
      <c r="A377" s="128"/>
      <c r="B377" s="147"/>
      <c r="C377" s="71" t="s">
        <v>89</v>
      </c>
      <c r="D377" s="56">
        <v>27278.58</v>
      </c>
      <c r="E377" s="56">
        <v>27138.36</v>
      </c>
      <c r="F377" s="56">
        <v>27281.71</v>
      </c>
      <c r="G377" s="56">
        <v>27103.65</v>
      </c>
      <c r="H377" s="56">
        <v>27382.47</v>
      </c>
      <c r="I377" s="56">
        <v>27247.68</v>
      </c>
      <c r="J377" s="56">
        <v>27118.84</v>
      </c>
      <c r="K377" s="56">
        <v>27101.98</v>
      </c>
      <c r="L377" s="56">
        <v>27415.99</v>
      </c>
      <c r="M377" s="77"/>
      <c r="N377" s="77"/>
      <c r="O377" s="77"/>
      <c r="P377" s="77"/>
      <c r="Q377" s="77"/>
      <c r="R377" s="77"/>
      <c r="S377" s="77"/>
      <c r="T377" s="132"/>
      <c r="U377" s="77"/>
      <c r="V377" s="139"/>
    </row>
    <row r="378" spans="1:25" ht="39.9" x14ac:dyDescent="0.3">
      <c r="A378" s="128"/>
      <c r="B378" s="149"/>
      <c r="C378" s="71" t="s">
        <v>123</v>
      </c>
      <c r="D378" s="38">
        <f t="shared" ref="D378:L378" si="122">IF(((D376="")*AND(D377="")),"",(D376-D377)*1)</f>
        <v>1964.6399999999994</v>
      </c>
      <c r="E378" s="38">
        <f t="shared" si="122"/>
        <v>1932.5900000000001</v>
      </c>
      <c r="F378" s="38">
        <f t="shared" si="122"/>
        <v>1798.130000000001</v>
      </c>
      <c r="G378" s="38">
        <f t="shared" si="122"/>
        <v>1966.6699999999983</v>
      </c>
      <c r="H378" s="38">
        <f t="shared" si="122"/>
        <v>1925.8799999999974</v>
      </c>
      <c r="I378" s="38">
        <f t="shared" si="122"/>
        <v>2002.0400000000009</v>
      </c>
      <c r="J378" s="38">
        <f t="shared" si="122"/>
        <v>1959.1100000000006</v>
      </c>
      <c r="K378" s="38">
        <f t="shared" si="122"/>
        <v>1954.130000000001</v>
      </c>
      <c r="L378" s="38">
        <f t="shared" si="122"/>
        <v>1885.8400000000001</v>
      </c>
      <c r="M378" s="135"/>
      <c r="N378" s="135"/>
      <c r="O378" s="135"/>
      <c r="P378" s="135"/>
      <c r="Q378" s="135"/>
      <c r="R378" s="135"/>
      <c r="S378" s="135"/>
      <c r="T378" s="136"/>
      <c r="U378" s="135"/>
      <c r="V378" s="140"/>
    </row>
    <row r="379" spans="1:25" x14ac:dyDescent="0.3">
      <c r="A379" s="154">
        <v>43038</v>
      </c>
      <c r="B379" s="129" t="s">
        <v>124</v>
      </c>
      <c r="C379" s="71" t="s">
        <v>88</v>
      </c>
      <c r="D379" s="56">
        <v>29408.28</v>
      </c>
      <c r="E379" s="56">
        <v>29231.07</v>
      </c>
      <c r="F379" s="56">
        <v>29156.69</v>
      </c>
      <c r="G379" s="56">
        <v>29182.080000000002</v>
      </c>
      <c r="H379" s="56">
        <v>29437.56</v>
      </c>
      <c r="I379" s="56">
        <v>29344.87</v>
      </c>
      <c r="J379" s="56">
        <v>29166.86</v>
      </c>
      <c r="K379" s="56">
        <v>29227.439999999999</v>
      </c>
      <c r="L379" s="56">
        <v>29460.77</v>
      </c>
      <c r="M379" s="69">
        <f>IF((L380=""),"",MAX(D381:L381))</f>
        <v>1867.7300000000032</v>
      </c>
      <c r="N379" s="69">
        <f>IF(L380="","",MIN(D381:L381))</f>
        <v>1627.8499999999985</v>
      </c>
      <c r="O379" s="69">
        <f>IF((L381=""),"",AVERAGE(D381:L381))</f>
        <v>1823.0955555555552</v>
      </c>
      <c r="P379" s="69">
        <v>1600</v>
      </c>
      <c r="Q379" s="69">
        <v>2000</v>
      </c>
      <c r="R379" s="69">
        <f>IF((L380=""),"",((M379-N379)/(M379+N379))*100)</f>
        <v>6.8623804919356601</v>
      </c>
      <c r="S379" s="69">
        <v>23</v>
      </c>
      <c r="T379" s="130" t="str">
        <f>IF(L380="","",IF(R380&lt;20,(IF(O379&gt;1730,IF(O379&lt;1970,"Pass","Fail"),"Fail"))))</f>
        <v>Pass</v>
      </c>
      <c r="U379" s="69">
        <v>102</v>
      </c>
      <c r="V379" s="138" t="s">
        <v>126</v>
      </c>
      <c r="W379" s="56">
        <v>1730</v>
      </c>
      <c r="X379" s="56">
        <v>1970</v>
      </c>
      <c r="Y379" s="56">
        <v>6.2</v>
      </c>
    </row>
    <row r="380" spans="1:25" x14ac:dyDescent="0.3">
      <c r="A380" s="155"/>
      <c r="B380" s="147"/>
      <c r="C380" s="71" t="s">
        <v>89</v>
      </c>
      <c r="D380" s="56">
        <v>27578.98</v>
      </c>
      <c r="E380" s="56">
        <v>27416.14</v>
      </c>
      <c r="F380" s="56">
        <v>27528.84</v>
      </c>
      <c r="G380" s="56">
        <v>27314.35</v>
      </c>
      <c r="H380" s="56">
        <v>27572.11</v>
      </c>
      <c r="I380" s="56">
        <v>27498.77</v>
      </c>
      <c r="J380" s="56">
        <v>27306.720000000001</v>
      </c>
      <c r="K380" s="56">
        <v>27360.31</v>
      </c>
      <c r="L380" s="56">
        <v>27631.54</v>
      </c>
      <c r="M380" s="77"/>
      <c r="N380" s="77"/>
      <c r="O380" s="77"/>
      <c r="P380" s="77"/>
      <c r="Q380" s="77"/>
      <c r="R380" s="77"/>
      <c r="S380" s="77"/>
      <c r="T380" s="132"/>
      <c r="U380" s="77"/>
      <c r="V380" s="139"/>
    </row>
    <row r="381" spans="1:25" ht="39.9" x14ac:dyDescent="0.3">
      <c r="A381" s="156"/>
      <c r="B381" s="149"/>
      <c r="C381" s="71" t="s">
        <v>123</v>
      </c>
      <c r="D381" s="38">
        <f t="shared" ref="D381:L381" si="123">IF(((D379="")*AND(D380="")),"",(D379-D380)*1)</f>
        <v>1829.2999999999993</v>
      </c>
      <c r="E381" s="38">
        <f t="shared" si="123"/>
        <v>1814.9300000000003</v>
      </c>
      <c r="F381" s="38">
        <f t="shared" si="123"/>
        <v>1627.8499999999985</v>
      </c>
      <c r="G381" s="38">
        <f t="shared" si="123"/>
        <v>1867.7300000000032</v>
      </c>
      <c r="H381" s="38">
        <f t="shared" si="123"/>
        <v>1865.4500000000007</v>
      </c>
      <c r="I381" s="38">
        <f t="shared" si="123"/>
        <v>1846.0999999999985</v>
      </c>
      <c r="J381" s="38">
        <f t="shared" si="123"/>
        <v>1860.1399999999994</v>
      </c>
      <c r="K381" s="38">
        <f t="shared" si="123"/>
        <v>1867.1299999999974</v>
      </c>
      <c r="L381" s="38">
        <f t="shared" si="123"/>
        <v>1829.2299999999996</v>
      </c>
      <c r="M381" s="135"/>
      <c r="N381" s="135"/>
      <c r="O381" s="135"/>
      <c r="P381" s="135"/>
      <c r="Q381" s="135"/>
      <c r="R381" s="135"/>
      <c r="S381" s="135"/>
      <c r="T381" s="136"/>
      <c r="U381" s="135"/>
      <c r="V381" s="140"/>
    </row>
    <row r="382" spans="1:25" x14ac:dyDescent="0.3">
      <c r="A382" s="154">
        <v>43041</v>
      </c>
      <c r="B382" s="129" t="s">
        <v>124</v>
      </c>
      <c r="C382" s="71" t="s">
        <v>88</v>
      </c>
      <c r="D382" s="56">
        <v>29387.86</v>
      </c>
      <c r="E382" s="56">
        <v>29180.92</v>
      </c>
      <c r="F382" s="56">
        <v>29188.38</v>
      </c>
      <c r="G382" s="56">
        <v>29177.41</v>
      </c>
      <c r="H382" s="56">
        <v>29417.24</v>
      </c>
      <c r="I382" s="56">
        <v>29333.88</v>
      </c>
      <c r="J382" s="56">
        <v>29170.49</v>
      </c>
      <c r="K382" s="56">
        <v>29169.66</v>
      </c>
      <c r="L382" s="56">
        <v>29416.69</v>
      </c>
      <c r="M382" s="69">
        <f>IF((L383=""),"",MAX(D384:L384))</f>
        <v>1965.9700000000012</v>
      </c>
      <c r="N382" s="69">
        <f>IF(L383="","",MIN(D384:L384))</f>
        <v>1825.1599999999999</v>
      </c>
      <c r="O382" s="69">
        <f>IF((L384=""),"",AVERAGE(D384:L384))</f>
        <v>1881.6877777777784</v>
      </c>
      <c r="P382" s="69">
        <v>1600</v>
      </c>
      <c r="Q382" s="69">
        <v>2000</v>
      </c>
      <c r="R382" s="69">
        <f>IF((L383=""),"",((M382-N382)/(M382+N382))*100)</f>
        <v>3.7141960312624804</v>
      </c>
      <c r="S382" s="69">
        <v>23</v>
      </c>
      <c r="T382" s="130" t="str">
        <f>IF(L383="","",IF(R383&lt;20,(IF(O382&gt;1730,IF(O382&lt;1970,"Pass","Fail"),"Fail"))))</f>
        <v>Pass</v>
      </c>
      <c r="U382" s="69">
        <v>1428</v>
      </c>
      <c r="V382" s="138"/>
      <c r="W382" s="56">
        <v>1730</v>
      </c>
      <c r="X382" s="56">
        <v>1970</v>
      </c>
      <c r="Y382" s="56">
        <v>6.2</v>
      </c>
    </row>
    <row r="383" spans="1:25" x14ac:dyDescent="0.3">
      <c r="A383" s="155"/>
      <c r="B383" s="147"/>
      <c r="C383" s="71" t="s">
        <v>89</v>
      </c>
      <c r="D383" s="56">
        <v>27507.32</v>
      </c>
      <c r="E383" s="56">
        <v>27320.03</v>
      </c>
      <c r="F383" s="56">
        <v>27346.959999999999</v>
      </c>
      <c r="G383" s="56">
        <v>27285.759999999998</v>
      </c>
      <c r="H383" s="56">
        <v>27513.96</v>
      </c>
      <c r="I383" s="56">
        <v>27367.91</v>
      </c>
      <c r="J383" s="56">
        <v>27282.79</v>
      </c>
      <c r="K383" s="56">
        <v>27291.08</v>
      </c>
      <c r="L383" s="56">
        <v>27591.53</v>
      </c>
      <c r="M383" s="77"/>
      <c r="N383" s="77"/>
      <c r="O383" s="77"/>
      <c r="P383" s="77"/>
      <c r="Q383" s="77"/>
      <c r="R383" s="77"/>
      <c r="S383" s="77"/>
      <c r="T383" s="132"/>
      <c r="U383" s="77"/>
      <c r="V383" s="139"/>
    </row>
    <row r="384" spans="1:25" ht="39.9" x14ac:dyDescent="0.3">
      <c r="A384" s="156"/>
      <c r="B384" s="149"/>
      <c r="C384" s="71" t="s">
        <v>123</v>
      </c>
      <c r="D384" s="38">
        <f t="shared" ref="D384:L384" si="124">IF(((D382="")*AND(D383="")),"",(D382-D383)*1)</f>
        <v>1880.5400000000009</v>
      </c>
      <c r="E384" s="38">
        <f t="shared" si="124"/>
        <v>1860.8899999999994</v>
      </c>
      <c r="F384" s="38">
        <f t="shared" si="124"/>
        <v>1841.4200000000019</v>
      </c>
      <c r="G384" s="38">
        <f t="shared" si="124"/>
        <v>1891.6500000000015</v>
      </c>
      <c r="H384" s="38">
        <f t="shared" si="124"/>
        <v>1903.2800000000025</v>
      </c>
      <c r="I384" s="38">
        <f t="shared" si="124"/>
        <v>1965.9700000000012</v>
      </c>
      <c r="J384" s="38">
        <f t="shared" si="124"/>
        <v>1887.7000000000007</v>
      </c>
      <c r="K384" s="38">
        <f t="shared" si="124"/>
        <v>1878.5799999999981</v>
      </c>
      <c r="L384" s="38">
        <f t="shared" si="124"/>
        <v>1825.1599999999999</v>
      </c>
      <c r="M384" s="135"/>
      <c r="N384" s="135"/>
      <c r="O384" s="135"/>
      <c r="P384" s="135"/>
      <c r="Q384" s="135"/>
      <c r="R384" s="135"/>
      <c r="S384" s="135"/>
      <c r="T384" s="136"/>
      <c r="U384" s="135"/>
      <c r="V384" s="140"/>
    </row>
    <row r="385" spans="1:25" x14ac:dyDescent="0.3">
      <c r="A385" s="154">
        <v>43045</v>
      </c>
      <c r="B385" s="129" t="s">
        <v>124</v>
      </c>
      <c r="C385" s="71" t="s">
        <v>88</v>
      </c>
      <c r="D385" s="56">
        <v>29419.599999999999</v>
      </c>
      <c r="E385" s="56">
        <v>29230.39</v>
      </c>
      <c r="F385" s="56">
        <v>29232.85</v>
      </c>
      <c r="G385" s="56">
        <v>29241.52</v>
      </c>
      <c r="H385" s="56">
        <v>29457.78</v>
      </c>
      <c r="I385" s="56">
        <v>29420.6</v>
      </c>
      <c r="J385" s="56">
        <v>29215.89</v>
      </c>
      <c r="K385" s="56">
        <v>29228</v>
      </c>
      <c r="L385" s="56">
        <v>29443.47</v>
      </c>
      <c r="M385" s="69">
        <f>IF((L386=""),"",MAX(D387:L387))</f>
        <v>1950.4300000000003</v>
      </c>
      <c r="N385" s="69">
        <f>IF(L386="","",MIN(D387:L387))</f>
        <v>1825.1200000000026</v>
      </c>
      <c r="O385" s="69">
        <f>IF((L387=""),"",AVERAGE(D387:L387))</f>
        <v>1881.9388888888889</v>
      </c>
      <c r="P385" s="69">
        <v>1600</v>
      </c>
      <c r="Q385" s="69">
        <v>2000</v>
      </c>
      <c r="R385" s="69">
        <f>IF((L386=""),"",((M385-N385)/(M385+N385))*100)</f>
        <v>3.318986637708349</v>
      </c>
      <c r="S385" s="69">
        <v>23</v>
      </c>
      <c r="T385" s="130" t="str">
        <f>IF(L386="","",IF(R386&lt;20,(IF(O385&gt;1730,IF(O385&lt;1970,"Pass","Fail"),"Fail"))))</f>
        <v>Pass</v>
      </c>
      <c r="U385" s="69">
        <v>102</v>
      </c>
      <c r="V385" s="138"/>
      <c r="W385" s="56">
        <v>1730</v>
      </c>
      <c r="X385" s="56">
        <v>1970</v>
      </c>
      <c r="Y385" s="56">
        <v>6.2</v>
      </c>
    </row>
    <row r="386" spans="1:25" x14ac:dyDescent="0.3">
      <c r="A386" s="155"/>
      <c r="B386" s="147"/>
      <c r="C386" s="71" t="s">
        <v>89</v>
      </c>
      <c r="D386" s="56">
        <v>27515.64</v>
      </c>
      <c r="E386" s="56">
        <v>27361.14</v>
      </c>
      <c r="F386" s="56">
        <v>27397.33</v>
      </c>
      <c r="G386" s="56">
        <v>27349.55</v>
      </c>
      <c r="H386" s="56">
        <v>27548.05</v>
      </c>
      <c r="I386" s="56">
        <v>27470.17</v>
      </c>
      <c r="J386" s="56">
        <v>27338.62</v>
      </c>
      <c r="K386" s="56">
        <v>27353.8</v>
      </c>
      <c r="L386" s="56">
        <v>27618.35</v>
      </c>
      <c r="M386" s="77"/>
      <c r="N386" s="77"/>
      <c r="O386" s="77"/>
      <c r="P386" s="77"/>
      <c r="Q386" s="77"/>
      <c r="R386" s="77"/>
      <c r="S386" s="77"/>
      <c r="T386" s="132"/>
      <c r="U386" s="77"/>
      <c r="V386" s="139"/>
    </row>
    <row r="387" spans="1:25" ht="39.9" x14ac:dyDescent="0.3">
      <c r="A387" s="156"/>
      <c r="B387" s="149"/>
      <c r="C387" s="71" t="s">
        <v>123</v>
      </c>
      <c r="D387" s="38">
        <f t="shared" ref="D387:L387" si="125">IF(((D385="")*AND(D386="")),"",(D385-D386)*1)</f>
        <v>1903.9599999999991</v>
      </c>
      <c r="E387" s="38">
        <f t="shared" si="125"/>
        <v>1869.25</v>
      </c>
      <c r="F387" s="38">
        <f t="shared" si="125"/>
        <v>1835.5199999999968</v>
      </c>
      <c r="G387" s="38">
        <f t="shared" si="125"/>
        <v>1891.9700000000012</v>
      </c>
      <c r="H387" s="38">
        <f t="shared" si="125"/>
        <v>1909.7299999999996</v>
      </c>
      <c r="I387" s="38">
        <f t="shared" si="125"/>
        <v>1950.4300000000003</v>
      </c>
      <c r="J387" s="38">
        <f t="shared" si="125"/>
        <v>1877.2700000000004</v>
      </c>
      <c r="K387" s="38">
        <f t="shared" si="125"/>
        <v>1874.2000000000007</v>
      </c>
      <c r="L387" s="38">
        <f t="shared" si="125"/>
        <v>1825.1200000000026</v>
      </c>
      <c r="M387" s="135"/>
      <c r="N387" s="135"/>
      <c r="O387" s="135"/>
      <c r="P387" s="135"/>
      <c r="Q387" s="135"/>
      <c r="R387" s="135"/>
      <c r="S387" s="135"/>
      <c r="T387" s="136"/>
      <c r="U387" s="135"/>
      <c r="V387" s="140"/>
    </row>
    <row r="388" spans="1:25" x14ac:dyDescent="0.3">
      <c r="A388" s="154">
        <v>43048</v>
      </c>
      <c r="B388" s="129" t="s">
        <v>124</v>
      </c>
      <c r="C388" s="71" t="s">
        <v>88</v>
      </c>
      <c r="D388" s="56">
        <v>29355.55</v>
      </c>
      <c r="E388" s="56">
        <v>29164.12</v>
      </c>
      <c r="F388" s="56">
        <v>29162.01</v>
      </c>
      <c r="G388" s="56">
        <v>29195.03</v>
      </c>
      <c r="H388" s="56">
        <v>29439.45</v>
      </c>
      <c r="I388" s="56">
        <v>29354.31</v>
      </c>
      <c r="J388" s="56">
        <v>29199.24</v>
      </c>
      <c r="K388" s="56">
        <v>29162.23</v>
      </c>
      <c r="L388" s="56">
        <v>29413.29</v>
      </c>
      <c r="M388" s="69">
        <f>IF((L389=""),"",MAX(D390:L390))</f>
        <v>1871.8199999999997</v>
      </c>
      <c r="N388" s="69">
        <f>IF(L389="","",MIN(D390:L390))</f>
        <v>1720.4000000000015</v>
      </c>
      <c r="O388" s="69">
        <f>IF((L390=""),"",AVERAGE(D390:L390))</f>
        <v>1805.2222222222226</v>
      </c>
      <c r="P388" s="69">
        <v>1600</v>
      </c>
      <c r="Q388" s="69">
        <v>2000</v>
      </c>
      <c r="R388" s="69">
        <f>IF((L389=""),"",((M388-N388)/(M388+N388))*100)</f>
        <v>4.2152206713396785</v>
      </c>
      <c r="S388" s="69">
        <v>23</v>
      </c>
      <c r="T388" s="130" t="str">
        <f>IF(L389="","",IF(R389&lt;20,(IF(O388&gt;1730,IF(O388&lt;1970,"Pass","Fail"),"Fail"))))</f>
        <v>Pass</v>
      </c>
      <c r="U388" s="69">
        <v>1159</v>
      </c>
      <c r="V388" s="138"/>
      <c r="W388" s="56">
        <v>1730</v>
      </c>
      <c r="X388" s="56">
        <v>1970</v>
      </c>
      <c r="Y388" s="56">
        <v>6.2</v>
      </c>
    </row>
    <row r="389" spans="1:25" x14ac:dyDescent="0.3">
      <c r="A389" s="155"/>
      <c r="B389" s="147"/>
      <c r="C389" s="71" t="s">
        <v>89</v>
      </c>
      <c r="D389" s="56">
        <v>27483.73</v>
      </c>
      <c r="E389" s="56">
        <v>27364.46</v>
      </c>
      <c r="F389" s="56">
        <v>27425.22</v>
      </c>
      <c r="G389" s="56">
        <v>27368.17</v>
      </c>
      <c r="H389" s="56">
        <v>27603.52</v>
      </c>
      <c r="I389" s="56">
        <v>27498.92</v>
      </c>
      <c r="J389" s="56">
        <v>27372.77</v>
      </c>
      <c r="K389" s="56">
        <v>27388.55</v>
      </c>
      <c r="L389" s="56">
        <v>27692.89</v>
      </c>
      <c r="M389" s="77"/>
      <c r="N389" s="77"/>
      <c r="O389" s="77"/>
      <c r="P389" s="77"/>
      <c r="Q389" s="77"/>
      <c r="R389" s="77"/>
      <c r="S389" s="77"/>
      <c r="T389" s="132"/>
      <c r="U389" s="77"/>
      <c r="V389" s="139"/>
    </row>
    <row r="390" spans="1:25" ht="39.9" x14ac:dyDescent="0.3">
      <c r="A390" s="156"/>
      <c r="B390" s="149"/>
      <c r="C390" s="71" t="s">
        <v>123</v>
      </c>
      <c r="D390" s="38">
        <f t="shared" ref="D390:L390" si="126">IF(((D388="")*AND(D389="")),"",(D388-D389)*1)</f>
        <v>1871.8199999999997</v>
      </c>
      <c r="E390" s="38">
        <f t="shared" si="126"/>
        <v>1799.6599999999999</v>
      </c>
      <c r="F390" s="38">
        <f t="shared" si="126"/>
        <v>1736.7899999999972</v>
      </c>
      <c r="G390" s="38">
        <f t="shared" si="126"/>
        <v>1826.8600000000006</v>
      </c>
      <c r="H390" s="38">
        <f t="shared" si="126"/>
        <v>1835.9300000000003</v>
      </c>
      <c r="I390" s="38">
        <f t="shared" si="126"/>
        <v>1855.3900000000031</v>
      </c>
      <c r="J390" s="38">
        <f t="shared" si="126"/>
        <v>1826.4700000000012</v>
      </c>
      <c r="K390" s="38">
        <f t="shared" si="126"/>
        <v>1773.6800000000003</v>
      </c>
      <c r="L390" s="38">
        <f t="shared" si="126"/>
        <v>1720.4000000000015</v>
      </c>
      <c r="M390" s="135"/>
      <c r="N390" s="135"/>
      <c r="O390" s="135"/>
      <c r="P390" s="135"/>
      <c r="Q390" s="135"/>
      <c r="R390" s="135"/>
      <c r="S390" s="135"/>
      <c r="T390" s="136"/>
      <c r="U390" s="135"/>
      <c r="V390" s="140"/>
    </row>
    <row r="391" spans="1:25" x14ac:dyDescent="0.3">
      <c r="A391" s="154">
        <v>43052</v>
      </c>
      <c r="B391" s="129" t="s">
        <v>124</v>
      </c>
      <c r="C391" s="71" t="s">
        <v>88</v>
      </c>
      <c r="D391" s="56">
        <v>29355.55</v>
      </c>
      <c r="E391" s="56">
        <v>29164.12</v>
      </c>
      <c r="F391" s="56">
        <v>29162.01</v>
      </c>
      <c r="G391" s="56">
        <v>29195.03</v>
      </c>
      <c r="H391" s="56">
        <v>29439.45</v>
      </c>
      <c r="I391" s="56">
        <v>29354.31</v>
      </c>
      <c r="J391" s="56">
        <v>29199.24</v>
      </c>
      <c r="K391" s="56">
        <v>29162.23</v>
      </c>
      <c r="L391" s="56">
        <v>29413.29</v>
      </c>
      <c r="M391" s="69">
        <f>IF((L392=""),"",MAX(D393:L393))</f>
        <v>1906.3900000000031</v>
      </c>
      <c r="N391" s="69">
        <f>IF(L392="","",MIN(D393:L393))</f>
        <v>1644.7299999999996</v>
      </c>
      <c r="O391" s="69">
        <f>IF((L393=""),"",AVERAGE(D393:L393))</f>
        <v>1840.0955555555552</v>
      </c>
      <c r="P391" s="69">
        <v>1600</v>
      </c>
      <c r="Q391" s="69">
        <v>2000</v>
      </c>
      <c r="R391" s="69">
        <f>IF((L392=""),"",((M391-N391)/(M391+N391))*100)</f>
        <v>7.3683795534930745</v>
      </c>
      <c r="S391" s="69">
        <v>23</v>
      </c>
      <c r="T391" s="130" t="str">
        <f>IF(L392="","",IF(R392&lt;20,(IF(O391&gt;1730,IF(O391&lt;1970,"Pass","Fail"),"Fail"))))</f>
        <v>Pass</v>
      </c>
      <c r="U391" s="69">
        <v>1335</v>
      </c>
      <c r="V391" s="138"/>
      <c r="W391" s="56">
        <v>1730</v>
      </c>
      <c r="X391" s="56">
        <v>1970</v>
      </c>
      <c r="Y391" s="56">
        <v>6.2</v>
      </c>
    </row>
    <row r="392" spans="1:25" x14ac:dyDescent="0.3">
      <c r="A392" s="155"/>
      <c r="B392" s="147"/>
      <c r="C392" s="71" t="s">
        <v>89</v>
      </c>
      <c r="D392" s="56">
        <v>27481.72</v>
      </c>
      <c r="E392" s="56">
        <v>27359.86</v>
      </c>
      <c r="F392" s="56">
        <v>27517.279999999999</v>
      </c>
      <c r="G392" s="56">
        <v>27305.58</v>
      </c>
      <c r="H392" s="56">
        <v>27541.79</v>
      </c>
      <c r="I392" s="56">
        <v>27447.919999999998</v>
      </c>
      <c r="J392" s="56">
        <v>27319.97</v>
      </c>
      <c r="K392" s="56">
        <v>27315.74</v>
      </c>
      <c r="L392" s="56">
        <v>27594.51</v>
      </c>
      <c r="M392" s="77"/>
      <c r="N392" s="77"/>
      <c r="O392" s="77"/>
      <c r="P392" s="77"/>
      <c r="Q392" s="77"/>
      <c r="R392" s="77"/>
      <c r="S392" s="77"/>
      <c r="T392" s="132"/>
      <c r="U392" s="77"/>
      <c r="V392" s="139"/>
    </row>
    <row r="393" spans="1:25" ht="39.9" x14ac:dyDescent="0.3">
      <c r="A393" s="156"/>
      <c r="B393" s="149"/>
      <c r="C393" s="71" t="s">
        <v>123</v>
      </c>
      <c r="D393" s="38">
        <f t="shared" ref="D393:L393" si="127">IF(((D391="")*AND(D392="")),"",(D391-D392)*1)</f>
        <v>1873.8299999999981</v>
      </c>
      <c r="E393" s="38">
        <f t="shared" si="127"/>
        <v>1804.2599999999984</v>
      </c>
      <c r="F393" s="38">
        <f t="shared" si="127"/>
        <v>1644.7299999999996</v>
      </c>
      <c r="G393" s="38">
        <f t="shared" si="127"/>
        <v>1889.4499999999971</v>
      </c>
      <c r="H393" s="38">
        <f t="shared" si="127"/>
        <v>1897.6599999999999</v>
      </c>
      <c r="I393" s="38">
        <f t="shared" si="127"/>
        <v>1906.3900000000031</v>
      </c>
      <c r="J393" s="38">
        <f t="shared" si="127"/>
        <v>1879.2700000000004</v>
      </c>
      <c r="K393" s="38">
        <f t="shared" si="127"/>
        <v>1846.489999999998</v>
      </c>
      <c r="L393" s="38">
        <f t="shared" si="127"/>
        <v>1818.7800000000025</v>
      </c>
      <c r="M393" s="135"/>
      <c r="N393" s="135"/>
      <c r="O393" s="135"/>
      <c r="P393" s="135"/>
      <c r="Q393" s="135"/>
      <c r="R393" s="135"/>
      <c r="S393" s="135"/>
      <c r="T393" s="136"/>
      <c r="U393" s="135"/>
      <c r="V393" s="140"/>
    </row>
    <row r="394" spans="1:25" x14ac:dyDescent="0.3">
      <c r="A394" s="154">
        <v>43055</v>
      </c>
      <c r="B394" s="129" t="s">
        <v>124</v>
      </c>
      <c r="C394" s="71" t="s">
        <v>88</v>
      </c>
      <c r="D394" s="56">
        <v>29284.03</v>
      </c>
      <c r="E394" s="56">
        <v>29094.63</v>
      </c>
      <c r="F394" s="56">
        <v>29107.5</v>
      </c>
      <c r="G394" s="56">
        <v>29107.43</v>
      </c>
      <c r="H394" s="56">
        <v>29350.43</v>
      </c>
      <c r="I394" s="56">
        <v>29269.87</v>
      </c>
      <c r="J394" s="56">
        <v>29093.37</v>
      </c>
      <c r="K394" s="56">
        <v>29099.4</v>
      </c>
      <c r="L394" s="56">
        <v>29338.03</v>
      </c>
      <c r="M394" s="69">
        <f>IF((L395=""),"",MAX(D396:L396))</f>
        <v>1886.75</v>
      </c>
      <c r="N394" s="69">
        <f>IF(L395="","",MIN(D396:L396))</f>
        <v>1766.1800000000003</v>
      </c>
      <c r="O394" s="69">
        <f>IF((L396=""),"",AVERAGE(D396:L396))</f>
        <v>1810.4822222222222</v>
      </c>
      <c r="P394" s="69">
        <v>1600</v>
      </c>
      <c r="Q394" s="69">
        <v>2000</v>
      </c>
      <c r="R394" s="69">
        <f>IF((L395=""),"",((M394-N394)/(M394+N394))*100)</f>
        <v>3.3006381178943944</v>
      </c>
      <c r="S394" s="69">
        <v>23</v>
      </c>
      <c r="T394" s="130" t="str">
        <f>IF(L395="","",IF(R395&lt;20,(IF(O394&gt;1730,IF(O394&lt;1970,"Pass","Fail"),"Fail"))))</f>
        <v>Pass</v>
      </c>
      <c r="U394" s="153">
        <v>121</v>
      </c>
      <c r="V394" s="138"/>
      <c r="W394" s="56">
        <v>1730</v>
      </c>
      <c r="X394" s="56">
        <v>1970</v>
      </c>
      <c r="Y394" s="56">
        <v>6.2</v>
      </c>
    </row>
    <row r="395" spans="1:25" x14ac:dyDescent="0.3">
      <c r="A395" s="155"/>
      <c r="B395" s="147"/>
      <c r="C395" s="71" t="s">
        <v>89</v>
      </c>
      <c r="D395" s="56">
        <v>27434.52</v>
      </c>
      <c r="E395" s="56">
        <v>27295.8</v>
      </c>
      <c r="F395" s="56">
        <v>27341.32</v>
      </c>
      <c r="G395" s="56">
        <v>27306.16</v>
      </c>
      <c r="H395" s="56">
        <v>27539.32</v>
      </c>
      <c r="I395" s="56">
        <v>27383.119999999999</v>
      </c>
      <c r="J395" s="56">
        <v>27281.43</v>
      </c>
      <c r="K395" s="56">
        <v>27297.88</v>
      </c>
      <c r="L395" s="56">
        <v>27570.799999999999</v>
      </c>
      <c r="M395" s="77"/>
      <c r="N395" s="77"/>
      <c r="O395" s="77"/>
      <c r="P395" s="77"/>
      <c r="Q395" s="77"/>
      <c r="R395" s="77"/>
      <c r="S395" s="77"/>
      <c r="T395" s="132"/>
      <c r="U395" s="77"/>
      <c r="V395" s="139"/>
    </row>
    <row r="396" spans="1:25" ht="39.9" x14ac:dyDescent="0.3">
      <c r="A396" s="156"/>
      <c r="B396" s="149"/>
      <c r="C396" s="71" t="s">
        <v>123</v>
      </c>
      <c r="D396" s="38">
        <f t="shared" ref="D396:L396" si="128">IF(((D394="")*AND(D395="")),"",(D394-D395)*1)</f>
        <v>1849.5099999999984</v>
      </c>
      <c r="E396" s="38">
        <f t="shared" si="128"/>
        <v>1798.8300000000017</v>
      </c>
      <c r="F396" s="38">
        <f t="shared" si="128"/>
        <v>1766.1800000000003</v>
      </c>
      <c r="G396" s="38">
        <f t="shared" si="128"/>
        <v>1801.2700000000004</v>
      </c>
      <c r="H396" s="38">
        <f t="shared" si="128"/>
        <v>1811.1100000000006</v>
      </c>
      <c r="I396" s="38">
        <f t="shared" si="128"/>
        <v>1886.75</v>
      </c>
      <c r="J396" s="38">
        <f t="shared" si="128"/>
        <v>1811.9399999999987</v>
      </c>
      <c r="K396" s="38">
        <f t="shared" si="128"/>
        <v>1801.5200000000004</v>
      </c>
      <c r="L396" s="38">
        <f t="shared" si="128"/>
        <v>1767.2299999999996</v>
      </c>
      <c r="M396" s="135"/>
      <c r="N396" s="135"/>
      <c r="O396" s="135"/>
      <c r="P396" s="135"/>
      <c r="Q396" s="135"/>
      <c r="R396" s="135"/>
      <c r="S396" s="135"/>
      <c r="T396" s="136"/>
      <c r="U396" s="135"/>
      <c r="V396" s="140"/>
    </row>
    <row r="397" spans="1:25" x14ac:dyDescent="0.3">
      <c r="A397" s="154">
        <v>43060</v>
      </c>
      <c r="B397" s="129" t="s">
        <v>124</v>
      </c>
      <c r="C397" s="71" t="s">
        <v>88</v>
      </c>
      <c r="D397" s="56">
        <v>29420.7</v>
      </c>
      <c r="E397" s="56">
        <v>29219.51</v>
      </c>
      <c r="F397" s="56">
        <v>29282.45</v>
      </c>
      <c r="G397" s="56">
        <v>29209.91</v>
      </c>
      <c r="H397" s="56">
        <v>29406.46</v>
      </c>
      <c r="I397" s="56">
        <v>29411.040000000001</v>
      </c>
      <c r="J397" s="56">
        <v>29213.79</v>
      </c>
      <c r="K397" s="56">
        <v>29218.43</v>
      </c>
      <c r="L397" s="56">
        <v>29426.39</v>
      </c>
      <c r="M397" s="69">
        <f>IF((L398=""),"",MAX(D399:L399))</f>
        <v>1900.1100000000006</v>
      </c>
      <c r="N397" s="69">
        <f>IF(L398="","",MIN(D399:L399))</f>
        <v>1795.5800000000017</v>
      </c>
      <c r="O397" s="69">
        <f>IF((L399=""),"",AVERAGE(D399:L399))</f>
        <v>1850.8600000000001</v>
      </c>
      <c r="P397" s="69">
        <v>1600</v>
      </c>
      <c r="Q397" s="69">
        <v>2000</v>
      </c>
      <c r="R397" s="69">
        <f>IF((L398=""),"",((M397-N397)/(M397+N397))*100)</f>
        <v>2.8284298737177296</v>
      </c>
      <c r="S397" s="69">
        <v>23</v>
      </c>
      <c r="T397" s="130" t="str">
        <f>IF(L398="","",IF(R398&lt;20,(IF(O397&gt;1730,IF(O397&lt;1970,"Pass","Fail"),"Fail"))))</f>
        <v>Pass</v>
      </c>
      <c r="U397" s="153">
        <v>121</v>
      </c>
      <c r="V397" s="138"/>
      <c r="W397" s="56">
        <v>1730</v>
      </c>
      <c r="X397" s="56">
        <v>1970</v>
      </c>
      <c r="Y397" s="56">
        <v>6.2</v>
      </c>
    </row>
    <row r="398" spans="1:25" x14ac:dyDescent="0.3">
      <c r="A398" s="155"/>
      <c r="B398" s="147"/>
      <c r="C398" s="71" t="s">
        <v>89</v>
      </c>
      <c r="D398" s="56">
        <v>27556.58</v>
      </c>
      <c r="E398" s="56">
        <v>27381.29</v>
      </c>
      <c r="F398" s="56">
        <v>27486.87</v>
      </c>
      <c r="G398" s="56">
        <v>27348.59</v>
      </c>
      <c r="H398" s="56">
        <v>27550.41</v>
      </c>
      <c r="I398" s="56">
        <v>27510.93</v>
      </c>
      <c r="J398" s="56">
        <v>27365.46</v>
      </c>
      <c r="K398" s="56">
        <v>27352.799999999999</v>
      </c>
      <c r="L398" s="56">
        <v>27598.01</v>
      </c>
      <c r="M398" s="77"/>
      <c r="N398" s="77"/>
      <c r="O398" s="77"/>
      <c r="P398" s="77"/>
      <c r="Q398" s="77"/>
      <c r="R398" s="77"/>
      <c r="S398" s="77"/>
      <c r="T398" s="132"/>
      <c r="U398" s="77"/>
      <c r="V398" s="139"/>
    </row>
    <row r="399" spans="1:25" ht="39.9" x14ac:dyDescent="0.3">
      <c r="A399" s="156"/>
      <c r="B399" s="149"/>
      <c r="C399" s="71" t="s">
        <v>123</v>
      </c>
      <c r="D399" s="38">
        <f t="shared" ref="D399:L399" si="129">IF(((D397="")*AND(D398="")),"",(D397-D398)*1)</f>
        <v>1864.119999999999</v>
      </c>
      <c r="E399" s="38">
        <f t="shared" si="129"/>
        <v>1838.2199999999975</v>
      </c>
      <c r="F399" s="38">
        <f t="shared" si="129"/>
        <v>1795.5800000000017</v>
      </c>
      <c r="G399" s="38">
        <f t="shared" si="129"/>
        <v>1861.3199999999997</v>
      </c>
      <c r="H399" s="38">
        <f t="shared" si="129"/>
        <v>1856.0499999999993</v>
      </c>
      <c r="I399" s="38">
        <f t="shared" si="129"/>
        <v>1900.1100000000006</v>
      </c>
      <c r="J399" s="38">
        <f t="shared" si="129"/>
        <v>1848.3300000000017</v>
      </c>
      <c r="K399" s="38">
        <f t="shared" si="129"/>
        <v>1865.630000000001</v>
      </c>
      <c r="L399" s="38">
        <f t="shared" si="129"/>
        <v>1828.380000000001</v>
      </c>
      <c r="M399" s="135"/>
      <c r="N399" s="135"/>
      <c r="O399" s="135"/>
      <c r="P399" s="135"/>
      <c r="Q399" s="135"/>
      <c r="R399" s="135"/>
      <c r="S399" s="135"/>
      <c r="T399" s="136"/>
      <c r="U399" s="135"/>
      <c r="V399" s="140"/>
    </row>
    <row r="400" spans="1:25" x14ac:dyDescent="0.3">
      <c r="A400" s="154">
        <v>43063</v>
      </c>
      <c r="B400" s="129" t="s">
        <v>124</v>
      </c>
      <c r="C400" s="71" t="s">
        <v>88</v>
      </c>
      <c r="D400" s="56">
        <v>29300.22</v>
      </c>
      <c r="E400" s="56">
        <v>29220.6</v>
      </c>
      <c r="F400" s="56">
        <v>29226.48</v>
      </c>
      <c r="G400" s="56">
        <v>29218.09</v>
      </c>
      <c r="H400" s="56">
        <v>29380.38</v>
      </c>
      <c r="I400" s="56">
        <v>29336.73</v>
      </c>
      <c r="J400" s="56">
        <v>29217.21</v>
      </c>
      <c r="K400" s="56">
        <v>29197.01</v>
      </c>
      <c r="L400" s="56">
        <v>29496.68</v>
      </c>
      <c r="M400" s="69">
        <f>IF((L401=""),"",MAX(D402:L402))</f>
        <v>1929.7799999999988</v>
      </c>
      <c r="N400" s="69">
        <f>IF(L401="","",MIN(D402:L402))</f>
        <v>1804.5400000000009</v>
      </c>
      <c r="O400" s="69">
        <f>IF((L402=""),"",AVERAGE(D402:L402))</f>
        <v>1879.4255555555549</v>
      </c>
      <c r="P400" s="69">
        <v>1600</v>
      </c>
      <c r="Q400" s="69">
        <v>2000</v>
      </c>
      <c r="R400" s="69">
        <f>IF((L401=""),"",((M400-N400)/(M400+N400))*100)</f>
        <v>3.3537565072087547</v>
      </c>
      <c r="S400" s="69">
        <v>23</v>
      </c>
      <c r="T400" s="130" t="str">
        <f>IF(L401="","",IF(R401&lt;20,(IF(O400&gt;1730,IF(O400&lt;1970,"Pass","Fail"),"Fail"))))</f>
        <v>Pass</v>
      </c>
      <c r="U400" s="153" t="s">
        <v>127</v>
      </c>
      <c r="V400" s="138"/>
      <c r="W400" s="56">
        <v>1730</v>
      </c>
      <c r="X400" s="56">
        <v>1970</v>
      </c>
      <c r="Y400" s="56">
        <v>6.2</v>
      </c>
    </row>
    <row r="401" spans="1:25" x14ac:dyDescent="0.3">
      <c r="A401" s="155"/>
      <c r="B401" s="147"/>
      <c r="C401" s="71" t="s">
        <v>89</v>
      </c>
      <c r="D401" s="56">
        <v>27463.13</v>
      </c>
      <c r="E401" s="56">
        <v>27299.75</v>
      </c>
      <c r="F401" s="56">
        <v>27421.94</v>
      </c>
      <c r="G401" s="56">
        <v>27288.31</v>
      </c>
      <c r="H401" s="56">
        <v>27460.16</v>
      </c>
      <c r="I401" s="56">
        <v>27417.13</v>
      </c>
      <c r="J401" s="56">
        <v>27343.02</v>
      </c>
      <c r="K401" s="56">
        <v>27359.49</v>
      </c>
      <c r="L401" s="56">
        <v>27625.64</v>
      </c>
      <c r="M401" s="77"/>
      <c r="N401" s="77"/>
      <c r="O401" s="77"/>
      <c r="P401" s="77"/>
      <c r="Q401" s="77"/>
      <c r="R401" s="77"/>
      <c r="S401" s="77"/>
      <c r="T401" s="132"/>
      <c r="U401" s="77"/>
      <c r="V401" s="139"/>
    </row>
    <row r="402" spans="1:25" ht="39.9" x14ac:dyDescent="0.3">
      <c r="A402" s="156"/>
      <c r="B402" s="149"/>
      <c r="C402" s="71" t="s">
        <v>123</v>
      </c>
      <c r="D402" s="38">
        <f t="shared" ref="D402:L402" si="130">IF(((D400="")*AND(D401="")),"",(D400-D401)*1)</f>
        <v>1837.0900000000001</v>
      </c>
      <c r="E402" s="38">
        <f t="shared" si="130"/>
        <v>1920.8499999999985</v>
      </c>
      <c r="F402" s="38">
        <f t="shared" si="130"/>
        <v>1804.5400000000009</v>
      </c>
      <c r="G402" s="38">
        <f t="shared" si="130"/>
        <v>1929.7799999999988</v>
      </c>
      <c r="H402" s="38">
        <f t="shared" si="130"/>
        <v>1920.2200000000012</v>
      </c>
      <c r="I402" s="38">
        <f t="shared" si="130"/>
        <v>1919.5999999999985</v>
      </c>
      <c r="J402" s="38">
        <f t="shared" si="130"/>
        <v>1874.1899999999987</v>
      </c>
      <c r="K402" s="38">
        <f t="shared" si="130"/>
        <v>1837.5199999999968</v>
      </c>
      <c r="L402" s="38">
        <f t="shared" si="130"/>
        <v>1871.0400000000009</v>
      </c>
      <c r="M402" s="135"/>
      <c r="N402" s="135"/>
      <c r="O402" s="135"/>
      <c r="P402" s="135"/>
      <c r="Q402" s="135"/>
      <c r="R402" s="135"/>
      <c r="S402" s="135"/>
      <c r="T402" s="136"/>
      <c r="U402" s="135"/>
      <c r="V402" s="140"/>
    </row>
    <row r="403" spans="1:25" x14ac:dyDescent="0.3">
      <c r="A403" s="154">
        <v>43069</v>
      </c>
      <c r="B403" s="129" t="s">
        <v>124</v>
      </c>
      <c r="C403" s="71" t="s">
        <v>88</v>
      </c>
      <c r="D403" s="56">
        <v>29408.83</v>
      </c>
      <c r="E403" s="56">
        <v>29192.41</v>
      </c>
      <c r="F403" s="56">
        <v>29195.07</v>
      </c>
      <c r="G403" s="56">
        <v>29214.880000000001</v>
      </c>
      <c r="H403" s="56">
        <v>29494.55</v>
      </c>
      <c r="I403" s="56">
        <v>29362.62</v>
      </c>
      <c r="J403" s="56">
        <v>29211.77</v>
      </c>
      <c r="K403" s="56">
        <v>29203.53</v>
      </c>
      <c r="L403" s="56">
        <v>29441.46</v>
      </c>
      <c r="M403" s="69">
        <f>IF((L404=""),"",MAX(D405:L405))</f>
        <v>1936.0200000000004</v>
      </c>
      <c r="N403" s="69">
        <f>IF(L404="","",MIN(D405:L405))</f>
        <v>1765.9399999999987</v>
      </c>
      <c r="O403" s="69">
        <f>IF((L405=""),"",AVERAGE(D405:L405))</f>
        <v>1868.1944444444443</v>
      </c>
      <c r="P403" s="69">
        <v>1600</v>
      </c>
      <c r="Q403" s="69">
        <v>2000</v>
      </c>
      <c r="R403" s="69">
        <f>IF((L404=""),"",((M403-N403)/(M403+N403))*100)</f>
        <v>4.5943230072718722</v>
      </c>
      <c r="S403" s="69">
        <v>23</v>
      </c>
      <c r="T403" s="130" t="str">
        <f>IF(L404="","",IF(R404&lt;20,(IF(O403&gt;1730,IF(O403&lt;1970,"Pass","Fail"),"Fail"))))</f>
        <v>Pass</v>
      </c>
      <c r="U403" s="153">
        <v>1159</v>
      </c>
      <c r="V403" s="138"/>
      <c r="W403" s="56">
        <v>1730</v>
      </c>
      <c r="X403" s="56">
        <v>1970</v>
      </c>
      <c r="Y403" s="56">
        <v>6.2</v>
      </c>
    </row>
    <row r="404" spans="1:25" x14ac:dyDescent="0.3">
      <c r="A404" s="155"/>
      <c r="B404" s="147"/>
      <c r="C404" s="71" t="s">
        <v>89</v>
      </c>
      <c r="D404" s="56">
        <v>27490.05</v>
      </c>
      <c r="E404" s="56">
        <v>27360.21</v>
      </c>
      <c r="F404" s="56">
        <v>27429.13</v>
      </c>
      <c r="G404" s="56">
        <v>27336.86</v>
      </c>
      <c r="H404" s="56">
        <v>27583.98</v>
      </c>
      <c r="I404" s="56">
        <v>27426.6</v>
      </c>
      <c r="J404" s="56">
        <v>27311.33</v>
      </c>
      <c r="K404" s="56">
        <v>27323.09</v>
      </c>
      <c r="L404" s="56">
        <v>27650.12</v>
      </c>
      <c r="M404" s="77"/>
      <c r="N404" s="77"/>
      <c r="O404" s="77"/>
      <c r="P404" s="77"/>
      <c r="Q404" s="77"/>
      <c r="R404" s="77"/>
      <c r="S404" s="77"/>
      <c r="T404" s="132"/>
      <c r="U404" s="77"/>
      <c r="V404" s="139"/>
      <c r="W404" s="111" t="s">
        <v>128</v>
      </c>
    </row>
    <row r="405" spans="1:25" ht="39.9" x14ac:dyDescent="0.3">
      <c r="A405" s="156"/>
      <c r="B405" s="149"/>
      <c r="C405" s="71" t="s">
        <v>123</v>
      </c>
      <c r="D405" s="38">
        <f t="shared" ref="D405:L405" si="131">IF(((D403="")*AND(D404="")),"",(D403-D404)*1)</f>
        <v>1918.7800000000025</v>
      </c>
      <c r="E405" s="38">
        <f t="shared" si="131"/>
        <v>1832.2000000000007</v>
      </c>
      <c r="F405" s="38">
        <f t="shared" si="131"/>
        <v>1765.9399999999987</v>
      </c>
      <c r="G405" s="38">
        <f t="shared" si="131"/>
        <v>1878.0200000000004</v>
      </c>
      <c r="H405" s="38">
        <f t="shared" si="131"/>
        <v>1910.5699999999997</v>
      </c>
      <c r="I405" s="38">
        <f t="shared" si="131"/>
        <v>1936.0200000000004</v>
      </c>
      <c r="J405" s="38">
        <f t="shared" si="131"/>
        <v>1900.4399999999987</v>
      </c>
      <c r="K405" s="38">
        <f t="shared" si="131"/>
        <v>1880.4399999999987</v>
      </c>
      <c r="L405" s="38">
        <f t="shared" si="131"/>
        <v>1791.3400000000001</v>
      </c>
      <c r="M405" s="135"/>
      <c r="N405" s="135"/>
      <c r="O405" s="135"/>
      <c r="P405" s="135"/>
      <c r="Q405" s="135"/>
      <c r="R405" s="135"/>
      <c r="S405" s="135"/>
      <c r="T405" s="136"/>
      <c r="U405" s="135"/>
      <c r="V405" s="140"/>
    </row>
    <row r="406" spans="1:25" x14ac:dyDescent="0.3">
      <c r="A406" s="154">
        <v>43073</v>
      </c>
      <c r="B406" s="129" t="s">
        <v>124</v>
      </c>
      <c r="C406" s="71" t="s">
        <v>88</v>
      </c>
      <c r="D406" s="56">
        <v>29350.59</v>
      </c>
      <c r="E406" s="56">
        <v>29172.01</v>
      </c>
      <c r="F406" s="56">
        <v>29177.54</v>
      </c>
      <c r="G406" s="56">
        <v>29192.97</v>
      </c>
      <c r="H406" s="56">
        <v>29413.29</v>
      </c>
      <c r="I406" s="56">
        <v>29368.78</v>
      </c>
      <c r="J406" s="56">
        <v>29168.21</v>
      </c>
      <c r="K406" s="56">
        <v>29170.639999999999</v>
      </c>
      <c r="L406" s="56">
        <v>29408.55</v>
      </c>
      <c r="M406" s="69">
        <f>IF((L407=""),"",MAX(D408:L408))</f>
        <v>1950.1399999999994</v>
      </c>
      <c r="N406" s="69">
        <f>IF(L407="","",MIN(D408:L408))</f>
        <v>1748.6399999999994</v>
      </c>
      <c r="O406" s="69">
        <f>IF((L408=""),"",AVERAGE(D408:L408))</f>
        <v>1869.9077777777775</v>
      </c>
      <c r="P406" s="69">
        <v>1600</v>
      </c>
      <c r="Q406" s="69">
        <v>2000</v>
      </c>
      <c r="R406" s="69">
        <f>IF((L407=""),"",((M406-N406)/(M406+N406))*100)</f>
        <v>5.4477422285185941</v>
      </c>
      <c r="S406" s="69">
        <v>23</v>
      </c>
      <c r="T406" s="130" t="str">
        <f>IF(L407="","",IF(R407&lt;20,(IF(O406&gt;1730,IF(O406&lt;1970,"Pass","Fail"),"Fail"))))</f>
        <v>Pass</v>
      </c>
      <c r="U406" s="153">
        <v>1428</v>
      </c>
      <c r="V406" s="138"/>
      <c r="W406" s="56">
        <v>1730</v>
      </c>
      <c r="X406" s="56">
        <v>1970</v>
      </c>
      <c r="Y406" s="56">
        <v>6.2</v>
      </c>
    </row>
    <row r="407" spans="1:25" x14ac:dyDescent="0.3">
      <c r="A407" s="155"/>
      <c r="B407" s="147"/>
      <c r="C407" s="71" t="s">
        <v>89</v>
      </c>
      <c r="D407" s="56">
        <v>27499.82</v>
      </c>
      <c r="E407" s="56">
        <v>27302.79</v>
      </c>
      <c r="F407" s="56">
        <v>27428.9</v>
      </c>
      <c r="G407" s="56">
        <v>27259.03</v>
      </c>
      <c r="H407" s="56">
        <v>27503.55</v>
      </c>
      <c r="I407" s="56">
        <v>27418.639999999999</v>
      </c>
      <c r="J407" s="56">
        <v>27309.18</v>
      </c>
      <c r="K407" s="56">
        <v>27274.9</v>
      </c>
      <c r="L407" s="56">
        <v>27596.6</v>
      </c>
      <c r="M407" s="77"/>
      <c r="N407" s="77"/>
      <c r="O407" s="77"/>
      <c r="P407" s="77"/>
      <c r="Q407" s="77"/>
      <c r="R407" s="77"/>
      <c r="S407" s="77"/>
      <c r="T407" s="132"/>
      <c r="U407" s="77"/>
      <c r="V407" s="139"/>
      <c r="W407" s="111"/>
    </row>
    <row r="408" spans="1:25" ht="39.9" x14ac:dyDescent="0.3">
      <c r="A408" s="156"/>
      <c r="B408" s="149"/>
      <c r="C408" s="71" t="s">
        <v>123</v>
      </c>
      <c r="D408" s="38">
        <f t="shared" ref="D408:L408" si="132">IF(((D406="")*AND(D407="")),"",(D406-D407)*1)</f>
        <v>1850.7700000000004</v>
      </c>
      <c r="E408" s="38">
        <f t="shared" si="132"/>
        <v>1869.2199999999975</v>
      </c>
      <c r="F408" s="38">
        <f t="shared" si="132"/>
        <v>1748.6399999999994</v>
      </c>
      <c r="G408" s="38">
        <f t="shared" si="132"/>
        <v>1933.9400000000023</v>
      </c>
      <c r="H408" s="38">
        <f t="shared" si="132"/>
        <v>1909.7400000000016</v>
      </c>
      <c r="I408" s="38">
        <f t="shared" si="132"/>
        <v>1950.1399999999994</v>
      </c>
      <c r="J408" s="38">
        <f t="shared" si="132"/>
        <v>1859.0299999999988</v>
      </c>
      <c r="K408" s="38">
        <f t="shared" si="132"/>
        <v>1895.739999999998</v>
      </c>
      <c r="L408" s="38">
        <f t="shared" si="132"/>
        <v>1811.9500000000007</v>
      </c>
      <c r="M408" s="135"/>
      <c r="N408" s="135"/>
      <c r="O408" s="135"/>
      <c r="P408" s="135"/>
      <c r="Q408" s="135"/>
      <c r="R408" s="135"/>
      <c r="S408" s="135"/>
      <c r="T408" s="136"/>
      <c r="U408" s="135"/>
      <c r="V408" s="140"/>
    </row>
    <row r="409" spans="1:25" x14ac:dyDescent="0.3">
      <c r="A409" s="154">
        <v>43077</v>
      </c>
      <c r="B409" s="129" t="s">
        <v>124</v>
      </c>
      <c r="C409" s="71" t="s">
        <v>88</v>
      </c>
      <c r="D409" s="56">
        <v>29446.51</v>
      </c>
      <c r="E409" s="56">
        <v>29239.200000000001</v>
      </c>
      <c r="F409" s="56">
        <v>29295.33</v>
      </c>
      <c r="G409" s="56">
        <v>29193.29</v>
      </c>
      <c r="H409" s="56">
        <v>29429.81</v>
      </c>
      <c r="I409" s="56">
        <v>29322.45</v>
      </c>
      <c r="J409" s="56">
        <v>29219.19</v>
      </c>
      <c r="K409" s="56">
        <v>29224.46</v>
      </c>
      <c r="L409" s="56">
        <v>29489.69</v>
      </c>
      <c r="M409" s="69">
        <f>IF((L410=""),"",MAX(D411:L411))</f>
        <v>1884.4799999999996</v>
      </c>
      <c r="N409" s="69">
        <f>IF(L410="","",MIN(D411:L411))</f>
        <v>1696.25</v>
      </c>
      <c r="O409" s="69">
        <f>IF((L411=""),"",AVERAGE(D411:L411))</f>
        <v>1838.0266666666664</v>
      </c>
      <c r="P409" s="69">
        <v>1600</v>
      </c>
      <c r="Q409" s="69">
        <v>2000</v>
      </c>
      <c r="R409" s="69">
        <f>IF((L410=""),"",((M409-N409)/(M409+N409))*100)</f>
        <v>5.256749322065601</v>
      </c>
      <c r="S409" s="69">
        <v>23</v>
      </c>
      <c r="T409" s="130" t="str">
        <f>IF(L410="","",IF(R410&lt;20,(IF(O409&gt;1730,IF(O409&lt;1970,"Pass","Fail"),"Fail"))))</f>
        <v>Pass</v>
      </c>
      <c r="U409" s="153">
        <v>102</v>
      </c>
      <c r="V409" s="138"/>
      <c r="W409" s="56">
        <v>1730</v>
      </c>
      <c r="X409" s="56">
        <v>1970</v>
      </c>
      <c r="Y409" s="56">
        <v>6.2</v>
      </c>
    </row>
    <row r="410" spans="1:25" x14ac:dyDescent="0.3">
      <c r="A410" s="155"/>
      <c r="B410" s="147"/>
      <c r="C410" s="71" t="s">
        <v>89</v>
      </c>
      <c r="D410" s="56">
        <v>27564.05</v>
      </c>
      <c r="E410" s="56">
        <v>27407.38</v>
      </c>
      <c r="F410" s="56">
        <v>27599.08</v>
      </c>
      <c r="G410" s="56">
        <v>27357.18</v>
      </c>
      <c r="H410" s="56">
        <v>27563.18</v>
      </c>
      <c r="I410" s="56">
        <v>27445.06</v>
      </c>
      <c r="J410" s="56">
        <v>27334.71</v>
      </c>
      <c r="K410" s="56">
        <v>27377.94</v>
      </c>
      <c r="L410" s="56">
        <v>27669.11</v>
      </c>
      <c r="M410" s="77"/>
      <c r="N410" s="77"/>
      <c r="O410" s="77"/>
      <c r="P410" s="77"/>
      <c r="Q410" s="77"/>
      <c r="R410" s="77"/>
      <c r="S410" s="77"/>
      <c r="T410" s="132"/>
      <c r="U410" s="77"/>
      <c r="V410" s="139"/>
      <c r="W410" s="111"/>
    </row>
    <row r="411" spans="1:25" ht="39.9" x14ac:dyDescent="0.3">
      <c r="A411" s="156"/>
      <c r="B411" s="149"/>
      <c r="C411" s="71" t="s">
        <v>123</v>
      </c>
      <c r="D411" s="38">
        <f t="shared" ref="D411:L411" si="133">IF(((D409="")*AND(D410="")),"",(D409-D410)*1)</f>
        <v>1882.4599999999991</v>
      </c>
      <c r="E411" s="38">
        <f t="shared" si="133"/>
        <v>1831.8199999999997</v>
      </c>
      <c r="F411" s="38">
        <f t="shared" si="133"/>
        <v>1696.25</v>
      </c>
      <c r="G411" s="38">
        <f t="shared" si="133"/>
        <v>1836.1100000000006</v>
      </c>
      <c r="H411" s="38">
        <f t="shared" si="133"/>
        <v>1866.630000000001</v>
      </c>
      <c r="I411" s="38">
        <f t="shared" si="133"/>
        <v>1877.3899999999994</v>
      </c>
      <c r="J411" s="38">
        <f t="shared" si="133"/>
        <v>1884.4799999999996</v>
      </c>
      <c r="K411" s="38">
        <f t="shared" si="133"/>
        <v>1846.5200000000004</v>
      </c>
      <c r="L411" s="38">
        <f t="shared" si="133"/>
        <v>1820.5799999999981</v>
      </c>
      <c r="M411" s="135"/>
      <c r="N411" s="135"/>
      <c r="O411" s="135"/>
      <c r="P411" s="135"/>
      <c r="Q411" s="135"/>
      <c r="R411" s="135"/>
      <c r="S411" s="135"/>
      <c r="T411" s="136"/>
      <c r="U411" s="135"/>
      <c r="V411" s="140"/>
    </row>
    <row r="412" spans="1:25" x14ac:dyDescent="0.3">
      <c r="A412" s="154">
        <v>43080</v>
      </c>
      <c r="B412" s="129" t="s">
        <v>124</v>
      </c>
      <c r="C412" s="71" t="s">
        <v>88</v>
      </c>
      <c r="D412" s="56">
        <v>29352.63</v>
      </c>
      <c r="E412" s="56">
        <v>29158.58</v>
      </c>
      <c r="F412" s="56">
        <v>29199.07</v>
      </c>
      <c r="G412" s="56">
        <v>29198.15</v>
      </c>
      <c r="H412" s="56">
        <v>29450.61</v>
      </c>
      <c r="I412" s="56">
        <v>29320.03</v>
      </c>
      <c r="J412" s="56">
        <v>29163.79</v>
      </c>
      <c r="K412" s="56">
        <v>29177.11</v>
      </c>
      <c r="L412" s="56">
        <v>29424.54</v>
      </c>
      <c r="M412" s="69">
        <f>IF((L413=""),"",MAX(D414:L414))</f>
        <v>1914.239999999998</v>
      </c>
      <c r="N412" s="69">
        <f>IF(L413="","",MIN(D414:L414))</f>
        <v>1759.9900000000016</v>
      </c>
      <c r="O412" s="69">
        <f>IF((L414=""),"",AVERAGE(D414:L414))</f>
        <v>1839.2600000000004</v>
      </c>
      <c r="P412" s="69">
        <v>1600</v>
      </c>
      <c r="Q412" s="69">
        <v>2000</v>
      </c>
      <c r="R412" s="69">
        <f>IF((L413=""),"",((M412-N412)/(M412+N412))*100)</f>
        <v>4.1981585257318237</v>
      </c>
      <c r="S412" s="69">
        <v>23</v>
      </c>
      <c r="T412" s="130" t="str">
        <f>IF(L413="","",IF(R413&lt;20,(IF(O412&gt;1730,IF(O412&lt;1970,"Pass","Fail"),"Fail"))))</f>
        <v>Pass</v>
      </c>
      <c r="U412" s="153">
        <v>1335</v>
      </c>
      <c r="V412" s="138"/>
      <c r="W412" s="56">
        <v>1730</v>
      </c>
      <c r="X412" s="56">
        <v>1970</v>
      </c>
      <c r="Y412" s="56">
        <v>6.2</v>
      </c>
    </row>
    <row r="413" spans="1:25" x14ac:dyDescent="0.3">
      <c r="A413" s="155"/>
      <c r="B413" s="147"/>
      <c r="C413" s="71" t="s">
        <v>89</v>
      </c>
      <c r="D413" s="56">
        <v>27487.56</v>
      </c>
      <c r="E413" s="56">
        <v>27325.61</v>
      </c>
      <c r="F413" s="56">
        <v>27399.82</v>
      </c>
      <c r="G413" s="56">
        <v>27352.05</v>
      </c>
      <c r="H413" s="56">
        <v>27593.24</v>
      </c>
      <c r="I413" s="56">
        <v>27405.79</v>
      </c>
      <c r="J413" s="56">
        <v>27320.03</v>
      </c>
      <c r="K413" s="56">
        <v>27342.52</v>
      </c>
      <c r="L413" s="56">
        <v>27664.55</v>
      </c>
      <c r="M413" s="77"/>
      <c r="N413" s="77"/>
      <c r="O413" s="77"/>
      <c r="P413" s="77"/>
      <c r="Q413" s="77"/>
      <c r="R413" s="77"/>
      <c r="S413" s="77"/>
      <c r="T413" s="132"/>
      <c r="U413" s="77"/>
      <c r="V413" s="139"/>
      <c r="W413" s="111"/>
    </row>
    <row r="414" spans="1:25" ht="39.9" x14ac:dyDescent="0.3">
      <c r="A414" s="156"/>
      <c r="B414" s="149"/>
      <c r="C414" s="71" t="s">
        <v>123</v>
      </c>
      <c r="D414" s="38">
        <f t="shared" ref="D414:L414" si="134">IF(((D412="")*AND(D413="")),"",(D412-D413)*1)</f>
        <v>1865.0699999999997</v>
      </c>
      <c r="E414" s="38">
        <f t="shared" si="134"/>
        <v>1832.9700000000012</v>
      </c>
      <c r="F414" s="38">
        <f t="shared" si="134"/>
        <v>1799.25</v>
      </c>
      <c r="G414" s="38">
        <f t="shared" si="134"/>
        <v>1846.1000000000022</v>
      </c>
      <c r="H414" s="38">
        <f t="shared" si="134"/>
        <v>1857.369999999999</v>
      </c>
      <c r="I414" s="38">
        <f t="shared" si="134"/>
        <v>1914.239999999998</v>
      </c>
      <c r="J414" s="38">
        <f t="shared" si="134"/>
        <v>1843.760000000002</v>
      </c>
      <c r="K414" s="38">
        <f t="shared" si="134"/>
        <v>1834.5900000000001</v>
      </c>
      <c r="L414" s="38">
        <f t="shared" si="134"/>
        <v>1759.9900000000016</v>
      </c>
      <c r="M414" s="135"/>
      <c r="N414" s="135"/>
      <c r="O414" s="135"/>
      <c r="P414" s="135"/>
      <c r="Q414" s="135"/>
      <c r="R414" s="135"/>
      <c r="S414" s="135"/>
      <c r="T414" s="136"/>
      <c r="U414" s="135"/>
      <c r="V414" s="140"/>
    </row>
    <row r="415" spans="1:25" x14ac:dyDescent="0.3">
      <c r="A415" s="154">
        <v>43084</v>
      </c>
      <c r="B415" s="129" t="s">
        <v>124</v>
      </c>
      <c r="C415" s="71" t="s">
        <v>88</v>
      </c>
      <c r="D415" s="56">
        <v>29325.279999999999</v>
      </c>
      <c r="E415" s="56">
        <v>29181.78</v>
      </c>
      <c r="F415" s="56">
        <v>29211.51</v>
      </c>
      <c r="G415" s="56">
        <v>29202.89</v>
      </c>
      <c r="H415" s="56">
        <v>29353.08</v>
      </c>
      <c r="I415" s="56">
        <v>29314.880000000001</v>
      </c>
      <c r="J415" s="56">
        <v>29156.47</v>
      </c>
      <c r="K415" s="56">
        <v>29147.45</v>
      </c>
      <c r="L415" s="56">
        <v>29399.64</v>
      </c>
      <c r="M415" s="69">
        <f>IF((L416=""),"",MAX(D417:L417))</f>
        <v>1928.3400000000001</v>
      </c>
      <c r="N415" s="69">
        <f>IF(L416="","",MIN(D417:L417))</f>
        <v>1742.7699999999968</v>
      </c>
      <c r="O415" s="69">
        <f>IF((L417=""),"",AVERAGE(D417:L417))</f>
        <v>1861.5433333333328</v>
      </c>
      <c r="P415" s="69">
        <v>1600</v>
      </c>
      <c r="Q415" s="69">
        <v>2000</v>
      </c>
      <c r="R415" s="69">
        <f>IF((L416=""),"",((M415-N415)/(M415+N415))*100)</f>
        <v>5.0548744112816975</v>
      </c>
      <c r="S415" s="69">
        <v>23</v>
      </c>
      <c r="T415" s="130" t="str">
        <f>IF(L416="","",IF(R416&lt;20,(IF(O415&gt;1730,IF(O415&lt;1970,"Pass","Fail"),"Fail"))))</f>
        <v>Pass</v>
      </c>
      <c r="U415" s="153">
        <v>1335</v>
      </c>
      <c r="V415" s="138"/>
      <c r="W415" s="56">
        <v>1730</v>
      </c>
      <c r="X415" s="56">
        <v>1970</v>
      </c>
      <c r="Y415" s="56">
        <v>6.2</v>
      </c>
    </row>
    <row r="416" spans="1:25" x14ac:dyDescent="0.3">
      <c r="A416" s="155"/>
      <c r="B416" s="147"/>
      <c r="C416" s="71" t="s">
        <v>89</v>
      </c>
      <c r="D416" s="56">
        <v>27448.560000000001</v>
      </c>
      <c r="E416" s="56">
        <v>27294.9</v>
      </c>
      <c r="F416" s="56">
        <v>27468.74</v>
      </c>
      <c r="G416" s="56">
        <v>27303.34</v>
      </c>
      <c r="H416" s="56">
        <v>27490.61</v>
      </c>
      <c r="I416" s="56">
        <v>27386.54</v>
      </c>
      <c r="J416" s="56">
        <v>27281.53</v>
      </c>
      <c r="K416" s="56">
        <v>27307.52</v>
      </c>
      <c r="L416" s="56">
        <v>27557.35</v>
      </c>
      <c r="M416" s="77"/>
      <c r="N416" s="77"/>
      <c r="O416" s="77"/>
      <c r="P416" s="77"/>
      <c r="Q416" s="77"/>
      <c r="R416" s="77"/>
      <c r="S416" s="77"/>
      <c r="T416" s="132"/>
      <c r="U416" s="77"/>
      <c r="V416" s="139"/>
      <c r="W416" s="111"/>
    </row>
    <row r="417" spans="1:25" ht="39.9" x14ac:dyDescent="0.3">
      <c r="A417" s="156"/>
      <c r="B417" s="149"/>
      <c r="C417" s="71" t="s">
        <v>123</v>
      </c>
      <c r="D417" s="38">
        <f t="shared" ref="D417:L417" si="135">IF(((D415="")*AND(D416="")),"",(D415-D416)*1)</f>
        <v>1876.7199999999975</v>
      </c>
      <c r="E417" s="38">
        <f t="shared" si="135"/>
        <v>1886.8799999999974</v>
      </c>
      <c r="F417" s="38">
        <f t="shared" si="135"/>
        <v>1742.7699999999968</v>
      </c>
      <c r="G417" s="38">
        <f t="shared" si="135"/>
        <v>1899.5499999999993</v>
      </c>
      <c r="H417" s="38">
        <f t="shared" si="135"/>
        <v>1862.4700000000012</v>
      </c>
      <c r="I417" s="38">
        <f t="shared" si="135"/>
        <v>1928.3400000000001</v>
      </c>
      <c r="J417" s="38">
        <f t="shared" si="135"/>
        <v>1874.9400000000023</v>
      </c>
      <c r="K417" s="38">
        <f t="shared" si="135"/>
        <v>1839.9300000000003</v>
      </c>
      <c r="L417" s="38">
        <f t="shared" si="135"/>
        <v>1842.2900000000009</v>
      </c>
      <c r="M417" s="135"/>
      <c r="N417" s="135"/>
      <c r="O417" s="135"/>
      <c r="P417" s="135"/>
      <c r="Q417" s="135"/>
      <c r="R417" s="135"/>
      <c r="S417" s="135"/>
      <c r="T417" s="136"/>
      <c r="U417" s="135"/>
      <c r="V417" s="140"/>
    </row>
    <row r="418" spans="1:25" x14ac:dyDescent="0.3">
      <c r="A418" s="154">
        <v>43088</v>
      </c>
      <c r="B418" s="129" t="s">
        <v>124</v>
      </c>
      <c r="C418" s="71" t="s">
        <v>88</v>
      </c>
      <c r="D418" s="56">
        <v>29336.28</v>
      </c>
      <c r="E418" s="56">
        <v>29143.64</v>
      </c>
      <c r="F418" s="56">
        <v>29130.01</v>
      </c>
      <c r="G418" s="56">
        <v>29106.75</v>
      </c>
      <c r="H418" s="56">
        <v>29331.66</v>
      </c>
      <c r="I418" s="56">
        <v>29297.08</v>
      </c>
      <c r="J418" s="56">
        <v>29086.19</v>
      </c>
      <c r="K418" s="56">
        <v>29126.49</v>
      </c>
      <c r="L418" s="56">
        <v>29374.959999999999</v>
      </c>
      <c r="M418" s="69">
        <f>IF((L419=""),"",MAX(D420:L420))</f>
        <v>1880.2000000000007</v>
      </c>
      <c r="N418" s="69">
        <f>IF(L419="","",MIN(D420:L420))</f>
        <v>1750.5499999999993</v>
      </c>
      <c r="O418" s="69">
        <f>IF((L420=""),"",AVERAGE(D420:L420))</f>
        <v>1809.2255555555555</v>
      </c>
      <c r="P418" s="69">
        <v>1600</v>
      </c>
      <c r="Q418" s="69">
        <v>2000</v>
      </c>
      <c r="R418" s="69">
        <f>IF((L419=""),"",((M418-N418)/(M418+N418))*100)</f>
        <v>3.5708875576671884</v>
      </c>
      <c r="S418" s="69">
        <v>23</v>
      </c>
      <c r="T418" s="130" t="str">
        <f>IF(L419="","",IF(R419&lt;20,(IF(O418&gt;1730,IF(O418&lt;1970,"Pass","Fail"),"Fail"))))</f>
        <v>Pass</v>
      </c>
      <c r="U418" s="153">
        <v>1335</v>
      </c>
      <c r="V418" s="138"/>
      <c r="W418" s="56">
        <v>1730</v>
      </c>
      <c r="X418" s="56">
        <v>1970</v>
      </c>
      <c r="Y418" s="56">
        <v>6.2</v>
      </c>
    </row>
    <row r="419" spans="1:25" x14ac:dyDescent="0.3">
      <c r="A419" s="155"/>
      <c r="B419" s="147"/>
      <c r="C419" s="71" t="s">
        <v>89</v>
      </c>
      <c r="D419" s="56">
        <v>27471.99</v>
      </c>
      <c r="E419" s="56">
        <v>27324.46</v>
      </c>
      <c r="F419" s="56">
        <v>27364.36</v>
      </c>
      <c r="G419" s="56">
        <v>27327.62</v>
      </c>
      <c r="H419" s="56">
        <v>27530.37</v>
      </c>
      <c r="I419" s="56">
        <v>27416.880000000001</v>
      </c>
      <c r="J419" s="56">
        <v>27335.64</v>
      </c>
      <c r="K419" s="56">
        <v>27304.25</v>
      </c>
      <c r="L419" s="56">
        <v>27574.46</v>
      </c>
      <c r="M419" s="77"/>
      <c r="N419" s="77"/>
      <c r="O419" s="77"/>
      <c r="P419" s="77"/>
      <c r="Q419" s="77"/>
      <c r="R419" s="77"/>
      <c r="S419" s="77"/>
      <c r="T419" s="132"/>
      <c r="U419" s="77"/>
      <c r="V419" s="139"/>
      <c r="W419" s="111"/>
    </row>
    <row r="420" spans="1:25" ht="39.9" x14ac:dyDescent="0.3">
      <c r="A420" s="156"/>
      <c r="B420" s="149"/>
      <c r="C420" s="71" t="s">
        <v>123</v>
      </c>
      <c r="D420" s="38">
        <f t="shared" ref="D420:L420" si="136">IF(((D418="")*AND(D419="")),"",(D418-D419)*1)</f>
        <v>1864.2899999999972</v>
      </c>
      <c r="E420" s="38">
        <f t="shared" si="136"/>
        <v>1819.1800000000003</v>
      </c>
      <c r="F420" s="38">
        <f t="shared" si="136"/>
        <v>1765.6499999999978</v>
      </c>
      <c r="G420" s="38">
        <f t="shared" si="136"/>
        <v>1779.130000000001</v>
      </c>
      <c r="H420" s="38">
        <f t="shared" si="136"/>
        <v>1801.2900000000009</v>
      </c>
      <c r="I420" s="38">
        <f t="shared" si="136"/>
        <v>1880.2000000000007</v>
      </c>
      <c r="J420" s="38">
        <f t="shared" si="136"/>
        <v>1750.5499999999993</v>
      </c>
      <c r="K420" s="38">
        <f t="shared" si="136"/>
        <v>1822.2400000000016</v>
      </c>
      <c r="L420" s="38">
        <f t="shared" si="136"/>
        <v>1800.5</v>
      </c>
      <c r="M420" s="135"/>
      <c r="N420" s="135"/>
      <c r="O420" s="135"/>
      <c r="P420" s="135"/>
      <c r="Q420" s="135"/>
      <c r="R420" s="135"/>
      <c r="S420" s="135"/>
      <c r="T420" s="136"/>
      <c r="U420" s="135"/>
      <c r="V420" s="140"/>
    </row>
    <row r="421" spans="1:25" x14ac:dyDescent="0.3">
      <c r="A421" s="154">
        <v>43091</v>
      </c>
      <c r="B421" s="129" t="s">
        <v>124</v>
      </c>
      <c r="C421" s="71" t="s">
        <v>88</v>
      </c>
      <c r="D421" s="56">
        <v>29392.89</v>
      </c>
      <c r="E421" s="56">
        <v>29207.58</v>
      </c>
      <c r="F421" s="56">
        <v>29252.23</v>
      </c>
      <c r="G421" s="56">
        <v>29227.439999999999</v>
      </c>
      <c r="H421" s="56">
        <v>29437.29</v>
      </c>
      <c r="I421" s="56">
        <v>29368.69</v>
      </c>
      <c r="J421" s="56">
        <v>29208.28</v>
      </c>
      <c r="K421" s="56">
        <v>29216.63</v>
      </c>
      <c r="L421" s="56">
        <v>29399.54</v>
      </c>
      <c r="M421" s="69">
        <f>IF((L422=""),"",MAX(D423:L423))</f>
        <v>1929.1099999999969</v>
      </c>
      <c r="N421" s="69">
        <f>IF(L422="","",MIN(D423:L423))</f>
        <v>1739.5299999999988</v>
      </c>
      <c r="O421" s="69">
        <f>IF((L423=""),"",AVERAGE(D423:L423))</f>
        <v>1842.4777777777772</v>
      </c>
      <c r="P421" s="69">
        <v>1600</v>
      </c>
      <c r="Q421" s="69">
        <v>2000</v>
      </c>
      <c r="R421" s="69">
        <f>IF((L422=""),"",((M421-N421)/(M421+N421))*100)</f>
        <v>5.1675825373980091</v>
      </c>
      <c r="S421" s="69">
        <v>23</v>
      </c>
      <c r="T421" s="130" t="str">
        <f>IF(L422="","",IF(R422&lt;20,(IF(O421&gt;1730,IF(O421&lt;1970,"Pass","Fail"),"Fail"))))</f>
        <v>Pass</v>
      </c>
      <c r="U421" s="153"/>
      <c r="V421" s="138"/>
      <c r="W421" s="56">
        <v>1730</v>
      </c>
      <c r="X421" s="56">
        <v>1970</v>
      </c>
      <c r="Y421" s="56">
        <v>6.2</v>
      </c>
    </row>
    <row r="422" spans="1:25" x14ac:dyDescent="0.3">
      <c r="A422" s="155"/>
      <c r="B422" s="147"/>
      <c r="C422" s="71" t="s">
        <v>89</v>
      </c>
      <c r="D422" s="56">
        <v>27533.7</v>
      </c>
      <c r="E422" s="56">
        <v>27373.48</v>
      </c>
      <c r="F422" s="56">
        <v>27512.7</v>
      </c>
      <c r="G422" s="56">
        <v>27368.04</v>
      </c>
      <c r="H422" s="56">
        <v>27555.65</v>
      </c>
      <c r="I422" s="56">
        <v>27439.58</v>
      </c>
      <c r="J422" s="56">
        <v>27347.35</v>
      </c>
      <c r="K422" s="56">
        <v>27367.84</v>
      </c>
      <c r="L422" s="56">
        <v>27629.93</v>
      </c>
      <c r="M422" s="77"/>
      <c r="N422" s="77"/>
      <c r="O422" s="77"/>
      <c r="P422" s="77"/>
      <c r="Q422" s="77"/>
      <c r="R422" s="77"/>
      <c r="S422" s="77"/>
      <c r="T422" s="132"/>
      <c r="U422" s="77"/>
      <c r="V422" s="139"/>
      <c r="W422" s="111"/>
    </row>
    <row r="423" spans="1:25" ht="39.9" x14ac:dyDescent="0.3">
      <c r="A423" s="156"/>
      <c r="B423" s="149"/>
      <c r="C423" s="71" t="s">
        <v>123</v>
      </c>
      <c r="D423" s="38">
        <f t="shared" ref="D423:L423" si="137">IF(((D421="")*AND(D422="")),"",(D421-D422)*1)</f>
        <v>1859.1899999999987</v>
      </c>
      <c r="E423" s="38">
        <f t="shared" si="137"/>
        <v>1834.1000000000022</v>
      </c>
      <c r="F423" s="38">
        <f t="shared" si="137"/>
        <v>1739.5299999999988</v>
      </c>
      <c r="G423" s="38">
        <f t="shared" si="137"/>
        <v>1859.3999999999978</v>
      </c>
      <c r="H423" s="38">
        <f t="shared" si="137"/>
        <v>1881.6399999999994</v>
      </c>
      <c r="I423" s="38">
        <f t="shared" si="137"/>
        <v>1929.1099999999969</v>
      </c>
      <c r="J423" s="38">
        <f t="shared" si="137"/>
        <v>1860.9300000000003</v>
      </c>
      <c r="K423" s="38">
        <f t="shared" si="137"/>
        <v>1848.7900000000009</v>
      </c>
      <c r="L423" s="38">
        <f t="shared" si="137"/>
        <v>1769.6100000000006</v>
      </c>
      <c r="M423" s="135"/>
      <c r="N423" s="135"/>
      <c r="O423" s="135"/>
      <c r="P423" s="135"/>
      <c r="Q423" s="135"/>
      <c r="R423" s="135"/>
      <c r="S423" s="135"/>
      <c r="T423" s="136"/>
      <c r="U423" s="135"/>
      <c r="V423" s="140"/>
    </row>
    <row r="424" spans="1:25" x14ac:dyDescent="0.3">
      <c r="A424" s="154">
        <v>43095</v>
      </c>
      <c r="B424" s="129" t="s">
        <v>124</v>
      </c>
      <c r="C424" s="71" t="s">
        <v>88</v>
      </c>
      <c r="D424" s="56">
        <v>29302.04</v>
      </c>
      <c r="E424" s="56">
        <v>29184.080000000002</v>
      </c>
      <c r="F424" s="56">
        <v>29129.63</v>
      </c>
      <c r="G424" s="56">
        <v>29086.080000000002</v>
      </c>
      <c r="H424" s="56">
        <v>29370.959999999999</v>
      </c>
      <c r="I424" s="56">
        <v>29281.74</v>
      </c>
      <c r="J424" s="56">
        <v>29095.71</v>
      </c>
      <c r="K424" s="56">
        <v>29122.37</v>
      </c>
      <c r="L424" s="56">
        <v>29333.56</v>
      </c>
      <c r="M424" s="69">
        <f>IF((L425=""),"",MAX(D426:L426))</f>
        <v>1886.260000000002</v>
      </c>
      <c r="N424" s="69">
        <f>IF(L425="","",MIN(D426:L426))</f>
        <v>1724.6000000000022</v>
      </c>
      <c r="O424" s="69">
        <f>IF((L426=""),"",AVERAGE(D426:L426))</f>
        <v>1790.6811111111117</v>
      </c>
      <c r="P424" s="69">
        <v>1600</v>
      </c>
      <c r="Q424" s="69">
        <v>2000</v>
      </c>
      <c r="R424" s="69">
        <f>IF((L425=""),"",((M424-N424)/(M424+N424))*100)</f>
        <v>4.4770497886929892</v>
      </c>
      <c r="S424" s="69">
        <v>23</v>
      </c>
      <c r="T424" s="130" t="str">
        <f>IF(L425="","",IF(R425&lt;20,(IF(O424&gt;1730,IF(O424&lt;1970,"Pass","Fail"),"Fail"))))</f>
        <v>Pass</v>
      </c>
      <c r="U424" s="153"/>
      <c r="V424" s="138"/>
      <c r="W424" s="56">
        <v>1730</v>
      </c>
      <c r="X424" s="56">
        <v>1970</v>
      </c>
      <c r="Y424" s="56">
        <v>6.2</v>
      </c>
    </row>
    <row r="425" spans="1:25" x14ac:dyDescent="0.3">
      <c r="A425" s="155"/>
      <c r="B425" s="147"/>
      <c r="C425" s="71" t="s">
        <v>89</v>
      </c>
      <c r="D425" s="56">
        <v>27506.240000000002</v>
      </c>
      <c r="E425" s="56">
        <v>27305.39</v>
      </c>
      <c r="F425" s="56">
        <v>27367.33</v>
      </c>
      <c r="G425" s="56">
        <v>27361.48</v>
      </c>
      <c r="H425" s="56">
        <v>27587.97</v>
      </c>
      <c r="I425" s="56">
        <v>27395.48</v>
      </c>
      <c r="J425" s="56">
        <v>27337.46</v>
      </c>
      <c r="K425" s="56">
        <v>27335.19</v>
      </c>
      <c r="L425" s="56">
        <v>27593.5</v>
      </c>
      <c r="M425" s="77"/>
      <c r="N425" s="77"/>
      <c r="O425" s="77"/>
      <c r="P425" s="77"/>
      <c r="Q425" s="77"/>
      <c r="R425" s="77"/>
      <c r="S425" s="77"/>
      <c r="T425" s="132"/>
      <c r="U425" s="77"/>
      <c r="V425" s="139"/>
      <c r="W425" s="111"/>
    </row>
    <row r="426" spans="1:25" ht="39.9" x14ac:dyDescent="0.3">
      <c r="A426" s="156"/>
      <c r="B426" s="149"/>
      <c r="C426" s="71" t="s">
        <v>123</v>
      </c>
      <c r="D426" s="38">
        <f t="shared" ref="D426:L426" si="138">IF(((D424="")*AND(D425="")),"",(D424-D425)*1)</f>
        <v>1795.7999999999993</v>
      </c>
      <c r="E426" s="38">
        <f t="shared" si="138"/>
        <v>1878.6900000000023</v>
      </c>
      <c r="F426" s="38">
        <f t="shared" si="138"/>
        <v>1762.2999999999993</v>
      </c>
      <c r="G426" s="38">
        <f t="shared" si="138"/>
        <v>1724.6000000000022</v>
      </c>
      <c r="H426" s="38">
        <f t="shared" si="138"/>
        <v>1782.989999999998</v>
      </c>
      <c r="I426" s="38">
        <f t="shared" si="138"/>
        <v>1886.260000000002</v>
      </c>
      <c r="J426" s="38">
        <f t="shared" si="138"/>
        <v>1758.25</v>
      </c>
      <c r="K426" s="38">
        <f t="shared" si="138"/>
        <v>1787.1800000000003</v>
      </c>
      <c r="L426" s="38">
        <f t="shared" si="138"/>
        <v>1740.0600000000013</v>
      </c>
      <c r="M426" s="135"/>
      <c r="N426" s="135"/>
      <c r="O426" s="135"/>
      <c r="P426" s="135"/>
      <c r="Q426" s="135"/>
      <c r="R426" s="135"/>
      <c r="S426" s="135"/>
      <c r="T426" s="136"/>
      <c r="U426" s="135"/>
      <c r="V426" s="140"/>
    </row>
    <row r="427" spans="1:25" x14ac:dyDescent="0.3">
      <c r="A427" s="154">
        <v>43098</v>
      </c>
      <c r="B427" s="129" t="s">
        <v>124</v>
      </c>
      <c r="C427" s="71" t="s">
        <v>88</v>
      </c>
      <c r="D427" s="56">
        <v>28797.63</v>
      </c>
      <c r="E427" s="56">
        <v>29845.43</v>
      </c>
      <c r="F427" s="56">
        <v>29091.5</v>
      </c>
      <c r="G427" s="56">
        <v>29056.21</v>
      </c>
      <c r="H427" s="56">
        <v>29255.64</v>
      </c>
      <c r="I427" s="56">
        <v>29224.16</v>
      </c>
      <c r="J427" s="56">
        <v>29064.799999999999</v>
      </c>
      <c r="K427" s="56">
        <v>29087.96</v>
      </c>
      <c r="L427" s="56">
        <v>29349.040000000001</v>
      </c>
      <c r="M427" s="69">
        <f>IF((L428=""),"",MAX(D429:L429))</f>
        <v>1894.8600000000006</v>
      </c>
      <c r="N427" s="69">
        <f>IF(L428="","",MIN(D429:L429))</f>
        <v>1462.7400000000016</v>
      </c>
      <c r="O427" s="69">
        <f>IF((L429=""),"",AVERAGE(D429:L429))</f>
        <v>1791.8444444444451</v>
      </c>
      <c r="P427" s="69">
        <v>1600</v>
      </c>
      <c r="Q427" s="69">
        <v>2000</v>
      </c>
      <c r="R427" s="69">
        <f>IF((L428=""),"",((M427-N427)/(M427+N427))*100)</f>
        <v>12.869907076483164</v>
      </c>
      <c r="S427" s="69">
        <v>23</v>
      </c>
      <c r="T427" s="130" t="str">
        <f>IF(L428="","",IF(R428&lt;20,(IF(O427&gt;1730,IF(O427&lt;1970,"Pass","Fail"),"Fail"))))</f>
        <v>Pass</v>
      </c>
      <c r="U427" s="153"/>
      <c r="V427" s="138"/>
      <c r="W427" s="56">
        <v>1730</v>
      </c>
      <c r="X427" s="56">
        <v>1970</v>
      </c>
      <c r="Y427" s="56">
        <v>6.2</v>
      </c>
    </row>
    <row r="428" spans="1:25" x14ac:dyDescent="0.3">
      <c r="A428" s="155"/>
      <c r="B428" s="147"/>
      <c r="C428" s="71" t="s">
        <v>89</v>
      </c>
      <c r="D428" s="56">
        <v>27334.89</v>
      </c>
      <c r="E428" s="56">
        <v>28202.89</v>
      </c>
      <c r="F428" s="56">
        <v>27311.119999999999</v>
      </c>
      <c r="G428" s="56">
        <v>27219.23</v>
      </c>
      <c r="H428" s="56">
        <v>27398.26</v>
      </c>
      <c r="I428" s="56">
        <v>27335.97</v>
      </c>
      <c r="J428" s="56">
        <v>27169.94</v>
      </c>
      <c r="K428" s="56">
        <v>27203.67</v>
      </c>
      <c r="L428" s="56">
        <v>27469.8</v>
      </c>
      <c r="M428" s="77"/>
      <c r="N428" s="77"/>
      <c r="O428" s="77"/>
      <c r="P428" s="77"/>
      <c r="Q428" s="77"/>
      <c r="R428" s="77"/>
      <c r="S428" s="77"/>
      <c r="T428" s="132"/>
      <c r="U428" s="77"/>
      <c r="V428" s="139"/>
      <c r="W428" s="111"/>
    </row>
    <row r="429" spans="1:25" ht="39.9" x14ac:dyDescent="0.3">
      <c r="A429" s="156"/>
      <c r="B429" s="149"/>
      <c r="C429" s="71" t="s">
        <v>123</v>
      </c>
      <c r="D429" s="38">
        <f t="shared" ref="D429:L429" si="139">IF(((D427="")*AND(D428="")),"",(D427-D428)*1)</f>
        <v>1462.7400000000016</v>
      </c>
      <c r="E429" s="38">
        <f t="shared" si="139"/>
        <v>1642.5400000000009</v>
      </c>
      <c r="F429" s="38">
        <f t="shared" si="139"/>
        <v>1780.380000000001</v>
      </c>
      <c r="G429" s="38">
        <f t="shared" si="139"/>
        <v>1836.9799999999996</v>
      </c>
      <c r="H429" s="38">
        <f t="shared" si="139"/>
        <v>1857.380000000001</v>
      </c>
      <c r="I429" s="38">
        <f t="shared" si="139"/>
        <v>1888.1899999999987</v>
      </c>
      <c r="J429" s="38">
        <f t="shared" si="139"/>
        <v>1894.8600000000006</v>
      </c>
      <c r="K429" s="38">
        <f t="shared" si="139"/>
        <v>1884.2900000000009</v>
      </c>
      <c r="L429" s="38">
        <f t="shared" si="139"/>
        <v>1879.2400000000016</v>
      </c>
      <c r="M429" s="135"/>
      <c r="N429" s="135"/>
      <c r="O429" s="135"/>
      <c r="P429" s="135"/>
      <c r="Q429" s="135"/>
      <c r="R429" s="135"/>
      <c r="S429" s="135"/>
      <c r="T429" s="136"/>
      <c r="U429" s="135"/>
      <c r="V429" s="140"/>
    </row>
    <row r="430" spans="1:25" x14ac:dyDescent="0.3">
      <c r="A430" s="154">
        <v>42736</v>
      </c>
      <c r="B430" s="129" t="s">
        <v>124</v>
      </c>
      <c r="C430" s="71" t="s">
        <v>88</v>
      </c>
      <c r="D430" s="56">
        <v>29228.74</v>
      </c>
      <c r="E430" s="56">
        <v>29032.19</v>
      </c>
      <c r="F430" s="56">
        <v>29123.7</v>
      </c>
      <c r="G430" s="56">
        <v>29067.86</v>
      </c>
      <c r="H430" s="56">
        <v>29251.32</v>
      </c>
      <c r="I430" s="56">
        <v>29200.400000000001</v>
      </c>
      <c r="J430" s="56">
        <v>29006.16</v>
      </c>
      <c r="K430" s="56">
        <v>29073.99</v>
      </c>
      <c r="L430" s="56">
        <v>29259.27</v>
      </c>
      <c r="M430" s="69">
        <f>IF((L431=""),"",MAX(D432:L432))</f>
        <v>1926.130000000001</v>
      </c>
      <c r="N430" s="69">
        <f>IF(L431="","",MIN(D432:L432))</f>
        <v>1739.3400000000001</v>
      </c>
      <c r="O430" s="69">
        <f>IF((L432=""),"",AVERAGE(D432:L432))</f>
        <v>1825.0644444444447</v>
      </c>
      <c r="P430" s="69">
        <v>1600</v>
      </c>
      <c r="Q430" s="69">
        <v>2000</v>
      </c>
      <c r="R430" s="69">
        <f>IF((L431=""),"",((M430-N430)/(M430+N430))*100)</f>
        <v>5.0959358554292029</v>
      </c>
      <c r="S430" s="69">
        <v>23</v>
      </c>
      <c r="T430" s="130" t="str">
        <f>IF(L431="","",IF(R431&lt;20,(IF(O430&gt;1730,IF(O430&lt;1970,"Pass","Fail"),"Fail"))))</f>
        <v>Pass</v>
      </c>
      <c r="U430" s="153">
        <v>1428</v>
      </c>
      <c r="V430" s="138"/>
      <c r="W430" s="56">
        <v>1730</v>
      </c>
      <c r="X430" s="56">
        <v>1970</v>
      </c>
      <c r="Y430" s="56">
        <v>6.2</v>
      </c>
    </row>
    <row r="431" spans="1:25" x14ac:dyDescent="0.3">
      <c r="A431" s="155"/>
      <c r="B431" s="147"/>
      <c r="C431" s="71" t="s">
        <v>89</v>
      </c>
      <c r="D431" s="56">
        <v>27414.17</v>
      </c>
      <c r="E431" s="56">
        <v>27221.43</v>
      </c>
      <c r="F431" s="56">
        <v>27316.13</v>
      </c>
      <c r="G431" s="56">
        <v>27237.89</v>
      </c>
      <c r="H431" s="56">
        <v>27424.74</v>
      </c>
      <c r="I431" s="56">
        <v>27274.27</v>
      </c>
      <c r="J431" s="56">
        <v>27213.93</v>
      </c>
      <c r="K431" s="56">
        <v>27195.56</v>
      </c>
      <c r="L431" s="56">
        <v>27519.93</v>
      </c>
      <c r="M431" s="77"/>
      <c r="N431" s="77"/>
      <c r="O431" s="77"/>
      <c r="P431" s="77"/>
      <c r="Q431" s="77"/>
      <c r="R431" s="77"/>
      <c r="S431" s="77"/>
      <c r="T431" s="132"/>
      <c r="U431" s="77"/>
      <c r="V431" s="139"/>
      <c r="W431" s="111"/>
    </row>
    <row r="432" spans="1:25" ht="39.9" x14ac:dyDescent="0.3">
      <c r="A432" s="156"/>
      <c r="B432" s="149"/>
      <c r="C432" s="71" t="s">
        <v>123</v>
      </c>
      <c r="D432" s="38">
        <f t="shared" ref="D432:L432" si="140">IF(((D430="")*AND(D431="")),"",(D430-D431)*1)</f>
        <v>1814.5700000000033</v>
      </c>
      <c r="E432" s="38">
        <f t="shared" si="140"/>
        <v>1810.7599999999984</v>
      </c>
      <c r="F432" s="38">
        <f t="shared" si="140"/>
        <v>1807.5699999999997</v>
      </c>
      <c r="G432" s="38">
        <f t="shared" si="140"/>
        <v>1829.9700000000012</v>
      </c>
      <c r="H432" s="38">
        <f t="shared" si="140"/>
        <v>1826.5799999999981</v>
      </c>
      <c r="I432" s="38">
        <f t="shared" si="140"/>
        <v>1926.130000000001</v>
      </c>
      <c r="J432" s="38">
        <f t="shared" si="140"/>
        <v>1792.2299999999996</v>
      </c>
      <c r="K432" s="38">
        <f t="shared" si="140"/>
        <v>1878.4300000000003</v>
      </c>
      <c r="L432" s="38">
        <f t="shared" si="140"/>
        <v>1739.3400000000001</v>
      </c>
      <c r="M432" s="135"/>
      <c r="N432" s="135"/>
      <c r="O432" s="135"/>
      <c r="P432" s="135"/>
      <c r="Q432" s="135"/>
      <c r="R432" s="135"/>
      <c r="S432" s="135"/>
      <c r="T432" s="136"/>
      <c r="U432" s="135"/>
      <c r="V432" s="140"/>
    </row>
    <row r="433" spans="1:25" x14ac:dyDescent="0.3">
      <c r="A433" s="154">
        <v>42739</v>
      </c>
      <c r="B433" s="129" t="s">
        <v>124</v>
      </c>
      <c r="C433" s="71" t="s">
        <v>88</v>
      </c>
      <c r="D433" s="56">
        <v>29399.13</v>
      </c>
      <c r="E433" s="56">
        <v>29236.27</v>
      </c>
      <c r="F433" s="56">
        <v>29226.22</v>
      </c>
      <c r="G433" s="56">
        <v>29198.43</v>
      </c>
      <c r="H433" s="56">
        <v>29441.71</v>
      </c>
      <c r="I433" s="56">
        <v>29394.93</v>
      </c>
      <c r="J433" s="56">
        <v>29191.37</v>
      </c>
      <c r="K433" s="56">
        <v>29205.19</v>
      </c>
      <c r="L433" s="56">
        <v>29472.81</v>
      </c>
      <c r="M433" s="69">
        <f>IF((L434=""),"",MAX(D435:L435))</f>
        <v>1911.5299999999988</v>
      </c>
      <c r="N433" s="69">
        <f>IF(L434="","",MIN(D435:L435))</f>
        <v>1815.7700000000004</v>
      </c>
      <c r="O433" s="69">
        <f>IF((L435=""),"",AVERAGE(D435:L435))</f>
        <v>1856.8655555555551</v>
      </c>
      <c r="P433" s="69">
        <v>1600</v>
      </c>
      <c r="Q433" s="69">
        <v>2000</v>
      </c>
      <c r="R433" s="69">
        <f>IF((L434=""),"",((M433-N433)/(M433+N433))*100)</f>
        <v>2.5691519330345938</v>
      </c>
      <c r="S433" s="69">
        <v>23</v>
      </c>
      <c r="T433" s="130" t="str">
        <f>IF(L434="","",IF(R434&lt;20,(IF(O433&gt;1730,IF(O433&lt;1970,"Pass","Fail"),"Fail"))))</f>
        <v>Pass</v>
      </c>
      <c r="U433" s="153">
        <v>1335</v>
      </c>
      <c r="V433" s="138"/>
      <c r="W433" s="56">
        <v>1730</v>
      </c>
      <c r="X433" s="56">
        <v>1970</v>
      </c>
      <c r="Y433" s="56">
        <v>6.2</v>
      </c>
    </row>
    <row r="434" spans="1:25" x14ac:dyDescent="0.3">
      <c r="A434" s="155"/>
      <c r="B434" s="147"/>
      <c r="C434" s="71" t="s">
        <v>89</v>
      </c>
      <c r="D434" s="56">
        <v>27520.47</v>
      </c>
      <c r="E434" s="56">
        <v>27364.59</v>
      </c>
      <c r="F434" s="56">
        <v>27407.66</v>
      </c>
      <c r="G434" s="56">
        <v>27360.23</v>
      </c>
      <c r="H434" s="56">
        <v>27543.72</v>
      </c>
      <c r="I434" s="56">
        <v>27483.4</v>
      </c>
      <c r="J434" s="56">
        <v>27357.31</v>
      </c>
      <c r="K434" s="56">
        <v>27389.42</v>
      </c>
      <c r="L434" s="56">
        <v>27627.47</v>
      </c>
      <c r="M434" s="77"/>
      <c r="N434" s="77"/>
      <c r="O434" s="77"/>
      <c r="P434" s="77"/>
      <c r="Q434" s="77"/>
      <c r="R434" s="77"/>
      <c r="S434" s="77"/>
      <c r="T434" s="132"/>
      <c r="U434" s="77"/>
      <c r="V434" s="139"/>
    </row>
    <row r="435" spans="1:25" ht="39.9" x14ac:dyDescent="0.3">
      <c r="A435" s="156"/>
      <c r="B435" s="149"/>
      <c r="C435" s="71" t="s">
        <v>123</v>
      </c>
      <c r="D435" s="38">
        <f t="shared" ref="D435:L435" si="141">IF(((D433="")*AND(D434="")),"",(D433-D434)*1)</f>
        <v>1878.6599999999999</v>
      </c>
      <c r="E435" s="38">
        <f t="shared" si="141"/>
        <v>1871.6800000000003</v>
      </c>
      <c r="F435" s="38">
        <f t="shared" si="141"/>
        <v>1818.5600000000013</v>
      </c>
      <c r="G435" s="38">
        <f t="shared" si="141"/>
        <v>1838.2000000000007</v>
      </c>
      <c r="H435" s="38">
        <f t="shared" si="141"/>
        <v>1897.989999999998</v>
      </c>
      <c r="I435" s="38">
        <f t="shared" si="141"/>
        <v>1911.5299999999988</v>
      </c>
      <c r="J435" s="38">
        <f t="shared" si="141"/>
        <v>1834.0599999999977</v>
      </c>
      <c r="K435" s="38">
        <f t="shared" si="141"/>
        <v>1815.7700000000004</v>
      </c>
      <c r="L435" s="38">
        <f t="shared" si="141"/>
        <v>1845.3400000000001</v>
      </c>
      <c r="M435" s="135"/>
      <c r="N435" s="135"/>
      <c r="O435" s="135"/>
      <c r="P435" s="135"/>
      <c r="Q435" s="135"/>
      <c r="R435" s="135"/>
      <c r="S435" s="135"/>
      <c r="T435" s="136"/>
      <c r="U435" s="135"/>
      <c r="V435" s="140"/>
    </row>
    <row r="436" spans="1:25" x14ac:dyDescent="0.3">
      <c r="A436" s="154">
        <v>42743</v>
      </c>
      <c r="B436" s="129" t="s">
        <v>124</v>
      </c>
      <c r="C436" s="71" t="s">
        <v>88</v>
      </c>
      <c r="D436" s="56">
        <v>29336.97</v>
      </c>
      <c r="E436" s="56">
        <v>29158.73</v>
      </c>
      <c r="F436" s="56">
        <v>29151.24</v>
      </c>
      <c r="G436" s="56">
        <v>29147.82</v>
      </c>
      <c r="H436" s="56">
        <v>29352.97</v>
      </c>
      <c r="I436" s="56">
        <v>29335.33</v>
      </c>
      <c r="J436" s="56">
        <v>29139.93</v>
      </c>
      <c r="K436" s="56">
        <v>29157.41</v>
      </c>
      <c r="L436" s="56">
        <v>29448.03</v>
      </c>
      <c r="M436" s="69">
        <f>IF((L437=""),"",MAX(D438:L438))</f>
        <v>1905.3900000000031</v>
      </c>
      <c r="N436" s="69">
        <f>IF(L437="","",MIN(D438:L438))</f>
        <v>1523.630000000001</v>
      </c>
      <c r="O436" s="69">
        <f>IF((L438=""),"",AVERAGE(D438:L438))</f>
        <v>1813.7022222222226</v>
      </c>
      <c r="P436" s="69">
        <v>1600</v>
      </c>
      <c r="Q436" s="69">
        <v>2000</v>
      </c>
      <c r="R436" s="69">
        <f>IF((L437=""),"",((M436-N436)/(M436+N436))*100)</f>
        <v>11.133210071682335</v>
      </c>
      <c r="S436" s="69">
        <v>23</v>
      </c>
      <c r="T436" s="130" t="str">
        <f>IF(L437="","",IF(R437&lt;20,(IF(O436&gt;1730,IF(O436&lt;1970,"Pass","Fail"),"Fail"))))</f>
        <v>Pass</v>
      </c>
      <c r="U436" s="153">
        <v>1335</v>
      </c>
      <c r="V436" s="138"/>
      <c r="W436" s="56">
        <v>1730</v>
      </c>
      <c r="X436" s="56">
        <v>1970</v>
      </c>
      <c r="Y436" s="56">
        <v>6.2</v>
      </c>
    </row>
    <row r="437" spans="1:25" x14ac:dyDescent="0.3">
      <c r="A437" s="155"/>
      <c r="B437" s="147"/>
      <c r="C437" s="71" t="s">
        <v>89</v>
      </c>
      <c r="D437" s="56">
        <v>27467.86</v>
      </c>
      <c r="E437" s="56">
        <v>27340.12</v>
      </c>
      <c r="F437" s="56">
        <v>27627.61</v>
      </c>
      <c r="G437" s="56">
        <v>27289.97</v>
      </c>
      <c r="H437" s="56">
        <v>27523.49</v>
      </c>
      <c r="I437" s="56">
        <v>27429.94</v>
      </c>
      <c r="J437" s="56">
        <v>27274.959999999999</v>
      </c>
      <c r="K437" s="56">
        <v>27301.78</v>
      </c>
      <c r="L437" s="56">
        <v>27649.38</v>
      </c>
      <c r="M437" s="77"/>
      <c r="N437" s="77"/>
      <c r="O437" s="77"/>
      <c r="P437" s="77"/>
      <c r="Q437" s="77"/>
      <c r="R437" s="77"/>
      <c r="S437" s="77"/>
      <c r="T437" s="132"/>
      <c r="U437" s="77"/>
      <c r="V437" s="139"/>
    </row>
    <row r="438" spans="1:25" ht="39.9" x14ac:dyDescent="0.3">
      <c r="A438" s="156"/>
      <c r="B438" s="149"/>
      <c r="C438" s="71" t="s">
        <v>123</v>
      </c>
      <c r="D438" s="38">
        <f t="shared" ref="D438:L438" si="142">IF(((D436="")*AND(D437="")),"",(D436-D437)*1)</f>
        <v>1869.1100000000006</v>
      </c>
      <c r="E438" s="38">
        <f t="shared" si="142"/>
        <v>1818.6100000000006</v>
      </c>
      <c r="F438" s="38">
        <f t="shared" si="142"/>
        <v>1523.630000000001</v>
      </c>
      <c r="G438" s="38">
        <f t="shared" si="142"/>
        <v>1857.8499999999985</v>
      </c>
      <c r="H438" s="38">
        <f t="shared" si="142"/>
        <v>1829.4799999999996</v>
      </c>
      <c r="I438" s="38">
        <f t="shared" si="142"/>
        <v>1905.3900000000031</v>
      </c>
      <c r="J438" s="38">
        <f t="shared" si="142"/>
        <v>1864.9700000000012</v>
      </c>
      <c r="K438" s="38">
        <f t="shared" si="142"/>
        <v>1855.630000000001</v>
      </c>
      <c r="L438" s="38">
        <f t="shared" si="142"/>
        <v>1798.6499999999978</v>
      </c>
      <c r="M438" s="135"/>
      <c r="N438" s="135"/>
      <c r="O438" s="135"/>
      <c r="P438" s="135"/>
      <c r="Q438" s="135"/>
      <c r="R438" s="135"/>
      <c r="S438" s="135"/>
      <c r="T438" s="136"/>
      <c r="U438" s="135"/>
      <c r="V438" s="140"/>
    </row>
    <row r="439" spans="1:25" x14ac:dyDescent="0.3">
      <c r="A439" s="154">
        <v>43111</v>
      </c>
      <c r="B439" s="129" t="s">
        <v>124</v>
      </c>
      <c r="C439" s="71" t="s">
        <v>88</v>
      </c>
      <c r="D439" s="56">
        <v>29312.12</v>
      </c>
      <c r="E439" s="56">
        <v>29138.65</v>
      </c>
      <c r="F439" s="56">
        <v>29193.88</v>
      </c>
      <c r="G439" s="56">
        <v>29150.06</v>
      </c>
      <c r="H439" s="56">
        <v>29384.39</v>
      </c>
      <c r="I439" s="56">
        <v>29338.16</v>
      </c>
      <c r="J439" s="56">
        <v>29133.38</v>
      </c>
      <c r="K439" s="56">
        <v>29134.26</v>
      </c>
      <c r="L439" s="56">
        <v>29361.66</v>
      </c>
      <c r="M439" s="69">
        <f>IF((L440=""),"",MAX(D441:L441))</f>
        <v>1926.8600000000006</v>
      </c>
      <c r="N439" s="69">
        <f>IF(L440="","",MIN(D441:L441))</f>
        <v>1779.2400000000016</v>
      </c>
      <c r="O439" s="69">
        <f>IF((L441=""),"",AVERAGE(D441:L441))</f>
        <v>1849.0911111111116</v>
      </c>
      <c r="P439" s="69">
        <v>1600</v>
      </c>
      <c r="Q439" s="69">
        <v>2000</v>
      </c>
      <c r="R439" s="69">
        <f>IF((L440=""),"",((M439-N439)/(M439+N439))*100)</f>
        <v>3.9831628936078056</v>
      </c>
      <c r="S439" s="69">
        <v>23</v>
      </c>
      <c r="T439" s="130" t="str">
        <f>IF(L440="","",IF(R440&lt;20,(IF(O439&gt;1730,IF(O439&lt;1970,"Pass","Fail"),"Fail"))))</f>
        <v>Pass</v>
      </c>
      <c r="U439" s="153">
        <v>1159</v>
      </c>
      <c r="V439" s="138"/>
      <c r="W439" s="56">
        <v>1730</v>
      </c>
      <c r="X439" s="56">
        <v>1970</v>
      </c>
      <c r="Y439" s="56">
        <v>6.2</v>
      </c>
    </row>
    <row r="440" spans="1:25" x14ac:dyDescent="0.3">
      <c r="A440" s="155"/>
      <c r="B440" s="147"/>
      <c r="C440" s="71" t="s">
        <v>89</v>
      </c>
      <c r="D440" s="56">
        <v>27433.96</v>
      </c>
      <c r="E440" s="56">
        <v>27298.55</v>
      </c>
      <c r="F440" s="56">
        <v>27414.639999999999</v>
      </c>
      <c r="G440" s="56">
        <v>27286.61</v>
      </c>
      <c r="H440" s="56">
        <v>27517.119999999999</v>
      </c>
      <c r="I440" s="56">
        <v>27411.3</v>
      </c>
      <c r="J440" s="56">
        <v>27272.43</v>
      </c>
      <c r="K440" s="56">
        <v>27290.22</v>
      </c>
      <c r="L440" s="56">
        <v>27579.91</v>
      </c>
      <c r="M440" s="77"/>
      <c r="N440" s="77"/>
      <c r="O440" s="77"/>
      <c r="P440" s="77"/>
      <c r="Q440" s="77"/>
      <c r="R440" s="77"/>
      <c r="S440" s="77"/>
      <c r="T440" s="132"/>
      <c r="U440" s="77"/>
      <c r="V440" s="139"/>
    </row>
    <row r="441" spans="1:25" ht="39.9" x14ac:dyDescent="0.3">
      <c r="A441" s="156"/>
      <c r="B441" s="149"/>
      <c r="C441" s="71" t="s">
        <v>123</v>
      </c>
      <c r="D441" s="38">
        <f t="shared" ref="D441:L441" si="143">IF(((D439="")*AND(D440="")),"",(D439-D440)*1)</f>
        <v>1878.1599999999999</v>
      </c>
      <c r="E441" s="38">
        <f t="shared" si="143"/>
        <v>1840.1000000000022</v>
      </c>
      <c r="F441" s="38">
        <f t="shared" si="143"/>
        <v>1779.2400000000016</v>
      </c>
      <c r="G441" s="38">
        <f t="shared" si="143"/>
        <v>1863.4500000000007</v>
      </c>
      <c r="H441" s="38">
        <f t="shared" si="143"/>
        <v>1867.2700000000004</v>
      </c>
      <c r="I441" s="38">
        <f t="shared" si="143"/>
        <v>1926.8600000000006</v>
      </c>
      <c r="J441" s="38">
        <f t="shared" si="143"/>
        <v>1860.9500000000007</v>
      </c>
      <c r="K441" s="38">
        <f t="shared" si="143"/>
        <v>1844.0399999999972</v>
      </c>
      <c r="L441" s="38">
        <f t="shared" si="143"/>
        <v>1781.75</v>
      </c>
      <c r="M441" s="135"/>
      <c r="N441" s="135"/>
      <c r="O441" s="135"/>
      <c r="P441" s="135"/>
      <c r="Q441" s="135"/>
      <c r="R441" s="135"/>
      <c r="S441" s="135"/>
      <c r="T441" s="136"/>
      <c r="U441" s="135"/>
      <c r="V441" s="140"/>
    </row>
    <row r="442" spans="1:25" x14ac:dyDescent="0.3">
      <c r="A442" s="154">
        <v>43118</v>
      </c>
      <c r="B442" s="129" t="s">
        <v>124</v>
      </c>
      <c r="C442" s="71" t="s">
        <v>88</v>
      </c>
      <c r="D442" s="56">
        <v>29272.67</v>
      </c>
      <c r="E442" s="56">
        <v>29100.99</v>
      </c>
      <c r="F442" s="56">
        <v>29149.57</v>
      </c>
      <c r="G442" s="56">
        <v>29131.37</v>
      </c>
      <c r="H442" s="56">
        <v>29317.94</v>
      </c>
      <c r="I442" s="56">
        <v>29267.78</v>
      </c>
      <c r="J442" s="56">
        <v>29073.46</v>
      </c>
      <c r="K442" s="56">
        <v>29145.05</v>
      </c>
      <c r="L442" s="56">
        <v>29330.19</v>
      </c>
      <c r="M442" s="69">
        <f>IF((L443=""),"",MAX(D444:L444))</f>
        <v>1948.9699999999975</v>
      </c>
      <c r="N442" s="69">
        <f>IF(L443="","",MIN(D444:L444))</f>
        <v>1758.7200000000012</v>
      </c>
      <c r="O442" s="69">
        <f>IF((L444=""),"",AVERAGE(D444:L444))</f>
        <v>1877.0644444444433</v>
      </c>
      <c r="P442" s="69">
        <v>1600</v>
      </c>
      <c r="Q442" s="69">
        <v>2000</v>
      </c>
      <c r="R442" s="69">
        <f>IF((L443=""),"",((M442-N442)/(M442+N442))*100)</f>
        <v>5.1312272600998581</v>
      </c>
      <c r="S442" s="69">
        <v>23</v>
      </c>
      <c r="T442" s="130" t="str">
        <f>IF(L443="","",IF(R443&lt;20,(IF(O442&gt;1730,IF(O442&lt;1970,"Pass","Fail"),"Fail"))))</f>
        <v>Pass</v>
      </c>
      <c r="U442" s="153">
        <v>121</v>
      </c>
      <c r="V442" s="138"/>
      <c r="W442" s="56">
        <v>1730</v>
      </c>
      <c r="X442" s="56">
        <v>1970</v>
      </c>
      <c r="Y442" s="56">
        <v>6.2</v>
      </c>
    </row>
    <row r="443" spans="1:25" x14ac:dyDescent="0.3">
      <c r="A443" s="155"/>
      <c r="B443" s="147"/>
      <c r="C443" s="71" t="s">
        <v>89</v>
      </c>
      <c r="D443" s="56">
        <v>27344.46</v>
      </c>
      <c r="E443" s="56">
        <v>27190.13</v>
      </c>
      <c r="F443" s="56">
        <v>27390.85</v>
      </c>
      <c r="G443" s="56">
        <v>27220.76</v>
      </c>
      <c r="H443" s="56">
        <v>27458.639999999999</v>
      </c>
      <c r="I443" s="56">
        <v>27323.72</v>
      </c>
      <c r="J443" s="56">
        <v>27264.47</v>
      </c>
      <c r="K443" s="56">
        <v>27196.080000000002</v>
      </c>
      <c r="L443" s="56">
        <v>27506.33</v>
      </c>
      <c r="M443" s="77"/>
      <c r="N443" s="77"/>
      <c r="O443" s="77"/>
      <c r="P443" s="77"/>
      <c r="Q443" s="77"/>
      <c r="R443" s="77"/>
      <c r="S443" s="77"/>
      <c r="T443" s="132"/>
      <c r="U443" s="77"/>
      <c r="V443" s="139"/>
    </row>
    <row r="444" spans="1:25" ht="39.9" x14ac:dyDescent="0.3">
      <c r="A444" s="156"/>
      <c r="B444" s="149"/>
      <c r="C444" s="71" t="s">
        <v>123</v>
      </c>
      <c r="D444" s="38">
        <f t="shared" ref="D444:L444" si="144">IF(((D442="")*AND(D443="")),"",(D442-D443)*1)</f>
        <v>1928.2099999999991</v>
      </c>
      <c r="E444" s="38">
        <f t="shared" si="144"/>
        <v>1910.8600000000006</v>
      </c>
      <c r="F444" s="38">
        <f t="shared" si="144"/>
        <v>1758.7200000000012</v>
      </c>
      <c r="G444" s="38">
        <f t="shared" si="144"/>
        <v>1910.6100000000006</v>
      </c>
      <c r="H444" s="38">
        <f t="shared" si="144"/>
        <v>1859.2999999999993</v>
      </c>
      <c r="I444" s="38">
        <f t="shared" si="144"/>
        <v>1944.0599999999977</v>
      </c>
      <c r="J444" s="38">
        <f t="shared" si="144"/>
        <v>1808.989999999998</v>
      </c>
      <c r="K444" s="38">
        <f t="shared" si="144"/>
        <v>1948.9699999999975</v>
      </c>
      <c r="L444" s="38">
        <f t="shared" si="144"/>
        <v>1823.8599999999969</v>
      </c>
      <c r="M444" s="135"/>
      <c r="N444" s="135"/>
      <c r="O444" s="135"/>
      <c r="P444" s="135"/>
      <c r="Q444" s="135"/>
      <c r="R444" s="135"/>
      <c r="S444" s="135"/>
      <c r="T444" s="136"/>
      <c r="U444" s="135"/>
      <c r="V444" s="140"/>
    </row>
    <row r="445" spans="1:25" x14ac:dyDescent="0.3">
      <c r="A445" s="154">
        <v>43122</v>
      </c>
      <c r="B445" s="129" t="s">
        <v>124</v>
      </c>
      <c r="C445" s="71" t="s">
        <v>88</v>
      </c>
      <c r="D445" s="56">
        <v>29209.31</v>
      </c>
      <c r="E445" s="56">
        <v>29053.29</v>
      </c>
      <c r="F445" s="56">
        <v>29084.13</v>
      </c>
      <c r="G445" s="56">
        <v>29044.93</v>
      </c>
      <c r="H445" s="56">
        <v>29265.98</v>
      </c>
      <c r="I445" s="56">
        <v>29270.68</v>
      </c>
      <c r="J445" s="56">
        <v>29043.9</v>
      </c>
      <c r="K445" s="56">
        <v>29026.51</v>
      </c>
      <c r="L445" s="56">
        <v>29234.82</v>
      </c>
      <c r="M445" s="69">
        <f>IF((L446=""),"",MAX(D447:L447))</f>
        <v>1958.9799999999996</v>
      </c>
      <c r="N445" s="69">
        <f>IF(L446="","",MIN(D447:L447))</f>
        <v>1729.0400000000009</v>
      </c>
      <c r="O445" s="69">
        <f>IF((L447=""),"",AVERAGE(D447:L447))</f>
        <v>1832.24888888889</v>
      </c>
      <c r="P445" s="69">
        <v>1600</v>
      </c>
      <c r="Q445" s="69">
        <v>2000</v>
      </c>
      <c r="R445" s="69">
        <f>IF((L446=""),"",((M445-N445)/(M445+N445))*100)</f>
        <v>6.234781807040056</v>
      </c>
      <c r="S445" s="69">
        <v>23</v>
      </c>
      <c r="T445" s="130" t="str">
        <f>IF(L446="","",IF(R446&lt;20,(IF(O445&gt;1730,IF(O445&lt;1970,"Pass","Fail"),"Fail"))))</f>
        <v>Pass</v>
      </c>
      <c r="U445" s="153">
        <v>1428</v>
      </c>
      <c r="V445" s="138"/>
      <c r="W445" s="56">
        <v>1730</v>
      </c>
      <c r="X445" s="56">
        <v>1970</v>
      </c>
      <c r="Y445" s="56">
        <v>6.2</v>
      </c>
    </row>
    <row r="446" spans="1:25" x14ac:dyDescent="0.3">
      <c r="A446" s="155"/>
      <c r="B446" s="147"/>
      <c r="C446" s="71" t="s">
        <v>89</v>
      </c>
      <c r="D446" s="56">
        <v>27367.84</v>
      </c>
      <c r="E446" s="56">
        <v>27223.3</v>
      </c>
      <c r="F446" s="56">
        <v>27260.39</v>
      </c>
      <c r="G446" s="56">
        <v>27203.759999999998</v>
      </c>
      <c r="H446" s="56">
        <v>27446.43</v>
      </c>
      <c r="I446" s="56">
        <v>27311.7</v>
      </c>
      <c r="J446" s="56">
        <v>27220.19</v>
      </c>
      <c r="K446" s="56">
        <v>27203.919999999998</v>
      </c>
      <c r="L446" s="56">
        <v>27505.78</v>
      </c>
      <c r="M446" s="77"/>
      <c r="N446" s="77"/>
      <c r="O446" s="77"/>
      <c r="P446" s="77"/>
      <c r="Q446" s="77"/>
      <c r="R446" s="77"/>
      <c r="S446" s="77"/>
      <c r="T446" s="132"/>
      <c r="U446" s="77"/>
      <c r="V446" s="139"/>
    </row>
    <row r="447" spans="1:25" ht="39.9" x14ac:dyDescent="0.3">
      <c r="A447" s="156"/>
      <c r="B447" s="149"/>
      <c r="C447" s="71" t="s">
        <v>123</v>
      </c>
      <c r="D447" s="38">
        <f t="shared" ref="D447:L447" si="145">IF(((D445="")*AND(D446="")),"",(D445-D446)*1)</f>
        <v>1841.4700000000012</v>
      </c>
      <c r="E447" s="38">
        <f t="shared" si="145"/>
        <v>1829.9900000000016</v>
      </c>
      <c r="F447" s="38">
        <f t="shared" si="145"/>
        <v>1823.7400000000016</v>
      </c>
      <c r="G447" s="38">
        <f t="shared" si="145"/>
        <v>1841.1700000000019</v>
      </c>
      <c r="H447" s="38">
        <f t="shared" si="145"/>
        <v>1819.5499999999993</v>
      </c>
      <c r="I447" s="38">
        <f t="shared" si="145"/>
        <v>1958.9799999999996</v>
      </c>
      <c r="J447" s="38">
        <f t="shared" si="145"/>
        <v>1823.7100000000028</v>
      </c>
      <c r="K447" s="38">
        <f t="shared" si="145"/>
        <v>1822.5900000000001</v>
      </c>
      <c r="L447" s="38">
        <f t="shared" si="145"/>
        <v>1729.0400000000009</v>
      </c>
      <c r="M447" s="135"/>
      <c r="N447" s="135"/>
      <c r="O447" s="135"/>
      <c r="P447" s="135"/>
      <c r="Q447" s="135"/>
      <c r="R447" s="135"/>
      <c r="S447" s="135"/>
      <c r="T447" s="136"/>
      <c r="U447" s="135"/>
      <c r="V447" s="140"/>
    </row>
    <row r="448" spans="1:25" x14ac:dyDescent="0.3">
      <c r="A448" s="154">
        <v>43125</v>
      </c>
      <c r="B448" s="129" t="s">
        <v>124</v>
      </c>
      <c r="C448" s="71" t="s">
        <v>88</v>
      </c>
      <c r="D448" s="56">
        <v>29220.36</v>
      </c>
      <c r="E448" s="56">
        <v>29081.29</v>
      </c>
      <c r="F448" s="56">
        <v>29127.49</v>
      </c>
      <c r="G448" s="56">
        <v>29069.25</v>
      </c>
      <c r="H448" s="56">
        <v>29254.959999999999</v>
      </c>
      <c r="I448" s="56">
        <v>29241.79</v>
      </c>
      <c r="J448" s="56">
        <v>29070.93</v>
      </c>
      <c r="K448" s="56">
        <v>29086.37</v>
      </c>
      <c r="L448" s="56">
        <v>29295.19</v>
      </c>
      <c r="M448" s="69">
        <f>IF((L449=""),"",MAX(D450:L450))</f>
        <v>1916.2999999999993</v>
      </c>
      <c r="N448" s="69">
        <f>IF(L449="","",MIN(D450:L450))</f>
        <v>1690.5900000000001</v>
      </c>
      <c r="O448" s="69">
        <f>IF((L450=""),"",AVERAGE(D450:L450))</f>
        <v>1819.9066666666668</v>
      </c>
      <c r="P448" s="69">
        <v>1600</v>
      </c>
      <c r="Q448" s="69">
        <v>2000</v>
      </c>
      <c r="R448" s="69">
        <f>IF((L449=""),"",((M448-N448)/(M448+N448))*100)</f>
        <v>6.2577455924632899</v>
      </c>
      <c r="S448" s="69">
        <v>23</v>
      </c>
      <c r="T448" s="130" t="str">
        <f>IF(L449="","",IF(R449&lt;20,(IF(O448&gt;1730,IF(O448&lt;1970,"Pass","Fail"),"Fail"))))</f>
        <v>Pass</v>
      </c>
      <c r="U448" s="153"/>
      <c r="V448" s="138"/>
      <c r="W448" s="56">
        <v>1730</v>
      </c>
      <c r="X448" s="56">
        <v>1970</v>
      </c>
      <c r="Y448" s="56">
        <v>6.2</v>
      </c>
    </row>
    <row r="449" spans="1:25" x14ac:dyDescent="0.3">
      <c r="A449" s="155"/>
      <c r="B449" s="147"/>
      <c r="C449" s="71" t="s">
        <v>89</v>
      </c>
      <c r="D449" s="56">
        <v>27389.09</v>
      </c>
      <c r="E449" s="56">
        <v>27277.46</v>
      </c>
      <c r="F449" s="56">
        <v>27436.9</v>
      </c>
      <c r="G449" s="56">
        <v>27218.46</v>
      </c>
      <c r="H449" s="56">
        <v>27426.29</v>
      </c>
      <c r="I449" s="56">
        <v>27325.49</v>
      </c>
      <c r="J449" s="56">
        <v>27219.439999999999</v>
      </c>
      <c r="K449" s="56">
        <v>27244.52</v>
      </c>
      <c r="L449" s="56">
        <v>27530.82</v>
      </c>
      <c r="M449" s="77"/>
      <c r="N449" s="77"/>
      <c r="O449" s="77"/>
      <c r="P449" s="77"/>
      <c r="Q449" s="77"/>
      <c r="R449" s="77"/>
      <c r="S449" s="77"/>
      <c r="T449" s="132"/>
      <c r="U449" s="77"/>
      <c r="V449" s="139"/>
    </row>
    <row r="450" spans="1:25" ht="39.9" x14ac:dyDescent="0.3">
      <c r="A450" s="156"/>
      <c r="B450" s="149"/>
      <c r="C450" s="71" t="s">
        <v>123</v>
      </c>
      <c r="D450" s="38">
        <f t="shared" ref="D450:L450" si="146">IF(((D448="")*AND(D449="")),"",(D448-D449)*1)</f>
        <v>1831.2700000000004</v>
      </c>
      <c r="E450" s="38">
        <f t="shared" si="146"/>
        <v>1803.8300000000017</v>
      </c>
      <c r="F450" s="38">
        <f t="shared" si="146"/>
        <v>1690.5900000000001</v>
      </c>
      <c r="G450" s="38">
        <f t="shared" si="146"/>
        <v>1850.7900000000009</v>
      </c>
      <c r="H450" s="38">
        <f t="shared" si="146"/>
        <v>1828.6699999999983</v>
      </c>
      <c r="I450" s="38">
        <f t="shared" si="146"/>
        <v>1916.2999999999993</v>
      </c>
      <c r="J450" s="38">
        <f t="shared" si="146"/>
        <v>1851.4900000000016</v>
      </c>
      <c r="K450" s="38">
        <f t="shared" si="146"/>
        <v>1841.8499999999985</v>
      </c>
      <c r="L450" s="38">
        <f t="shared" si="146"/>
        <v>1764.369999999999</v>
      </c>
      <c r="M450" s="135"/>
      <c r="N450" s="135"/>
      <c r="O450" s="135"/>
      <c r="P450" s="135"/>
      <c r="Q450" s="135"/>
      <c r="R450" s="135"/>
      <c r="S450" s="135"/>
      <c r="T450" s="136"/>
      <c r="U450" s="135"/>
      <c r="V450" s="140"/>
    </row>
    <row r="451" spans="1:25" x14ac:dyDescent="0.3">
      <c r="A451" s="154">
        <v>43131</v>
      </c>
      <c r="B451" s="129" t="s">
        <v>124</v>
      </c>
      <c r="C451" s="71" t="s">
        <v>88</v>
      </c>
      <c r="D451" s="56">
        <v>27425.47</v>
      </c>
      <c r="E451" s="56">
        <v>27302.86</v>
      </c>
      <c r="F451" s="56">
        <v>27477.22</v>
      </c>
      <c r="G451" s="56">
        <v>27252.52</v>
      </c>
      <c r="H451" s="56">
        <v>27453.84</v>
      </c>
      <c r="I451" s="56">
        <v>27351.57</v>
      </c>
      <c r="J451" s="56">
        <v>27248.77</v>
      </c>
      <c r="K451" s="56">
        <v>27268.23</v>
      </c>
      <c r="L451" s="56">
        <v>27545.68</v>
      </c>
      <c r="M451" s="69">
        <f>IF((L452=""),"",MAX(D453:L453))</f>
        <v>1842.0600000000013</v>
      </c>
      <c r="N451" s="69">
        <f>IF(L452="","",MIN(D453:L453))</f>
        <v>1657.9700000000012</v>
      </c>
      <c r="O451" s="69">
        <f>IF((L453=""),"",AVERAGE(D453:L453))</f>
        <v>1783.7666666666676</v>
      </c>
      <c r="P451" s="69">
        <v>1600</v>
      </c>
      <c r="Q451" s="69">
        <v>2000</v>
      </c>
      <c r="R451" s="69">
        <f>IF((L452=""),"",((M451-N451)/(M451+N451))*100)</f>
        <v>5.2596692028354051</v>
      </c>
      <c r="S451" s="69">
        <v>23</v>
      </c>
      <c r="T451" s="130" t="str">
        <f>IF(L452="","",IF(R452&lt;20,(IF(O451&gt;1730,IF(O451&lt;1970,"Pass","Fail"),"Fail"))))</f>
        <v>Pass</v>
      </c>
      <c r="U451" s="153">
        <v>1335</v>
      </c>
      <c r="V451" s="138"/>
      <c r="W451" s="56">
        <v>1730</v>
      </c>
      <c r="X451" s="56">
        <v>1970</v>
      </c>
      <c r="Y451" s="56">
        <v>6.2</v>
      </c>
    </row>
    <row r="452" spans="1:25" x14ac:dyDescent="0.3">
      <c r="A452" s="155"/>
      <c r="B452" s="147"/>
      <c r="C452" s="71" t="s">
        <v>89</v>
      </c>
      <c r="D452" s="56">
        <v>25608.27</v>
      </c>
      <c r="E452" s="56">
        <v>25516.81</v>
      </c>
      <c r="F452" s="56">
        <v>25819.25</v>
      </c>
      <c r="G452" s="56">
        <v>25444.959999999999</v>
      </c>
      <c r="H452" s="56">
        <v>25645.42</v>
      </c>
      <c r="I452" s="56">
        <v>25509.51</v>
      </c>
      <c r="J452" s="56">
        <v>25442.57</v>
      </c>
      <c r="K452" s="56">
        <v>25466.01</v>
      </c>
      <c r="L452" s="56">
        <v>25819.46</v>
      </c>
      <c r="M452" s="77"/>
      <c r="N452" s="77"/>
      <c r="O452" s="77"/>
      <c r="P452" s="77"/>
      <c r="Q452" s="77"/>
      <c r="R452" s="77"/>
      <c r="S452" s="77"/>
      <c r="T452" s="132"/>
      <c r="U452" s="77"/>
      <c r="V452" s="139"/>
    </row>
    <row r="453" spans="1:25" ht="39.9" x14ac:dyDescent="0.3">
      <c r="A453" s="156"/>
      <c r="B453" s="149"/>
      <c r="C453" s="71" t="s">
        <v>123</v>
      </c>
      <c r="D453" s="38">
        <f t="shared" ref="D453:L453" si="147">IF(((D451="")*AND(D452="")),"",(D451-D452)*1)</f>
        <v>1817.2000000000007</v>
      </c>
      <c r="E453" s="38">
        <f t="shared" si="147"/>
        <v>1786.0499999999993</v>
      </c>
      <c r="F453" s="38">
        <f t="shared" si="147"/>
        <v>1657.9700000000012</v>
      </c>
      <c r="G453" s="38">
        <f t="shared" si="147"/>
        <v>1807.5600000000013</v>
      </c>
      <c r="H453" s="38">
        <f t="shared" si="147"/>
        <v>1808.4200000000019</v>
      </c>
      <c r="I453" s="38">
        <f t="shared" si="147"/>
        <v>1842.0600000000013</v>
      </c>
      <c r="J453" s="38">
        <f t="shared" si="147"/>
        <v>1806.2000000000007</v>
      </c>
      <c r="K453" s="38">
        <f t="shared" si="147"/>
        <v>1802.2200000000012</v>
      </c>
      <c r="L453" s="38">
        <f t="shared" si="147"/>
        <v>1726.2200000000012</v>
      </c>
      <c r="M453" s="135"/>
      <c r="N453" s="135"/>
      <c r="O453" s="135"/>
      <c r="P453" s="135"/>
      <c r="Q453" s="135"/>
      <c r="R453" s="135"/>
      <c r="S453" s="135"/>
      <c r="T453" s="136"/>
      <c r="U453" s="135"/>
      <c r="V453" s="140"/>
    </row>
    <row r="454" spans="1:25" x14ac:dyDescent="0.3">
      <c r="A454" s="154">
        <v>43134</v>
      </c>
      <c r="B454" s="129" t="s">
        <v>124</v>
      </c>
      <c r="C454" s="71" t="s">
        <v>88</v>
      </c>
      <c r="D454" s="56">
        <v>29434.61</v>
      </c>
      <c r="E454" s="56">
        <v>29249.19</v>
      </c>
      <c r="F454" s="56">
        <v>29232.959999999999</v>
      </c>
      <c r="G454" s="56">
        <v>29204.51</v>
      </c>
      <c r="H454" s="56">
        <v>29396.35</v>
      </c>
      <c r="I454" s="56">
        <v>29387.78</v>
      </c>
      <c r="J454" s="56">
        <v>29197.07</v>
      </c>
      <c r="K454" s="56">
        <v>29226.78</v>
      </c>
      <c r="L454" s="56">
        <v>29449.14</v>
      </c>
      <c r="M454" s="69">
        <f>IF((L455=""),"",MAX(D456:L456))</f>
        <v>1863.2599999999984</v>
      </c>
      <c r="N454" s="69">
        <f>IF(L455="","",MIN(D456:L456))</f>
        <v>1748.0400000000009</v>
      </c>
      <c r="O454" s="69">
        <f>IF((L456=""),"",AVERAGE(D456:L456))</f>
        <v>1810.8977777777768</v>
      </c>
      <c r="P454" s="69">
        <v>1600</v>
      </c>
      <c r="Q454" s="69">
        <v>2000</v>
      </c>
      <c r="R454" s="69">
        <f>IF((L455=""),"",((M454-N454)/(M454+N454))*100)</f>
        <v>3.1905408024810331</v>
      </c>
      <c r="S454" s="69">
        <v>23</v>
      </c>
      <c r="T454" s="130" t="str">
        <f>IF(L455="","",IF(R455&lt;20,(IF(O454&gt;1730,IF(O454&lt;1970,"Pass","Fail"),"Fail"))))</f>
        <v>Pass</v>
      </c>
      <c r="U454" s="153">
        <v>1335</v>
      </c>
      <c r="V454" s="138"/>
      <c r="W454" s="56">
        <v>1730</v>
      </c>
      <c r="X454" s="56">
        <v>1970</v>
      </c>
      <c r="Y454" s="56">
        <v>6.2</v>
      </c>
    </row>
    <row r="455" spans="1:25" x14ac:dyDescent="0.3">
      <c r="A455" s="155"/>
      <c r="B455" s="147"/>
      <c r="C455" s="71" t="s">
        <v>89</v>
      </c>
      <c r="D455" s="56">
        <v>27611.24</v>
      </c>
      <c r="E455" s="56">
        <v>27436.880000000001</v>
      </c>
      <c r="F455" s="56">
        <v>27484.92</v>
      </c>
      <c r="G455" s="56">
        <v>27390.639999999999</v>
      </c>
      <c r="H455" s="56">
        <v>27576.86</v>
      </c>
      <c r="I455" s="56">
        <v>27524.52</v>
      </c>
      <c r="J455" s="56">
        <v>27388.26</v>
      </c>
      <c r="K455" s="56">
        <v>27405.52</v>
      </c>
      <c r="L455" s="56">
        <v>27661.47</v>
      </c>
      <c r="M455" s="77"/>
      <c r="N455" s="77"/>
      <c r="O455" s="77"/>
      <c r="P455" s="77"/>
      <c r="Q455" s="77"/>
      <c r="R455" s="77"/>
      <c r="S455" s="77"/>
      <c r="T455" s="132"/>
      <c r="U455" s="77"/>
      <c r="V455" s="139"/>
    </row>
    <row r="456" spans="1:25" ht="39.9" x14ac:dyDescent="0.3">
      <c r="A456" s="156"/>
      <c r="B456" s="149"/>
      <c r="C456" s="71" t="s">
        <v>123</v>
      </c>
      <c r="D456" s="38">
        <f t="shared" ref="D456:L456" si="148">IF(((D454="")*AND(D455="")),"",(D454-D455)*1)</f>
        <v>1823.369999999999</v>
      </c>
      <c r="E456" s="38">
        <f t="shared" si="148"/>
        <v>1812.3099999999977</v>
      </c>
      <c r="F456" s="38">
        <f t="shared" si="148"/>
        <v>1748.0400000000009</v>
      </c>
      <c r="G456" s="38">
        <f t="shared" si="148"/>
        <v>1813.869999999999</v>
      </c>
      <c r="H456" s="38">
        <f t="shared" si="148"/>
        <v>1819.489999999998</v>
      </c>
      <c r="I456" s="38">
        <f t="shared" si="148"/>
        <v>1863.2599999999984</v>
      </c>
      <c r="J456" s="38">
        <f t="shared" si="148"/>
        <v>1808.8100000000013</v>
      </c>
      <c r="K456" s="38">
        <f t="shared" si="148"/>
        <v>1821.2599999999984</v>
      </c>
      <c r="L456" s="38">
        <f t="shared" si="148"/>
        <v>1787.6699999999983</v>
      </c>
      <c r="M456" s="135"/>
      <c r="N456" s="135"/>
      <c r="O456" s="135"/>
      <c r="P456" s="135"/>
      <c r="Q456" s="135"/>
      <c r="R456" s="135"/>
      <c r="S456" s="135"/>
      <c r="T456" s="136"/>
      <c r="U456" s="135"/>
      <c r="V456" s="140"/>
    </row>
    <row r="457" spans="1:25" x14ac:dyDescent="0.3">
      <c r="A457" s="154">
        <v>43137</v>
      </c>
      <c r="B457" s="129" t="s">
        <v>124</v>
      </c>
      <c r="C457" s="71" t="s">
        <v>88</v>
      </c>
      <c r="D457" s="56">
        <v>29320.73</v>
      </c>
      <c r="E457" s="56">
        <v>29934.15</v>
      </c>
      <c r="F457" s="56">
        <v>29210.51</v>
      </c>
      <c r="G457" s="56">
        <v>29167.52</v>
      </c>
      <c r="H457" s="56">
        <v>29439.26</v>
      </c>
      <c r="I457" s="56">
        <v>29316.75</v>
      </c>
      <c r="J457" s="56">
        <v>29205.67</v>
      </c>
      <c r="K457" s="56">
        <v>29159.96</v>
      </c>
      <c r="L457" s="56">
        <v>29399.62</v>
      </c>
      <c r="M457" s="69">
        <f>IF((L458=""),"",MAX(D459:L459))</f>
        <v>2553.8199999999997</v>
      </c>
      <c r="N457" s="69">
        <f>IF(L458="","",MIN(D459:L459))</f>
        <v>1710.6899999999987</v>
      </c>
      <c r="O457" s="69">
        <f>IF((L459=""),"",AVERAGE(D459:L459))</f>
        <v>1907.2511111111105</v>
      </c>
      <c r="P457" s="69">
        <v>1600</v>
      </c>
      <c r="Q457" s="69">
        <v>2000</v>
      </c>
      <c r="R457" s="69">
        <f>IF((L458=""),"",((M457-N457)/(M457+N457))*100)</f>
        <v>19.770852923313612</v>
      </c>
      <c r="S457" s="69">
        <v>23</v>
      </c>
      <c r="T457" s="130" t="str">
        <f>IF(L458="","",IF(R458&lt;20,(IF(O457&gt;1730,IF(O457&lt;1970,"Pass","Fail"),"Fail"))))</f>
        <v>Pass</v>
      </c>
      <c r="U457" s="153">
        <v>1335</v>
      </c>
      <c r="V457" s="138"/>
      <c r="W457" s="56">
        <v>1730</v>
      </c>
      <c r="X457" s="56">
        <v>1970</v>
      </c>
      <c r="Y457" s="56">
        <v>6.2</v>
      </c>
    </row>
    <row r="458" spans="1:25" x14ac:dyDescent="0.3">
      <c r="A458" s="155"/>
      <c r="B458" s="147"/>
      <c r="C458" s="71" t="s">
        <v>89</v>
      </c>
      <c r="D458" s="56">
        <v>27490.02</v>
      </c>
      <c r="E458" s="56">
        <v>27380.33</v>
      </c>
      <c r="F458" s="56">
        <v>27499.82</v>
      </c>
      <c r="G458" s="56">
        <v>27348.880000000001</v>
      </c>
      <c r="H458" s="56">
        <v>27582.76</v>
      </c>
      <c r="I458" s="56">
        <v>27435.25</v>
      </c>
      <c r="J458" s="56">
        <v>27330.75</v>
      </c>
      <c r="K458" s="56">
        <v>27332.57</v>
      </c>
      <c r="L458" s="56">
        <v>27588.53</v>
      </c>
      <c r="M458" s="77"/>
      <c r="N458" s="77"/>
      <c r="O458" s="77"/>
      <c r="P458" s="77"/>
      <c r="Q458" s="77"/>
      <c r="R458" s="77"/>
      <c r="S458" s="77"/>
      <c r="T458" s="132"/>
      <c r="U458" s="77"/>
      <c r="V458" s="139"/>
    </row>
    <row r="459" spans="1:25" ht="39.9" x14ac:dyDescent="0.3">
      <c r="A459" s="156"/>
      <c r="B459" s="149"/>
      <c r="C459" s="71" t="s">
        <v>123</v>
      </c>
      <c r="D459" s="38">
        <f t="shared" ref="D459:L459" si="149">IF(((D457="")*AND(D458="")),"",(D457-D458)*1)</f>
        <v>1830.7099999999991</v>
      </c>
      <c r="E459" s="38">
        <f t="shared" si="149"/>
        <v>2553.8199999999997</v>
      </c>
      <c r="F459" s="38">
        <f t="shared" si="149"/>
        <v>1710.6899999999987</v>
      </c>
      <c r="G459" s="38">
        <f t="shared" si="149"/>
        <v>1818.6399999999994</v>
      </c>
      <c r="H459" s="38">
        <f t="shared" si="149"/>
        <v>1856.5</v>
      </c>
      <c r="I459" s="38">
        <f t="shared" si="149"/>
        <v>1881.5</v>
      </c>
      <c r="J459" s="38">
        <f t="shared" si="149"/>
        <v>1874.9199999999983</v>
      </c>
      <c r="K459" s="38">
        <f t="shared" si="149"/>
        <v>1827.3899999999994</v>
      </c>
      <c r="L459" s="38">
        <f t="shared" si="149"/>
        <v>1811.0900000000001</v>
      </c>
      <c r="M459" s="135"/>
      <c r="N459" s="135"/>
      <c r="O459" s="135"/>
      <c r="P459" s="135"/>
      <c r="Q459" s="135"/>
      <c r="R459" s="135"/>
      <c r="S459" s="135"/>
      <c r="T459" s="136"/>
      <c r="U459" s="135"/>
      <c r="V459" s="140"/>
    </row>
    <row r="460" spans="1:25" x14ac:dyDescent="0.3">
      <c r="A460" s="154">
        <v>43140</v>
      </c>
      <c r="B460" s="129" t="s">
        <v>124</v>
      </c>
      <c r="C460" s="71" t="s">
        <v>88</v>
      </c>
      <c r="D460" s="56">
        <v>29165</v>
      </c>
      <c r="E460" s="56">
        <v>29069.31</v>
      </c>
      <c r="F460" s="56">
        <v>29122.75</v>
      </c>
      <c r="G460" s="56">
        <v>29038.799999999999</v>
      </c>
      <c r="H460" s="56">
        <v>29312.84</v>
      </c>
      <c r="I460" s="56">
        <v>29232.77</v>
      </c>
      <c r="J460" s="56">
        <v>29070.7</v>
      </c>
      <c r="K460" s="56">
        <v>29104.21</v>
      </c>
      <c r="L460" s="56">
        <v>29374.19</v>
      </c>
      <c r="M460" s="69">
        <f>IF((L461=""),"",MAX(D462:L462))</f>
        <v>1899.1599999999999</v>
      </c>
      <c r="N460" s="69">
        <f>IF(L461="","",MIN(D462:L462))</f>
        <v>1759.9300000000003</v>
      </c>
      <c r="O460" s="69">
        <f>IF((L462=""),"",AVERAGE(D462:L462))</f>
        <v>1823.4211111111108</v>
      </c>
      <c r="P460" s="69">
        <v>1600</v>
      </c>
      <c r="Q460" s="69">
        <v>2000</v>
      </c>
      <c r="R460" s="69">
        <f>IF((L461=""),"",((M460-N460)/(M460+N460))*100)</f>
        <v>3.8050444236135093</v>
      </c>
      <c r="S460" s="69">
        <v>23</v>
      </c>
      <c r="T460" s="130" t="str">
        <f>IF(L461="","",IF(R461&lt;20,(IF(O460&gt;1730,IF(O460&lt;1970,"Pass","Fail"),"Fail"))))</f>
        <v>Pass</v>
      </c>
      <c r="U460" s="153"/>
      <c r="V460" s="138"/>
      <c r="W460" s="56">
        <v>1730</v>
      </c>
      <c r="X460" s="56">
        <v>1970</v>
      </c>
      <c r="Y460" s="56">
        <v>6.2</v>
      </c>
    </row>
    <row r="461" spans="1:25" x14ac:dyDescent="0.3">
      <c r="A461" s="155"/>
      <c r="B461" s="147"/>
      <c r="C461" s="71" t="s">
        <v>89</v>
      </c>
      <c r="D461" s="56">
        <v>27405.07</v>
      </c>
      <c r="E461" s="56">
        <v>27279.49</v>
      </c>
      <c r="F461" s="56">
        <v>27289.360000000001</v>
      </c>
      <c r="G461" s="56">
        <v>27252.81</v>
      </c>
      <c r="H461" s="56">
        <v>27441.79</v>
      </c>
      <c r="I461" s="56">
        <v>27333.61</v>
      </c>
      <c r="J461" s="56">
        <v>27236.92</v>
      </c>
      <c r="K461" s="56">
        <v>27249.59</v>
      </c>
      <c r="L461" s="56">
        <v>27591.14</v>
      </c>
      <c r="M461" s="77"/>
      <c r="N461" s="77"/>
      <c r="O461" s="77"/>
      <c r="P461" s="77"/>
      <c r="Q461" s="77"/>
      <c r="R461" s="77"/>
      <c r="S461" s="77"/>
      <c r="T461" s="132"/>
      <c r="U461" s="77"/>
      <c r="V461" s="139"/>
    </row>
    <row r="462" spans="1:25" ht="39.9" x14ac:dyDescent="0.3">
      <c r="A462" s="156"/>
      <c r="B462" s="149"/>
      <c r="C462" s="71" t="s">
        <v>123</v>
      </c>
      <c r="D462" s="38">
        <f t="shared" ref="D462:L462" si="150">IF(((D460="")*AND(D461="")),"",(D460-D461)*1)</f>
        <v>1759.9300000000003</v>
      </c>
      <c r="E462" s="38">
        <f t="shared" si="150"/>
        <v>1789.8199999999997</v>
      </c>
      <c r="F462" s="38">
        <f t="shared" si="150"/>
        <v>1833.3899999999994</v>
      </c>
      <c r="G462" s="38">
        <f t="shared" si="150"/>
        <v>1785.989999999998</v>
      </c>
      <c r="H462" s="38">
        <f t="shared" si="150"/>
        <v>1871.0499999999993</v>
      </c>
      <c r="I462" s="38">
        <f t="shared" si="150"/>
        <v>1899.1599999999999</v>
      </c>
      <c r="J462" s="38">
        <f t="shared" si="150"/>
        <v>1833.7800000000025</v>
      </c>
      <c r="K462" s="38">
        <f t="shared" si="150"/>
        <v>1854.619999999999</v>
      </c>
      <c r="L462" s="38">
        <f t="shared" si="150"/>
        <v>1783.0499999999993</v>
      </c>
      <c r="M462" s="135"/>
      <c r="N462" s="135"/>
      <c r="O462" s="135"/>
      <c r="P462" s="135"/>
      <c r="Q462" s="135"/>
      <c r="R462" s="135"/>
      <c r="S462" s="135"/>
      <c r="T462" s="136"/>
      <c r="U462" s="135"/>
      <c r="V462" s="140"/>
    </row>
    <row r="463" spans="1:25" x14ac:dyDescent="0.3">
      <c r="A463" s="154">
        <v>43143</v>
      </c>
      <c r="B463" s="129" t="s">
        <v>124</v>
      </c>
      <c r="C463" s="71" t="s">
        <v>88</v>
      </c>
      <c r="D463" s="56">
        <v>29399.85</v>
      </c>
      <c r="E463" s="56">
        <v>29215.47</v>
      </c>
      <c r="F463" s="56">
        <v>29321.89</v>
      </c>
      <c r="G463" s="56">
        <v>29271.040000000001</v>
      </c>
      <c r="H463" s="56">
        <v>29521.43</v>
      </c>
      <c r="I463" s="56">
        <v>29359.63</v>
      </c>
      <c r="J463" s="56">
        <v>29251.08</v>
      </c>
      <c r="K463" s="56">
        <v>29252.68</v>
      </c>
      <c r="L463" s="56">
        <v>29512.04</v>
      </c>
      <c r="M463" s="69">
        <f>IF((L464=""),"",MAX(D465:L465))</f>
        <v>1876.6500000000015</v>
      </c>
      <c r="N463" s="69">
        <f>IF(L464="","",MIN(D465:L465))</f>
        <v>1776.6800000000003</v>
      </c>
      <c r="O463" s="69">
        <f>IF((L465=""),"",AVERAGE(D465:L465))</f>
        <v>1822.0866666666673</v>
      </c>
      <c r="P463" s="69">
        <v>1600</v>
      </c>
      <c r="Q463" s="69">
        <v>2000</v>
      </c>
      <c r="R463" s="69">
        <f>IF((L464=""),"",((M463-N463)/(M463+N463))*100)</f>
        <v>2.7364076062113498</v>
      </c>
      <c r="S463" s="69">
        <v>23</v>
      </c>
      <c r="T463" s="130" t="str">
        <f>IF(L464="","",IF(R464&lt;20,(IF(O463&gt;1730,IF(O463&lt;1970,"Pass","Fail"),"Fail"))))</f>
        <v>Pass</v>
      </c>
      <c r="U463" s="153"/>
      <c r="V463" s="138"/>
      <c r="W463" s="56">
        <v>1730</v>
      </c>
      <c r="X463" s="56">
        <v>1970</v>
      </c>
      <c r="Y463" s="56">
        <v>6.2</v>
      </c>
    </row>
    <row r="464" spans="1:25" x14ac:dyDescent="0.3">
      <c r="A464" s="155"/>
      <c r="B464" s="147"/>
      <c r="C464" s="71" t="s">
        <v>89</v>
      </c>
      <c r="D464" s="56">
        <v>27561.21</v>
      </c>
      <c r="E464" s="56">
        <v>27438.69</v>
      </c>
      <c r="F464" s="56">
        <v>27513.71</v>
      </c>
      <c r="G464" s="56">
        <v>27456.83</v>
      </c>
      <c r="H464" s="56">
        <v>27644.78</v>
      </c>
      <c r="I464" s="56">
        <v>27496.83</v>
      </c>
      <c r="J464" s="56">
        <v>27400.34</v>
      </c>
      <c r="K464" s="56">
        <v>27476</v>
      </c>
      <c r="L464" s="56">
        <v>27717.94</v>
      </c>
      <c r="M464" s="77"/>
      <c r="N464" s="77"/>
      <c r="O464" s="77"/>
      <c r="P464" s="77"/>
      <c r="Q464" s="77"/>
      <c r="R464" s="77"/>
      <c r="S464" s="77"/>
      <c r="T464" s="132"/>
      <c r="U464" s="77"/>
      <c r="V464" s="139"/>
    </row>
    <row r="465" spans="1:25" ht="39.9" x14ac:dyDescent="0.3">
      <c r="A465" s="156"/>
      <c r="B465" s="149"/>
      <c r="C465" s="71" t="s">
        <v>123</v>
      </c>
      <c r="D465" s="38">
        <f t="shared" ref="D465:L465" si="151">IF(((D463="")*AND(D464="")),"",(D463-D464)*1)</f>
        <v>1838.6399999999994</v>
      </c>
      <c r="E465" s="38">
        <f t="shared" si="151"/>
        <v>1776.7800000000025</v>
      </c>
      <c r="F465" s="38">
        <f t="shared" si="151"/>
        <v>1808.1800000000003</v>
      </c>
      <c r="G465" s="38">
        <f t="shared" si="151"/>
        <v>1814.2099999999991</v>
      </c>
      <c r="H465" s="38">
        <f t="shared" si="151"/>
        <v>1876.6500000000015</v>
      </c>
      <c r="I465" s="38">
        <f t="shared" si="151"/>
        <v>1862.7999999999993</v>
      </c>
      <c r="J465" s="38">
        <f t="shared" si="151"/>
        <v>1850.7400000000016</v>
      </c>
      <c r="K465" s="38">
        <f t="shared" si="151"/>
        <v>1776.6800000000003</v>
      </c>
      <c r="L465" s="38">
        <f t="shared" si="151"/>
        <v>1794.1000000000022</v>
      </c>
      <c r="M465" s="135"/>
      <c r="N465" s="135"/>
      <c r="O465" s="135"/>
      <c r="P465" s="135"/>
      <c r="Q465" s="135"/>
      <c r="R465" s="135"/>
      <c r="S465" s="135"/>
      <c r="T465" s="136"/>
      <c r="U465" s="135"/>
      <c r="V465" s="140"/>
    </row>
    <row r="466" spans="1:25" x14ac:dyDescent="0.3">
      <c r="A466" s="154">
        <v>43146</v>
      </c>
      <c r="B466" s="129" t="s">
        <v>124</v>
      </c>
      <c r="C466" s="71" t="s">
        <v>88</v>
      </c>
      <c r="D466" s="56">
        <v>29344.58</v>
      </c>
      <c r="E466" s="56">
        <v>29158.52</v>
      </c>
      <c r="F466" s="56">
        <v>29250.17</v>
      </c>
      <c r="G466" s="56">
        <v>29204.639999999999</v>
      </c>
      <c r="H466" s="56">
        <v>29412.52</v>
      </c>
      <c r="I466" s="56">
        <v>29328.33</v>
      </c>
      <c r="J466" s="56">
        <v>29177.3</v>
      </c>
      <c r="K466" s="56">
        <v>29117.69</v>
      </c>
      <c r="L466" s="56">
        <v>29407.45</v>
      </c>
      <c r="M466" s="69">
        <f>IF((L467=""),"",MAX(D468:L468))</f>
        <v>1883.6200000000026</v>
      </c>
      <c r="N466" s="69">
        <f>IF(L467="","",MIN(D468:L468))</f>
        <v>1771.9599999999991</v>
      </c>
      <c r="O466" s="69">
        <f>IF((L468=""),"",AVERAGE(D468:L468))</f>
        <v>1834.3788888888894</v>
      </c>
      <c r="P466" s="69">
        <v>1600</v>
      </c>
      <c r="Q466" s="69">
        <v>2000</v>
      </c>
      <c r="R466" s="69">
        <f>IF((L467=""),"",((M466-N466)/(M466+N466))*100)</f>
        <v>3.0545084500955646</v>
      </c>
      <c r="S466" s="69">
        <v>23</v>
      </c>
      <c r="T466" s="130" t="str">
        <f>IF(L467="","",IF(R467&lt;20,(IF(O466&gt;1730,IF(O466&lt;1970,"Pass","Fail"),"Fail"))))</f>
        <v>Pass</v>
      </c>
      <c r="U466" s="153">
        <v>102</v>
      </c>
      <c r="V466" s="138"/>
      <c r="W466" s="56">
        <v>1730</v>
      </c>
      <c r="X466" s="56">
        <v>1970</v>
      </c>
      <c r="Y466" s="56">
        <v>6.2</v>
      </c>
    </row>
    <row r="467" spans="1:25" x14ac:dyDescent="0.3">
      <c r="A467" s="155"/>
      <c r="B467" s="147"/>
      <c r="C467" s="71" t="s">
        <v>89</v>
      </c>
      <c r="D467" s="56">
        <v>27507.040000000001</v>
      </c>
      <c r="E467" s="56">
        <v>27350.05</v>
      </c>
      <c r="F467" s="56">
        <v>27478.21</v>
      </c>
      <c r="G467" s="56">
        <v>27356.42</v>
      </c>
      <c r="H467" s="56">
        <v>27559.63</v>
      </c>
      <c r="I467" s="56">
        <v>27444.71</v>
      </c>
      <c r="J467" s="56">
        <v>27340.82</v>
      </c>
      <c r="K467" s="56">
        <v>27273.29</v>
      </c>
      <c r="L467" s="56">
        <v>27581.62</v>
      </c>
      <c r="M467" s="77"/>
      <c r="N467" s="77"/>
      <c r="O467" s="77"/>
      <c r="P467" s="77"/>
      <c r="Q467" s="77"/>
      <c r="R467" s="77"/>
      <c r="S467" s="77"/>
      <c r="T467" s="132"/>
      <c r="U467" s="77"/>
      <c r="V467" s="139"/>
    </row>
    <row r="468" spans="1:25" ht="39.9" x14ac:dyDescent="0.3">
      <c r="A468" s="156"/>
      <c r="B468" s="149"/>
      <c r="C468" s="71" t="s">
        <v>123</v>
      </c>
      <c r="D468" s="38">
        <f t="shared" ref="D468:L468" si="152">IF(((D466="")*AND(D467="")),"",(D466-D467)*1)</f>
        <v>1837.5400000000009</v>
      </c>
      <c r="E468" s="38">
        <f t="shared" si="152"/>
        <v>1808.4700000000012</v>
      </c>
      <c r="F468" s="38">
        <f t="shared" si="152"/>
        <v>1771.9599999999991</v>
      </c>
      <c r="G468" s="38">
        <f t="shared" si="152"/>
        <v>1848.2200000000012</v>
      </c>
      <c r="H468" s="38">
        <f t="shared" si="152"/>
        <v>1852.8899999999994</v>
      </c>
      <c r="I468" s="38">
        <f t="shared" si="152"/>
        <v>1883.6200000000026</v>
      </c>
      <c r="J468" s="38">
        <f t="shared" si="152"/>
        <v>1836.4799999999996</v>
      </c>
      <c r="K468" s="38">
        <f t="shared" si="152"/>
        <v>1844.3999999999978</v>
      </c>
      <c r="L468" s="38">
        <f t="shared" si="152"/>
        <v>1825.8300000000017</v>
      </c>
      <c r="M468" s="135"/>
      <c r="N468" s="135"/>
      <c r="O468" s="135"/>
      <c r="P468" s="135"/>
      <c r="Q468" s="135"/>
      <c r="R468" s="135"/>
      <c r="S468" s="135"/>
      <c r="T468" s="136"/>
      <c r="U468" s="135"/>
      <c r="V468" s="140"/>
    </row>
    <row r="469" spans="1:25" x14ac:dyDescent="0.3">
      <c r="A469" s="154">
        <v>43150</v>
      </c>
      <c r="B469" s="129" t="s">
        <v>124</v>
      </c>
      <c r="C469" s="71" t="s">
        <v>88</v>
      </c>
      <c r="D469" s="56">
        <v>29376.36</v>
      </c>
      <c r="E469" s="56">
        <v>29180.639999999999</v>
      </c>
      <c r="F469" s="56">
        <v>29209.05</v>
      </c>
      <c r="G469" s="56">
        <v>29145.78</v>
      </c>
      <c r="H469" s="56">
        <v>29337.75</v>
      </c>
      <c r="I469" s="56">
        <v>29306.75</v>
      </c>
      <c r="J469" s="56">
        <v>29156.04</v>
      </c>
      <c r="K469" s="56">
        <v>29144.76</v>
      </c>
      <c r="L469" s="56">
        <v>29364.799999999999</v>
      </c>
      <c r="M469" s="69">
        <f>IF((L470=""),"",MAX(D471:L471))</f>
        <v>1913.4399999999987</v>
      </c>
      <c r="N469" s="69">
        <f>IF(L470="","",MIN(D471:L471))</f>
        <v>1817.6499999999978</v>
      </c>
      <c r="O469" s="69">
        <f>IF((L471=""),"",AVERAGE(D471:L471))</f>
        <v>1869.0133333333324</v>
      </c>
      <c r="P469" s="69">
        <v>1600</v>
      </c>
      <c r="Q469" s="69">
        <v>2000</v>
      </c>
      <c r="R469" s="69">
        <f>IF((L470=""),"",((M469-N469)/(M469+N469))*100)</f>
        <v>2.5673462714649329</v>
      </c>
      <c r="S469" s="69">
        <v>23</v>
      </c>
      <c r="T469" s="130" t="str">
        <f>IF(L470="","",IF(R470&lt;20,(IF(O469&gt;1730,IF(O469&lt;1970,"Pass","Fail"),"Fail"))))</f>
        <v>Pass</v>
      </c>
      <c r="U469" s="153"/>
      <c r="V469" s="138"/>
      <c r="W469" s="56">
        <v>1730</v>
      </c>
      <c r="X469" s="56">
        <v>1970</v>
      </c>
      <c r="Y469" s="56">
        <v>6.2</v>
      </c>
    </row>
    <row r="470" spans="1:25" x14ac:dyDescent="0.3">
      <c r="A470" s="155"/>
      <c r="B470" s="147"/>
      <c r="C470" s="71" t="s">
        <v>89</v>
      </c>
      <c r="D470" s="56">
        <v>27478.73</v>
      </c>
      <c r="E470" s="56">
        <v>27322.06</v>
      </c>
      <c r="F470" s="56">
        <v>27391.4</v>
      </c>
      <c r="G470" s="56">
        <v>27271.53</v>
      </c>
      <c r="H470" s="56">
        <v>27468.04</v>
      </c>
      <c r="I470" s="56">
        <v>27393.31</v>
      </c>
      <c r="J470" s="56">
        <v>27282.81</v>
      </c>
      <c r="K470" s="56">
        <v>27284.45</v>
      </c>
      <c r="L470" s="56">
        <v>27508.48</v>
      </c>
      <c r="M470" s="77"/>
      <c r="N470" s="77"/>
      <c r="O470" s="77"/>
      <c r="P470" s="77"/>
      <c r="Q470" s="77"/>
      <c r="R470" s="77"/>
      <c r="S470" s="77"/>
      <c r="T470" s="132"/>
      <c r="U470" s="77"/>
      <c r="V470" s="139"/>
    </row>
    <row r="471" spans="1:25" ht="39.9" x14ac:dyDescent="0.3">
      <c r="A471" s="156"/>
      <c r="B471" s="149"/>
      <c r="C471" s="71" t="s">
        <v>123</v>
      </c>
      <c r="D471" s="38">
        <f t="shared" ref="D471:L471" si="153">IF(((D469="")*AND(D470="")),"",(D469-D470)*1)</f>
        <v>1897.630000000001</v>
      </c>
      <c r="E471" s="38">
        <f t="shared" si="153"/>
        <v>1858.5799999999981</v>
      </c>
      <c r="F471" s="38">
        <f t="shared" si="153"/>
        <v>1817.6499999999978</v>
      </c>
      <c r="G471" s="38">
        <f t="shared" si="153"/>
        <v>1874.25</v>
      </c>
      <c r="H471" s="38">
        <f t="shared" si="153"/>
        <v>1869.7099999999991</v>
      </c>
      <c r="I471" s="38">
        <f t="shared" si="153"/>
        <v>1913.4399999999987</v>
      </c>
      <c r="J471" s="38">
        <f t="shared" si="153"/>
        <v>1873.2299999999996</v>
      </c>
      <c r="K471" s="38">
        <f t="shared" si="153"/>
        <v>1860.3099999999977</v>
      </c>
      <c r="L471" s="38">
        <f t="shared" si="153"/>
        <v>1856.3199999999997</v>
      </c>
      <c r="M471" s="135"/>
      <c r="N471" s="135"/>
      <c r="O471" s="135"/>
      <c r="P471" s="135"/>
      <c r="Q471" s="135"/>
      <c r="R471" s="135"/>
      <c r="S471" s="135"/>
      <c r="T471" s="136"/>
      <c r="U471" s="135"/>
      <c r="V471" s="140"/>
    </row>
    <row r="472" spans="1:25" x14ac:dyDescent="0.3">
      <c r="A472" s="154">
        <v>43157</v>
      </c>
      <c r="B472" s="129" t="s">
        <v>124</v>
      </c>
      <c r="C472" s="71" t="s">
        <v>88</v>
      </c>
      <c r="D472" s="56">
        <v>29213.99</v>
      </c>
      <c r="E472" s="56">
        <v>29055.759999999998</v>
      </c>
      <c r="F472" s="56">
        <v>29109.29</v>
      </c>
      <c r="G472" s="56">
        <v>29032.05</v>
      </c>
      <c r="H472" s="56">
        <v>29184.87</v>
      </c>
      <c r="I472" s="56">
        <v>29208.47</v>
      </c>
      <c r="J472" s="56">
        <v>29012.16</v>
      </c>
      <c r="K472" s="56">
        <v>28992.92</v>
      </c>
      <c r="L472" s="56">
        <v>29212.74</v>
      </c>
      <c r="M472" s="69">
        <f>IF((L473=""),"",MAX(D474:L474))</f>
        <v>1962.4000000000015</v>
      </c>
      <c r="N472" s="69">
        <f>IF(L473="","",MIN(D474:L474))</f>
        <v>1750.75</v>
      </c>
      <c r="O472" s="69">
        <f>IF((L474=""),"",AVERAGE(D474:L474))</f>
        <v>1871.0866666666661</v>
      </c>
      <c r="P472" s="69">
        <v>1600</v>
      </c>
      <c r="Q472" s="69">
        <v>2000</v>
      </c>
      <c r="R472" s="69">
        <f>IF((L473=""),"",((M472-N472)/(M472+N472))*100)</f>
        <v>5.7000121190902977</v>
      </c>
      <c r="S472" s="69">
        <v>23</v>
      </c>
      <c r="T472" s="130" t="str">
        <f>IF(L473="","",IF(R473&lt;20,(IF(O472&gt;1730,IF(O472&lt;1970,"Pass","Fail"),"Fail"))))</f>
        <v>Pass</v>
      </c>
      <c r="U472" s="153">
        <v>1159</v>
      </c>
      <c r="V472" s="138"/>
      <c r="W472" s="56">
        <v>1730</v>
      </c>
      <c r="X472" s="56">
        <v>1970</v>
      </c>
      <c r="Y472" s="56">
        <v>6.2</v>
      </c>
    </row>
    <row r="473" spans="1:25" x14ac:dyDescent="0.3">
      <c r="A473" s="155"/>
      <c r="B473" s="147"/>
      <c r="C473" s="71" t="s">
        <v>89</v>
      </c>
      <c r="D473" s="56">
        <v>27313.32</v>
      </c>
      <c r="E473" s="56">
        <v>27145.68</v>
      </c>
      <c r="F473" s="56">
        <v>27256.48</v>
      </c>
      <c r="G473" s="56">
        <v>27141.56</v>
      </c>
      <c r="H473" s="56">
        <v>27290.65</v>
      </c>
      <c r="I473" s="56">
        <v>27246.07</v>
      </c>
      <c r="J473" s="56">
        <v>27152.25</v>
      </c>
      <c r="K473" s="56">
        <v>27174.47</v>
      </c>
      <c r="L473" s="56">
        <v>27461.99</v>
      </c>
      <c r="M473" s="77"/>
      <c r="N473" s="77"/>
      <c r="O473" s="77"/>
      <c r="P473" s="77"/>
      <c r="Q473" s="77"/>
      <c r="R473" s="77"/>
      <c r="S473" s="77"/>
      <c r="T473" s="132"/>
      <c r="U473" s="77"/>
      <c r="V473" s="139"/>
    </row>
    <row r="474" spans="1:25" ht="39.9" x14ac:dyDescent="0.3">
      <c r="A474" s="156"/>
      <c r="B474" s="149"/>
      <c r="C474" s="71" t="s">
        <v>123</v>
      </c>
      <c r="D474" s="38">
        <f t="shared" ref="D474:L474" si="154">IF(((D472="")*AND(D473="")),"",(D472-D473)*1)</f>
        <v>1900.6700000000019</v>
      </c>
      <c r="E474" s="38">
        <f t="shared" si="154"/>
        <v>1910.0799999999981</v>
      </c>
      <c r="F474" s="38">
        <f t="shared" si="154"/>
        <v>1852.8100000000013</v>
      </c>
      <c r="G474" s="38">
        <f t="shared" si="154"/>
        <v>1890.489999999998</v>
      </c>
      <c r="H474" s="38">
        <f t="shared" si="154"/>
        <v>1894.2199999999975</v>
      </c>
      <c r="I474" s="38">
        <f t="shared" si="154"/>
        <v>1962.4000000000015</v>
      </c>
      <c r="J474" s="38">
        <f t="shared" si="154"/>
        <v>1859.9099999999999</v>
      </c>
      <c r="K474" s="38">
        <f t="shared" si="154"/>
        <v>1818.4499999999971</v>
      </c>
      <c r="L474" s="38">
        <f t="shared" si="154"/>
        <v>1750.75</v>
      </c>
      <c r="M474" s="135"/>
      <c r="N474" s="135"/>
      <c r="O474" s="135"/>
      <c r="P474" s="135"/>
      <c r="Q474" s="135"/>
      <c r="R474" s="135"/>
      <c r="S474" s="135"/>
      <c r="T474" s="136"/>
      <c r="U474" s="135"/>
      <c r="V474" s="140"/>
    </row>
    <row r="475" spans="1:25" x14ac:dyDescent="0.3">
      <c r="A475" s="154">
        <v>43167</v>
      </c>
      <c r="B475" s="129" t="s">
        <v>124</v>
      </c>
      <c r="C475" s="71" t="s">
        <v>88</v>
      </c>
      <c r="D475" s="56">
        <v>29232.71</v>
      </c>
      <c r="E475" s="56">
        <v>29039.59</v>
      </c>
      <c r="F475" s="56">
        <v>29102.06</v>
      </c>
      <c r="G475" s="56">
        <v>29087.47</v>
      </c>
      <c r="H475" s="56">
        <v>29214.61</v>
      </c>
      <c r="I475" s="56">
        <v>29170.21</v>
      </c>
      <c r="J475" s="56">
        <v>28996.97</v>
      </c>
      <c r="K475" s="56">
        <v>28985.03</v>
      </c>
      <c r="L475" s="56">
        <v>29248.47</v>
      </c>
      <c r="M475" s="69">
        <f>IF((L476=""),"",MAX(D477:L477))</f>
        <v>2019.5699999999997</v>
      </c>
      <c r="N475" s="69">
        <f>IF(L476="","",MIN(D477:L477))</f>
        <v>1858.9700000000012</v>
      </c>
      <c r="O475" s="69">
        <f>IF((L477=""),"",AVERAGE(D477:L477))</f>
        <v>1935.3233333333342</v>
      </c>
      <c r="P475" s="69">
        <v>1600</v>
      </c>
      <c r="Q475" s="69">
        <v>2000</v>
      </c>
      <c r="R475" s="69">
        <f>IF((L476=""),"",((M475-N475)/(M475+N475))*100)</f>
        <v>4.1407333687418078</v>
      </c>
      <c r="S475" s="69">
        <v>23</v>
      </c>
      <c r="T475" s="130" t="str">
        <f>IF(L476="","",IF(R476&lt;20,(IF(O475&gt;1730,IF(O475&lt;1970,"Pass","Fail"),"Fail"))))</f>
        <v>Pass</v>
      </c>
      <c r="U475" s="153">
        <v>1335</v>
      </c>
      <c r="V475" s="138"/>
      <c r="W475" s="56">
        <v>1730</v>
      </c>
      <c r="X475" s="56">
        <v>1970</v>
      </c>
      <c r="Y475" s="56">
        <v>6.2</v>
      </c>
    </row>
    <row r="476" spans="1:25" x14ac:dyDescent="0.3">
      <c r="A476" s="155"/>
      <c r="B476" s="147"/>
      <c r="C476" s="71" t="s">
        <v>89</v>
      </c>
      <c r="D476" s="56">
        <v>27271.91</v>
      </c>
      <c r="E476" s="56">
        <v>27081.87</v>
      </c>
      <c r="F476" s="56">
        <v>27205.25</v>
      </c>
      <c r="G476" s="56">
        <v>27091.26</v>
      </c>
      <c r="H476" s="56">
        <v>27321</v>
      </c>
      <c r="I476" s="56">
        <v>27150.639999999999</v>
      </c>
      <c r="J476" s="56">
        <v>27065.91</v>
      </c>
      <c r="K476" s="56">
        <v>27081.87</v>
      </c>
      <c r="L476" s="56">
        <v>27389.5</v>
      </c>
      <c r="M476" s="77"/>
      <c r="N476" s="77"/>
      <c r="O476" s="77"/>
      <c r="P476" s="77"/>
      <c r="Q476" s="77"/>
      <c r="R476" s="77"/>
      <c r="S476" s="77"/>
      <c r="T476" s="132"/>
      <c r="U476" s="77"/>
      <c r="V476" s="139"/>
    </row>
    <row r="477" spans="1:25" ht="39.9" x14ac:dyDescent="0.3">
      <c r="A477" s="156"/>
      <c r="B477" s="149"/>
      <c r="C477" s="71" t="s">
        <v>123</v>
      </c>
      <c r="D477" s="38">
        <f t="shared" ref="D477:L477" si="155">IF(((D475="")*AND(D476="")),"",(D475-D476)*1)</f>
        <v>1960.7999999999993</v>
      </c>
      <c r="E477" s="38">
        <f t="shared" si="155"/>
        <v>1957.7200000000012</v>
      </c>
      <c r="F477" s="38">
        <f t="shared" si="155"/>
        <v>1896.8100000000013</v>
      </c>
      <c r="G477" s="38">
        <f t="shared" si="155"/>
        <v>1996.2100000000028</v>
      </c>
      <c r="H477" s="38">
        <f t="shared" si="155"/>
        <v>1893.6100000000006</v>
      </c>
      <c r="I477" s="38">
        <f t="shared" si="155"/>
        <v>2019.5699999999997</v>
      </c>
      <c r="J477" s="38">
        <f t="shared" si="155"/>
        <v>1931.0600000000013</v>
      </c>
      <c r="K477" s="38">
        <f t="shared" si="155"/>
        <v>1903.1599999999999</v>
      </c>
      <c r="L477" s="38">
        <f t="shared" si="155"/>
        <v>1858.9700000000012</v>
      </c>
      <c r="M477" s="135"/>
      <c r="N477" s="135"/>
      <c r="O477" s="135"/>
      <c r="P477" s="135"/>
      <c r="Q477" s="135"/>
      <c r="R477" s="135"/>
      <c r="S477" s="135"/>
      <c r="T477" s="136"/>
      <c r="U477" s="135"/>
      <c r="V477" s="140"/>
    </row>
    <row r="478" spans="1:25" x14ac:dyDescent="0.3">
      <c r="A478" s="154">
        <v>43170</v>
      </c>
      <c r="B478" s="129" t="s">
        <v>124</v>
      </c>
      <c r="C478" s="71" t="s">
        <v>88</v>
      </c>
      <c r="D478" s="56">
        <v>29112.58</v>
      </c>
      <c r="E478" s="56">
        <v>28896.83</v>
      </c>
      <c r="F478" s="56">
        <v>28967.66</v>
      </c>
      <c r="G478" s="56">
        <v>28899</v>
      </c>
      <c r="H478" s="56">
        <v>29094.639999999999</v>
      </c>
      <c r="I478" s="56">
        <v>29046.45</v>
      </c>
      <c r="J478" s="56">
        <v>28893.84</v>
      </c>
      <c r="K478" s="56">
        <v>28895.55</v>
      </c>
      <c r="L478" s="56">
        <v>29126.65</v>
      </c>
      <c r="M478" s="69">
        <f>IF((L479=""),"",MAX(D480:K480))</f>
        <v>1939.5300000000025</v>
      </c>
      <c r="N478" s="69">
        <f>IF(L479="","",MIN(D480:K480))</f>
        <v>1538.0999999999985</v>
      </c>
      <c r="O478" s="69">
        <f>IF((K480=""),"",AVERAGE(D480:K480))</f>
        <v>1832.2687500000002</v>
      </c>
      <c r="P478" s="69">
        <v>1600</v>
      </c>
      <c r="Q478" s="69">
        <v>2000</v>
      </c>
      <c r="R478" s="69">
        <f>IF((L479=""),"",((M478-N478)/(M478+N478))*100)</f>
        <v>11.543206149015388</v>
      </c>
      <c r="S478" s="69">
        <v>23</v>
      </c>
      <c r="T478" s="130" t="str">
        <f>IF(L479="","",IF(R479&lt;20,(IF(O478&gt;1730,IF(O478&lt;1970,"Pass","Fail"),"Fail"))))</f>
        <v>Pass</v>
      </c>
      <c r="U478" s="153">
        <v>1335</v>
      </c>
      <c r="V478" s="138"/>
      <c r="W478" s="56">
        <v>1730</v>
      </c>
      <c r="X478" s="56">
        <v>1970</v>
      </c>
      <c r="Y478" s="56">
        <v>6.2</v>
      </c>
    </row>
    <row r="479" spans="1:25" x14ac:dyDescent="0.3">
      <c r="A479" s="155"/>
      <c r="B479" s="147"/>
      <c r="C479" s="71" t="s">
        <v>89</v>
      </c>
      <c r="D479" s="56">
        <v>27218.32</v>
      </c>
      <c r="E479" s="56">
        <v>27034.63</v>
      </c>
      <c r="F479" s="56">
        <v>27429.56</v>
      </c>
      <c r="G479" s="56">
        <v>26991.03</v>
      </c>
      <c r="H479" s="56">
        <v>27240.15</v>
      </c>
      <c r="I479" s="56">
        <v>27106.92</v>
      </c>
      <c r="J479" s="56">
        <v>26978.6</v>
      </c>
      <c r="K479" s="56">
        <v>26989.75</v>
      </c>
      <c r="L479" s="56">
        <v>27391.83</v>
      </c>
      <c r="M479" s="77"/>
      <c r="N479" s="77"/>
      <c r="O479" s="77"/>
      <c r="P479" s="77"/>
      <c r="Q479" s="77"/>
      <c r="R479" s="77"/>
      <c r="S479" s="77"/>
      <c r="T479" s="132"/>
      <c r="U479" s="77"/>
      <c r="V479" s="139"/>
    </row>
    <row r="480" spans="1:25" ht="39.9" x14ac:dyDescent="0.3">
      <c r="A480" s="156"/>
      <c r="B480" s="149"/>
      <c r="C480" s="71" t="s">
        <v>123</v>
      </c>
      <c r="D480" s="38">
        <f t="shared" ref="D480:K480" si="156">IF(((E478="")*AND(E479="")),"",(E478-E479)*1)</f>
        <v>1862.2000000000007</v>
      </c>
      <c r="E480" s="38">
        <f t="shared" si="156"/>
        <v>1538.0999999999985</v>
      </c>
      <c r="F480" s="38">
        <f t="shared" si="156"/>
        <v>1907.9700000000012</v>
      </c>
      <c r="G480" s="38">
        <f t="shared" si="156"/>
        <v>1854.489999999998</v>
      </c>
      <c r="H480" s="38">
        <f t="shared" si="156"/>
        <v>1939.5300000000025</v>
      </c>
      <c r="I480" s="38">
        <f t="shared" si="156"/>
        <v>1915.2400000000016</v>
      </c>
      <c r="J480" s="38">
        <f t="shared" si="156"/>
        <v>1905.7999999999993</v>
      </c>
      <c r="K480" s="38">
        <f t="shared" si="156"/>
        <v>1734.8199999999997</v>
      </c>
      <c r="L480" s="135"/>
      <c r="M480" s="135"/>
      <c r="N480" s="135"/>
      <c r="O480" s="135"/>
      <c r="P480" s="135"/>
      <c r="Q480" s="135"/>
      <c r="R480" s="135"/>
      <c r="S480" s="136"/>
      <c r="T480" s="135"/>
      <c r="U480" s="140"/>
    </row>
    <row r="481" spans="1:25" x14ac:dyDescent="0.3">
      <c r="A481" s="154">
        <v>43188</v>
      </c>
      <c r="B481" s="129" t="s">
        <v>124</v>
      </c>
      <c r="C481" s="71" t="s">
        <v>88</v>
      </c>
      <c r="D481" s="56">
        <v>29091.65</v>
      </c>
      <c r="E481" s="56">
        <v>28913.54</v>
      </c>
      <c r="F481" s="56">
        <v>28919.89</v>
      </c>
      <c r="G481" s="56">
        <v>28913.29</v>
      </c>
      <c r="H481" s="56">
        <v>29116.39</v>
      </c>
      <c r="I481" s="56">
        <v>29064.240000000002</v>
      </c>
      <c r="J481" s="56">
        <v>28896.22</v>
      </c>
      <c r="K481" s="56">
        <v>28916.55</v>
      </c>
      <c r="L481" s="56">
        <v>29129.1</v>
      </c>
      <c r="M481" s="69">
        <f>IF((L482=""),"",MAX(D483:K483))</f>
        <v>2094.0300000000025</v>
      </c>
      <c r="N481" s="69">
        <f>IF(L482="","",MIN(D483:K483))</f>
        <v>1923.880000000001</v>
      </c>
      <c r="O481" s="69">
        <f>IF((K483=""),"",AVERAGE(D483:K483))</f>
        <v>2027.4912500000005</v>
      </c>
      <c r="P481" s="69">
        <v>1600</v>
      </c>
      <c r="Q481" s="69">
        <v>2000</v>
      </c>
      <c r="R481" s="69">
        <f>IF((L482=""),"",((M481-N481)/(M481+N481))*100)</f>
        <v>4.2347887334460284</v>
      </c>
      <c r="S481" s="69">
        <v>23</v>
      </c>
      <c r="T481" s="130" t="str">
        <f>IF(L482="","",IF(R482&lt;20,(IF(O481&gt;1730,IF(O481&lt;1970,"Pass","Fail"),"Fail"))))</f>
        <v>Fail</v>
      </c>
      <c r="U481" s="153">
        <v>1335</v>
      </c>
      <c r="W481" s="56">
        <v>1730</v>
      </c>
      <c r="X481" s="56">
        <v>1970</v>
      </c>
      <c r="Y481" s="56">
        <v>6.2</v>
      </c>
    </row>
    <row r="482" spans="1:25" x14ac:dyDescent="0.3">
      <c r="A482" s="155"/>
      <c r="B482" s="147"/>
      <c r="C482" s="71" t="s">
        <v>89</v>
      </c>
      <c r="D482" s="56">
        <v>27022</v>
      </c>
      <c r="E482" s="56">
        <v>26861.45</v>
      </c>
      <c r="F482" s="56">
        <v>26996.01</v>
      </c>
      <c r="G482" s="56">
        <v>26862.46</v>
      </c>
      <c r="H482" s="56">
        <v>27101.13</v>
      </c>
      <c r="I482" s="56">
        <v>26970.21</v>
      </c>
      <c r="J482" s="56">
        <v>26837.85</v>
      </c>
      <c r="K482" s="56">
        <v>26855.81</v>
      </c>
      <c r="L482" s="56">
        <v>27164.37</v>
      </c>
      <c r="M482" s="77"/>
      <c r="N482" s="77"/>
      <c r="O482" s="77"/>
      <c r="P482" s="77"/>
      <c r="Q482" s="77"/>
      <c r="R482" s="77"/>
      <c r="S482" s="77"/>
      <c r="T482" s="132"/>
      <c r="U482" s="77"/>
    </row>
    <row r="483" spans="1:25" ht="39.9" x14ac:dyDescent="0.3">
      <c r="A483" s="156"/>
      <c r="B483" s="149"/>
      <c r="C483" s="71" t="s">
        <v>123</v>
      </c>
      <c r="D483" s="38">
        <f t="shared" ref="D483:K483" si="157">IF(((E481="")*AND(E482="")),"",(E481-E482)*1)</f>
        <v>2052.09</v>
      </c>
      <c r="E483" s="38">
        <f t="shared" si="157"/>
        <v>1923.880000000001</v>
      </c>
      <c r="F483" s="38">
        <f t="shared" si="157"/>
        <v>2050.8300000000017</v>
      </c>
      <c r="G483" s="38">
        <f t="shared" si="157"/>
        <v>2015.2599999999984</v>
      </c>
      <c r="H483" s="38">
        <f t="shared" si="157"/>
        <v>2094.0300000000025</v>
      </c>
      <c r="I483" s="38">
        <f t="shared" si="157"/>
        <v>2058.3700000000026</v>
      </c>
      <c r="J483" s="38">
        <f t="shared" si="157"/>
        <v>2060.739999999998</v>
      </c>
      <c r="K483" s="38">
        <f t="shared" si="157"/>
        <v>1964.7299999999996</v>
      </c>
      <c r="L483" s="135"/>
      <c r="M483" s="135"/>
      <c r="N483" s="135"/>
      <c r="O483" s="135"/>
      <c r="P483" s="135"/>
      <c r="Q483" s="135"/>
      <c r="R483" s="135"/>
      <c r="S483" s="136"/>
      <c r="T483" s="135"/>
      <c r="U483" s="140"/>
    </row>
    <row r="484" spans="1:25" x14ac:dyDescent="0.3">
      <c r="A484" s="154">
        <v>43188</v>
      </c>
      <c r="B484" s="129" t="s">
        <v>124</v>
      </c>
      <c r="C484" s="71" t="s">
        <v>88</v>
      </c>
      <c r="D484" s="56">
        <v>29021.71</v>
      </c>
      <c r="E484" s="56">
        <v>28947.119999999999</v>
      </c>
      <c r="F484" s="56">
        <v>28929.82</v>
      </c>
      <c r="G484" s="56">
        <v>28889.49</v>
      </c>
      <c r="H484" s="56">
        <v>29062.59</v>
      </c>
      <c r="I484" s="56">
        <v>28996.3</v>
      </c>
      <c r="J484" s="56">
        <v>28906.63</v>
      </c>
      <c r="K484" s="56">
        <v>28892.43</v>
      </c>
      <c r="L484" s="56">
        <v>29081.73</v>
      </c>
      <c r="M484" s="69">
        <f>IF((L485=""),"",MAX(D486:K486))</f>
        <v>3959.6699999999983</v>
      </c>
      <c r="N484" s="69">
        <f>IF(L485="","",MIN(D486:K486))</f>
        <v>3721.4000000000015</v>
      </c>
      <c r="O484" s="69">
        <f>IF((K486=""),"",AVERAGE(D486:K486))</f>
        <v>3880.9300000000003</v>
      </c>
      <c r="P484" s="69">
        <v>1600</v>
      </c>
      <c r="Q484" s="69">
        <v>2000</v>
      </c>
      <c r="R484" s="69">
        <f>IF((L485=""),"",((M484-N484)/(M484+N484))*100)</f>
        <v>3.10204177282588</v>
      </c>
      <c r="S484" s="69">
        <v>23</v>
      </c>
      <c r="T484" s="130" t="str">
        <f>IF(L485="","",IF(R485&lt;20,(IF(O484&gt;1730,IF(O484&lt;1970,"Pass","Fail"),"Fail"))))</f>
        <v>Fail</v>
      </c>
      <c r="U484" s="153">
        <v>1335</v>
      </c>
      <c r="W484" s="56">
        <v>1730</v>
      </c>
      <c r="X484" s="56">
        <v>1970</v>
      </c>
      <c r="Y484" s="56">
        <v>6.2</v>
      </c>
    </row>
    <row r="485" spans="1:25" x14ac:dyDescent="0.3">
      <c r="A485" s="155"/>
      <c r="B485" s="147"/>
      <c r="C485" s="71" t="s">
        <v>89</v>
      </c>
      <c r="D485" s="56">
        <v>25117.16</v>
      </c>
      <c r="E485" s="56">
        <v>24987.45</v>
      </c>
      <c r="F485" s="56">
        <v>25208.42</v>
      </c>
      <c r="G485" s="56">
        <v>24978.02</v>
      </c>
      <c r="H485" s="56">
        <v>25211.82</v>
      </c>
      <c r="I485" s="56">
        <v>25038.77</v>
      </c>
      <c r="J485" s="56">
        <v>24953.01</v>
      </c>
      <c r="K485" s="56">
        <v>24959.52</v>
      </c>
      <c r="L485" s="56">
        <v>25321.66</v>
      </c>
      <c r="M485" s="77"/>
      <c r="N485" s="77"/>
      <c r="O485" s="77"/>
      <c r="P485" s="77"/>
      <c r="Q485" s="77"/>
      <c r="R485" s="77"/>
      <c r="S485" s="77"/>
      <c r="T485" s="132"/>
      <c r="U485" s="77"/>
    </row>
    <row r="486" spans="1:25" ht="39.9" x14ac:dyDescent="0.3">
      <c r="A486" s="156"/>
      <c r="B486" s="149"/>
      <c r="C486" s="71" t="s">
        <v>123</v>
      </c>
      <c r="D486" s="38">
        <f t="shared" ref="D486:K486" si="158">IF(((E484="")*AND(E485="")),"",(E484-E485)*1)</f>
        <v>3959.6699999999983</v>
      </c>
      <c r="E486" s="38">
        <f t="shared" si="158"/>
        <v>3721.4000000000015</v>
      </c>
      <c r="F486" s="38">
        <f t="shared" si="158"/>
        <v>3911.4700000000012</v>
      </c>
      <c r="G486" s="38">
        <f t="shared" si="158"/>
        <v>3850.7700000000004</v>
      </c>
      <c r="H486" s="38">
        <f t="shared" si="158"/>
        <v>3957.5299999999988</v>
      </c>
      <c r="I486" s="38">
        <f t="shared" si="158"/>
        <v>3953.6200000000026</v>
      </c>
      <c r="J486" s="38">
        <f t="shared" si="158"/>
        <v>3932.91</v>
      </c>
      <c r="K486" s="38">
        <f t="shared" si="158"/>
        <v>3760.0699999999997</v>
      </c>
      <c r="L486" s="135"/>
      <c r="M486" s="135"/>
      <c r="N486" s="135"/>
      <c r="O486" s="135"/>
      <c r="P486" s="135"/>
      <c r="Q486" s="135"/>
      <c r="R486" s="135"/>
      <c r="S486" s="136"/>
      <c r="T486" s="135"/>
      <c r="U486" s="140"/>
    </row>
    <row r="487" spans="1:25" x14ac:dyDescent="0.3">
      <c r="A487" s="154">
        <v>43189</v>
      </c>
      <c r="B487" s="129" t="s">
        <v>124</v>
      </c>
      <c r="C487" s="71" t="s">
        <v>88</v>
      </c>
      <c r="D487" s="56">
        <v>29094.63</v>
      </c>
      <c r="E487" s="56">
        <v>28840.32</v>
      </c>
      <c r="F487" s="56">
        <v>28886.05</v>
      </c>
      <c r="G487" s="56">
        <v>28857.75</v>
      </c>
      <c r="H487" s="56">
        <v>29119.5</v>
      </c>
      <c r="I487" s="56">
        <v>29006.74</v>
      </c>
      <c r="J487" s="56">
        <v>28817.48</v>
      </c>
      <c r="K487" s="56">
        <v>28893.53</v>
      </c>
      <c r="L487" s="56">
        <v>29137.47</v>
      </c>
      <c r="M487" s="69">
        <f>IF((L488=""),"",MAX(D489:L489))</f>
        <v>4190.010000000002</v>
      </c>
      <c r="N487" s="69">
        <f>IF(L488="","",MIN(D489:L489))</f>
        <v>1851.4300000000003</v>
      </c>
      <c r="O487" s="69">
        <f>IF((L489=""),"",AVERAGE(D489:L489))</f>
        <v>2157.322222222223</v>
      </c>
      <c r="P487" s="69">
        <v>1600</v>
      </c>
      <c r="Q487" s="69">
        <v>2000</v>
      </c>
      <c r="R487" s="69">
        <f>IF((L488=""),"",((M487-N487)/(M487+N487))*100)</f>
        <v>38.708983288752364</v>
      </c>
      <c r="S487" s="69">
        <v>23</v>
      </c>
      <c r="T487" s="130" t="str">
        <f>IF(L488="","",IF(R488&lt;20,(IF(O487&gt;1730,IF(O487&lt;1970,"Pass","Fail"),"Fail"))))</f>
        <v>Fail</v>
      </c>
      <c r="U487" s="153">
        <v>1335</v>
      </c>
      <c r="W487" s="56">
        <v>1730</v>
      </c>
      <c r="X487" s="56">
        <v>1970</v>
      </c>
      <c r="Y487" s="56">
        <v>6.2</v>
      </c>
    </row>
    <row r="488" spans="1:25" x14ac:dyDescent="0.3">
      <c r="A488" s="155"/>
      <c r="B488" s="147"/>
      <c r="C488" s="71" t="s">
        <v>89</v>
      </c>
      <c r="D488" s="56">
        <v>27125.14</v>
      </c>
      <c r="E488" s="56">
        <v>26988.89</v>
      </c>
      <c r="F488" s="56">
        <v>26984.01</v>
      </c>
      <c r="G488" s="56">
        <v>26976.77</v>
      </c>
      <c r="H488" s="56">
        <v>27206.04</v>
      </c>
      <c r="I488" s="56">
        <v>27102.82</v>
      </c>
      <c r="J488" s="56">
        <v>26955.75</v>
      </c>
      <c r="K488" s="56">
        <v>26950.69</v>
      </c>
      <c r="L488" s="56">
        <v>24947.46</v>
      </c>
      <c r="M488" s="77"/>
      <c r="N488" s="77"/>
      <c r="O488" s="77"/>
      <c r="P488" s="77"/>
      <c r="Q488" s="77"/>
      <c r="R488" s="77"/>
      <c r="S488" s="77"/>
      <c r="T488" s="132"/>
      <c r="U488" s="77"/>
    </row>
    <row r="489" spans="1:25" ht="39.9" x14ac:dyDescent="0.3">
      <c r="A489" s="156"/>
      <c r="B489" s="149"/>
      <c r="C489" s="71" t="s">
        <v>123</v>
      </c>
      <c r="D489" s="38">
        <f t="shared" ref="D489:L489" si="159">IF(((D487="")*AND(D488="")),"",(D487-D488)*1)</f>
        <v>1969.4900000000016</v>
      </c>
      <c r="E489" s="38">
        <f t="shared" si="159"/>
        <v>1851.4300000000003</v>
      </c>
      <c r="F489" s="38">
        <f t="shared" si="159"/>
        <v>1902.0400000000009</v>
      </c>
      <c r="G489" s="38">
        <f t="shared" si="159"/>
        <v>1880.9799999999996</v>
      </c>
      <c r="H489" s="38">
        <f t="shared" si="159"/>
        <v>1913.4599999999991</v>
      </c>
      <c r="I489" s="38">
        <f t="shared" si="159"/>
        <v>1903.9200000000019</v>
      </c>
      <c r="J489" s="38">
        <f t="shared" si="159"/>
        <v>1861.7299999999996</v>
      </c>
      <c r="K489" s="38">
        <f t="shared" si="159"/>
        <v>1942.8400000000001</v>
      </c>
      <c r="L489" s="38">
        <f t="shared" si="159"/>
        <v>4190.010000000002</v>
      </c>
      <c r="M489" s="135"/>
      <c r="N489" s="135"/>
      <c r="O489" s="135"/>
      <c r="P489" s="135"/>
      <c r="Q489" s="135"/>
      <c r="R489" s="135"/>
      <c r="S489" s="135"/>
      <c r="T489" s="136"/>
      <c r="U489" s="135"/>
    </row>
    <row r="490" spans="1:25" x14ac:dyDescent="0.3">
      <c r="A490" s="154">
        <v>43189</v>
      </c>
      <c r="B490" s="129" t="s">
        <v>124</v>
      </c>
      <c r="C490" s="71" t="s">
        <v>88</v>
      </c>
      <c r="D490" s="56">
        <v>29060.3</v>
      </c>
      <c r="E490" s="56">
        <v>28871.59</v>
      </c>
      <c r="F490" s="56">
        <v>28926.94</v>
      </c>
      <c r="G490" s="56">
        <v>28870.18</v>
      </c>
      <c r="H490" s="56">
        <v>29038.720000000001</v>
      </c>
      <c r="I490" s="56">
        <v>29004.63</v>
      </c>
      <c r="J490" s="56">
        <v>28861.040000000001</v>
      </c>
      <c r="K490" s="56">
        <v>28873.43</v>
      </c>
      <c r="L490" s="56">
        <v>29124.799999999999</v>
      </c>
      <c r="M490" s="69">
        <f>IF((L491=""),"",MAX(D492:L492))</f>
        <v>1934.9600000000028</v>
      </c>
      <c r="N490" s="69">
        <f>IF(L491="","",MIN(D492:L492))</f>
        <v>1833.5499999999993</v>
      </c>
      <c r="O490" s="69">
        <f>IF((L492=""),"",AVERAGE(D492:L492))</f>
        <v>1883.7855555555559</v>
      </c>
      <c r="P490" s="69">
        <v>1600</v>
      </c>
      <c r="Q490" s="69">
        <v>2000</v>
      </c>
      <c r="R490" s="69">
        <f>IF((L491=""),"",((M490-N490)/(M490+N490))*100)</f>
        <v>2.6909839697918656</v>
      </c>
      <c r="S490" s="69">
        <v>23</v>
      </c>
      <c r="T490" s="130" t="str">
        <f>IF(L491="","",IF(R491&lt;20,(IF(O490&gt;1730,IF(O490&lt;1970,"Pass","Fail"),"Fail"))))</f>
        <v>Pass</v>
      </c>
      <c r="U490" s="153">
        <v>1335</v>
      </c>
      <c r="W490" s="56">
        <v>1730</v>
      </c>
      <c r="X490" s="56">
        <v>1970</v>
      </c>
      <c r="Y490" s="56">
        <v>6.2</v>
      </c>
    </row>
    <row r="491" spans="1:25" x14ac:dyDescent="0.3">
      <c r="A491" s="155"/>
      <c r="B491" s="147"/>
      <c r="C491" s="71" t="s">
        <v>89</v>
      </c>
      <c r="D491" s="56">
        <v>27154.52</v>
      </c>
      <c r="E491" s="56">
        <v>26987.21</v>
      </c>
      <c r="F491" s="56">
        <v>27090.639999999999</v>
      </c>
      <c r="G491" s="56">
        <v>26987.72</v>
      </c>
      <c r="H491" s="56">
        <v>27144.639999999999</v>
      </c>
      <c r="I491" s="56">
        <v>27069.67</v>
      </c>
      <c r="J491" s="56">
        <v>26974.880000000001</v>
      </c>
      <c r="K491" s="56">
        <v>26977.03</v>
      </c>
      <c r="L491" s="56">
        <v>27291.25</v>
      </c>
      <c r="M491" s="77"/>
      <c r="N491" s="77"/>
      <c r="O491" s="77"/>
      <c r="P491" s="77"/>
      <c r="Q491" s="77"/>
      <c r="R491" s="77"/>
      <c r="S491" s="77"/>
      <c r="T491" s="132"/>
      <c r="U491" s="77"/>
    </row>
    <row r="492" spans="1:25" ht="39.9" x14ac:dyDescent="0.3">
      <c r="A492" s="156"/>
      <c r="B492" s="149"/>
      <c r="C492" s="71" t="s">
        <v>123</v>
      </c>
      <c r="D492" s="38">
        <f t="shared" ref="D492:L492" si="160">IF(((D490="")*AND(D491="")),"",(D490-D491)*1)</f>
        <v>1905.7799999999988</v>
      </c>
      <c r="E492" s="38">
        <f t="shared" si="160"/>
        <v>1884.380000000001</v>
      </c>
      <c r="F492" s="38">
        <f t="shared" si="160"/>
        <v>1836.2999999999993</v>
      </c>
      <c r="G492" s="38">
        <f t="shared" si="160"/>
        <v>1882.4599999999991</v>
      </c>
      <c r="H492" s="38">
        <f t="shared" si="160"/>
        <v>1894.0800000000017</v>
      </c>
      <c r="I492" s="38">
        <f t="shared" si="160"/>
        <v>1934.9600000000028</v>
      </c>
      <c r="J492" s="38">
        <f t="shared" si="160"/>
        <v>1886.1599999999999</v>
      </c>
      <c r="K492" s="38">
        <f t="shared" si="160"/>
        <v>1896.4000000000015</v>
      </c>
      <c r="L492" s="38">
        <f t="shared" si="160"/>
        <v>1833.5499999999993</v>
      </c>
      <c r="M492" s="135"/>
      <c r="N492" s="135"/>
      <c r="O492" s="135"/>
      <c r="P492" s="135"/>
      <c r="Q492" s="135"/>
      <c r="R492" s="135"/>
      <c r="S492" s="135"/>
      <c r="T492" s="136"/>
      <c r="U492" s="135"/>
    </row>
    <row r="493" spans="1:25" x14ac:dyDescent="0.3">
      <c r="A493" s="154">
        <v>43193</v>
      </c>
      <c r="B493" s="129" t="s">
        <v>124</v>
      </c>
      <c r="C493" s="71" t="s">
        <v>88</v>
      </c>
      <c r="D493" s="56">
        <v>29188.05</v>
      </c>
      <c r="E493" s="56">
        <v>29048.13</v>
      </c>
      <c r="F493" s="56">
        <v>29127.58</v>
      </c>
      <c r="G493" s="56">
        <v>29069.88</v>
      </c>
      <c r="H493" s="56">
        <v>29314.29</v>
      </c>
      <c r="I493" s="56">
        <v>29247.4</v>
      </c>
      <c r="J493" s="56">
        <v>29064.22</v>
      </c>
      <c r="K493" s="56">
        <v>29041.32</v>
      </c>
      <c r="L493" s="56">
        <v>29237.91</v>
      </c>
      <c r="M493" s="69">
        <f>IF((L494=""),"",MAX(D495:L495))</f>
        <v>1955.3900000000031</v>
      </c>
      <c r="N493" s="69">
        <f>IF(L494="","",MIN(D495:L495))</f>
        <v>1774</v>
      </c>
      <c r="O493" s="69">
        <f>IF((L495=""),"",AVERAGE(D495:L495))</f>
        <v>1882.1955555555562</v>
      </c>
      <c r="P493" s="69">
        <v>1600</v>
      </c>
      <c r="Q493" s="69">
        <v>2000</v>
      </c>
      <c r="R493" s="69">
        <f>IF((L494=""),"",((M493-N493)/(M493+N493))*100)</f>
        <v>4.8637981010300049</v>
      </c>
      <c r="S493" s="69">
        <v>23</v>
      </c>
      <c r="T493" s="130" t="str">
        <f>IF(L494="","",IF(R494&lt;20,(IF(O493&gt;1730,IF(O493&lt;1970,"Pass","Fail"),"Fail"))))</f>
        <v>Pass</v>
      </c>
      <c r="U493" s="153">
        <v>1335</v>
      </c>
      <c r="W493" s="56">
        <v>1730</v>
      </c>
      <c r="X493" s="56">
        <v>1970</v>
      </c>
      <c r="Y493" s="56">
        <v>6.2</v>
      </c>
    </row>
    <row r="494" spans="1:25" x14ac:dyDescent="0.3">
      <c r="A494" s="155"/>
      <c r="B494" s="147"/>
      <c r="C494" s="71" t="s">
        <v>89</v>
      </c>
      <c r="D494" s="56">
        <v>27287.86</v>
      </c>
      <c r="E494" s="56">
        <v>27182.400000000001</v>
      </c>
      <c r="F494" s="56">
        <v>27353.58</v>
      </c>
      <c r="G494" s="56">
        <v>27171.41</v>
      </c>
      <c r="H494" s="56">
        <v>27387.69</v>
      </c>
      <c r="I494" s="56">
        <v>27292.01</v>
      </c>
      <c r="J494" s="56">
        <v>27171.96</v>
      </c>
      <c r="K494" s="56">
        <v>27157.57</v>
      </c>
      <c r="L494" s="56">
        <v>27394.54</v>
      </c>
      <c r="M494" s="77"/>
      <c r="N494" s="77"/>
      <c r="O494" s="77"/>
      <c r="P494" s="77"/>
      <c r="Q494" s="77"/>
      <c r="R494" s="77"/>
      <c r="S494" s="77"/>
      <c r="T494" s="132"/>
      <c r="U494" s="77"/>
    </row>
    <row r="495" spans="1:25" ht="39.9" x14ac:dyDescent="0.3">
      <c r="A495" s="156"/>
      <c r="B495" s="149"/>
      <c r="C495" s="71" t="s">
        <v>123</v>
      </c>
      <c r="D495" s="38">
        <f t="shared" ref="D495:L495" si="161">IF(((D493="")*AND(D494="")),"",(D493-D494)*1)</f>
        <v>1900.1899999999987</v>
      </c>
      <c r="E495" s="38">
        <f t="shared" si="161"/>
        <v>1865.7299999999996</v>
      </c>
      <c r="F495" s="38">
        <f t="shared" si="161"/>
        <v>1774</v>
      </c>
      <c r="G495" s="38">
        <f t="shared" si="161"/>
        <v>1898.4700000000012</v>
      </c>
      <c r="H495" s="38">
        <f t="shared" si="161"/>
        <v>1926.6000000000022</v>
      </c>
      <c r="I495" s="38">
        <f t="shared" si="161"/>
        <v>1955.3900000000031</v>
      </c>
      <c r="J495" s="38">
        <f t="shared" si="161"/>
        <v>1892.260000000002</v>
      </c>
      <c r="K495" s="38">
        <f t="shared" si="161"/>
        <v>1883.75</v>
      </c>
      <c r="L495" s="38">
        <f t="shared" si="161"/>
        <v>1843.369999999999</v>
      </c>
      <c r="M495" s="135"/>
      <c r="N495" s="135"/>
      <c r="O495" s="135"/>
      <c r="P495" s="135"/>
      <c r="Q495" s="135"/>
      <c r="R495" s="135"/>
      <c r="S495" s="135"/>
      <c r="T495" s="136"/>
      <c r="U495" s="135"/>
    </row>
    <row r="496" spans="1:25" x14ac:dyDescent="0.3">
      <c r="A496" s="154">
        <v>43195</v>
      </c>
      <c r="B496" s="129" t="s">
        <v>124</v>
      </c>
      <c r="C496" s="71" t="s">
        <v>88</v>
      </c>
      <c r="D496" s="56">
        <v>29392.18</v>
      </c>
      <c r="E496" s="56">
        <v>29253.759999999998</v>
      </c>
      <c r="F496" s="56">
        <v>29282.68</v>
      </c>
      <c r="G496" s="56">
        <v>29219.05</v>
      </c>
      <c r="H496" s="56">
        <v>29431.45</v>
      </c>
      <c r="I496" s="56">
        <v>29379.16</v>
      </c>
      <c r="J496" s="56">
        <v>29216.5</v>
      </c>
      <c r="K496" s="56">
        <v>29233.13</v>
      </c>
      <c r="L496" s="56">
        <v>29443.74</v>
      </c>
      <c r="M496" s="69">
        <f>IF((L497=""),"",MAX(D498:L498))</f>
        <v>1988.8100000000013</v>
      </c>
      <c r="N496" s="69">
        <f>IF(L497="","",MIN(D498:L498))</f>
        <v>1857.7200000000012</v>
      </c>
      <c r="O496" s="69">
        <f>IF((L498=""),"",AVERAGE(D498:L498))</f>
        <v>1915.1222222222225</v>
      </c>
      <c r="P496" s="69">
        <v>1600</v>
      </c>
      <c r="Q496" s="69">
        <v>2000</v>
      </c>
      <c r="R496" s="69">
        <f>IF((L497=""),"",((M496-N496)/(M496+N496))*100)</f>
        <v>3.4080066969450402</v>
      </c>
      <c r="S496" s="69">
        <v>23</v>
      </c>
      <c r="T496" s="130" t="str">
        <f>IF(L497="","",IF(R497&lt;20,(IF(O496&gt;1730,IF(O496&lt;1970,"Pass","Fail"),"Fail"))))</f>
        <v>Pass</v>
      </c>
      <c r="U496" s="153">
        <v>102</v>
      </c>
      <c r="W496" s="56">
        <v>1730</v>
      </c>
      <c r="X496" s="56">
        <v>1970</v>
      </c>
      <c r="Y496" s="56">
        <v>6.2</v>
      </c>
    </row>
    <row r="497" spans="1:25" x14ac:dyDescent="0.3">
      <c r="A497" s="155"/>
      <c r="B497" s="147"/>
      <c r="C497" s="71" t="s">
        <v>89</v>
      </c>
      <c r="D497" s="56">
        <v>27467.040000000001</v>
      </c>
      <c r="E497" s="56">
        <v>27357.200000000001</v>
      </c>
      <c r="F497" s="56">
        <v>27424.959999999999</v>
      </c>
      <c r="G497" s="56">
        <v>27313.22</v>
      </c>
      <c r="H497" s="56">
        <v>27483.68</v>
      </c>
      <c r="I497" s="56">
        <v>27390.35</v>
      </c>
      <c r="J497" s="56">
        <v>27309.32</v>
      </c>
      <c r="K497" s="56">
        <v>27308.32</v>
      </c>
      <c r="L497" s="56">
        <v>27561.46</v>
      </c>
      <c r="M497" s="77"/>
      <c r="N497" s="77"/>
      <c r="O497" s="77"/>
      <c r="P497" s="77"/>
      <c r="Q497" s="77"/>
      <c r="R497" s="77"/>
      <c r="S497" s="77"/>
      <c r="T497" s="132"/>
      <c r="U497" s="77"/>
    </row>
    <row r="498" spans="1:25" ht="39.9" x14ac:dyDescent="0.3">
      <c r="A498" s="156"/>
      <c r="B498" s="149"/>
      <c r="C498" s="71" t="s">
        <v>123</v>
      </c>
      <c r="D498" s="38">
        <f t="shared" ref="D498:L498" si="162">IF(((D496="")*AND(D497="")),"",(D496-D497)*1)</f>
        <v>1925.1399999999994</v>
      </c>
      <c r="E498" s="38">
        <f t="shared" si="162"/>
        <v>1896.5599999999977</v>
      </c>
      <c r="F498" s="38">
        <f t="shared" si="162"/>
        <v>1857.7200000000012</v>
      </c>
      <c r="G498" s="38">
        <f t="shared" si="162"/>
        <v>1905.8299999999981</v>
      </c>
      <c r="H498" s="38">
        <f t="shared" si="162"/>
        <v>1947.7700000000004</v>
      </c>
      <c r="I498" s="38">
        <f t="shared" si="162"/>
        <v>1988.8100000000013</v>
      </c>
      <c r="J498" s="38">
        <f t="shared" si="162"/>
        <v>1907.1800000000003</v>
      </c>
      <c r="K498" s="38">
        <f t="shared" si="162"/>
        <v>1924.8100000000013</v>
      </c>
      <c r="L498" s="38">
        <f t="shared" si="162"/>
        <v>1882.2800000000025</v>
      </c>
      <c r="M498" s="135"/>
      <c r="N498" s="135"/>
      <c r="O498" s="135"/>
      <c r="P498" s="135"/>
      <c r="Q498" s="135"/>
      <c r="R498" s="135"/>
      <c r="S498" s="135"/>
      <c r="T498" s="136"/>
      <c r="U498" s="135"/>
    </row>
    <row r="499" spans="1:25" x14ac:dyDescent="0.3">
      <c r="A499" s="154">
        <v>43201</v>
      </c>
      <c r="B499" s="129" t="s">
        <v>124</v>
      </c>
      <c r="C499" s="71" t="s">
        <v>88</v>
      </c>
      <c r="D499" s="56">
        <v>29372.62</v>
      </c>
      <c r="E499" s="56">
        <v>29231.17</v>
      </c>
      <c r="F499" s="56">
        <v>29275.86</v>
      </c>
      <c r="G499" s="56">
        <v>29229.11</v>
      </c>
      <c r="H499" s="56">
        <v>29472.36</v>
      </c>
      <c r="I499" s="56">
        <v>29418.18</v>
      </c>
      <c r="J499" s="56">
        <v>29223.42</v>
      </c>
      <c r="K499" s="56">
        <v>29222.7</v>
      </c>
      <c r="L499" s="56">
        <v>29427.040000000001</v>
      </c>
      <c r="M499" s="69">
        <f>IF((L500=""),"",MAX(D501:L501))</f>
        <v>1951.6399999999994</v>
      </c>
      <c r="N499" s="69">
        <f>IF(L500="","",MIN(D501:L501))</f>
        <v>1789.3400000000001</v>
      </c>
      <c r="O499" s="69">
        <f>IF((L501=""),"",AVERAGE(D501:L501))</f>
        <v>1865.8377777777775</v>
      </c>
      <c r="P499" s="69">
        <v>1600</v>
      </c>
      <c r="Q499" s="69">
        <v>2000</v>
      </c>
      <c r="R499" s="69">
        <f>IF((L500=""),"",((M499-N499)/(M499+N499))*100)</f>
        <v>4.338435383241805</v>
      </c>
      <c r="S499" s="69">
        <v>23</v>
      </c>
      <c r="T499" s="130" t="str">
        <f>IF(L500="","",IF(R500&lt;20,(IF(O499&gt;1730,IF(O499&lt;1970,"Pass","Fail"),"Fail"))))</f>
        <v>Pass</v>
      </c>
      <c r="U499" s="153">
        <v>74</v>
      </c>
      <c r="V499" s="150" t="s">
        <v>129</v>
      </c>
      <c r="W499" s="56">
        <v>1730</v>
      </c>
      <c r="X499" s="56">
        <v>1970</v>
      </c>
      <c r="Y499" s="56">
        <v>6.2</v>
      </c>
    </row>
    <row r="500" spans="1:25" x14ac:dyDescent="0.3">
      <c r="A500" s="155"/>
      <c r="B500" s="147"/>
      <c r="C500" s="71" t="s">
        <v>89</v>
      </c>
      <c r="D500" s="56">
        <v>27466.37</v>
      </c>
      <c r="E500" s="56">
        <v>27388.9</v>
      </c>
      <c r="F500" s="56">
        <v>27486.52</v>
      </c>
      <c r="G500" s="56">
        <v>27369.96</v>
      </c>
      <c r="H500" s="56">
        <v>27565.42</v>
      </c>
      <c r="I500" s="56">
        <v>27466.54</v>
      </c>
      <c r="J500" s="56">
        <v>27370.560000000001</v>
      </c>
      <c r="K500" s="56">
        <v>27373.84</v>
      </c>
      <c r="L500" s="56">
        <v>27591.81</v>
      </c>
      <c r="M500" s="77"/>
      <c r="N500" s="77"/>
      <c r="O500" s="77"/>
      <c r="P500" s="77"/>
      <c r="Q500" s="77"/>
      <c r="R500" s="77"/>
      <c r="S500" s="77"/>
      <c r="T500" s="132"/>
      <c r="U500" s="77"/>
    </row>
    <row r="501" spans="1:25" ht="39.9" x14ac:dyDescent="0.3">
      <c r="A501" s="156"/>
      <c r="B501" s="149"/>
      <c r="C501" s="71" t="s">
        <v>123</v>
      </c>
      <c r="D501" s="38">
        <f t="shared" ref="D501:L501" si="163">IF(((D499="")*AND(D500="")),"",(D499-D500)*1)</f>
        <v>1906.25</v>
      </c>
      <c r="E501" s="38">
        <f t="shared" si="163"/>
        <v>1842.2699999999968</v>
      </c>
      <c r="F501" s="38">
        <f t="shared" si="163"/>
        <v>1789.3400000000001</v>
      </c>
      <c r="G501" s="38">
        <f t="shared" si="163"/>
        <v>1859.1500000000015</v>
      </c>
      <c r="H501" s="38">
        <f t="shared" si="163"/>
        <v>1906.9400000000023</v>
      </c>
      <c r="I501" s="38">
        <f t="shared" si="163"/>
        <v>1951.6399999999994</v>
      </c>
      <c r="J501" s="38">
        <f t="shared" si="163"/>
        <v>1852.8599999999969</v>
      </c>
      <c r="K501" s="38">
        <f t="shared" si="163"/>
        <v>1848.8600000000006</v>
      </c>
      <c r="L501" s="38">
        <f t="shared" si="163"/>
        <v>1835.2299999999996</v>
      </c>
      <c r="M501" s="135"/>
      <c r="N501" s="135"/>
      <c r="O501" s="135"/>
      <c r="P501" s="135"/>
      <c r="Q501" s="135"/>
      <c r="R501" s="135"/>
      <c r="S501" s="135"/>
      <c r="T501" s="136"/>
      <c r="U501" s="135"/>
    </row>
    <row r="502" spans="1:25" x14ac:dyDescent="0.3">
      <c r="A502" s="154">
        <v>43202</v>
      </c>
      <c r="B502" s="129" t="s">
        <v>124</v>
      </c>
      <c r="C502" s="71" t="s">
        <v>88</v>
      </c>
      <c r="D502" s="56">
        <v>29273.09</v>
      </c>
      <c r="E502" s="56">
        <v>29121.3</v>
      </c>
      <c r="F502" s="56">
        <v>29127.67</v>
      </c>
      <c r="G502" s="56">
        <v>29066.55</v>
      </c>
      <c r="H502" s="56">
        <v>29241.71</v>
      </c>
      <c r="I502" s="56">
        <v>29191.759999999998</v>
      </c>
      <c r="J502" s="56">
        <v>29105.82</v>
      </c>
      <c r="K502" s="56">
        <v>29053.29</v>
      </c>
      <c r="L502" s="56">
        <v>29276.61</v>
      </c>
      <c r="M502" s="69">
        <f>IF((L503=""),"",MAX(D504:L504))</f>
        <v>1970.3899999999994</v>
      </c>
      <c r="N502" s="69">
        <f>IF(L503="","",MIN(D504:L504))</f>
        <v>1711.3399999999965</v>
      </c>
      <c r="O502" s="69">
        <f>IF((L504=""),"",AVERAGE(D504:L504))</f>
        <v>1898.1411111111104</v>
      </c>
      <c r="P502" s="69">
        <v>1600</v>
      </c>
      <c r="Q502" s="69">
        <v>2000</v>
      </c>
      <c r="R502" s="69">
        <f>IF((L503=""),"",((M502-N502)/(M502+N502))*100)</f>
        <v>7.0360944447312317</v>
      </c>
      <c r="S502" s="69">
        <v>23</v>
      </c>
      <c r="T502" s="130" t="str">
        <f>IF(L503="","",IF(R503&lt;20,(IF(O502&gt;1730,IF(O502&lt;1970,"Pass","Fail"),"Fail"))))</f>
        <v>Pass</v>
      </c>
      <c r="U502" s="153">
        <v>102</v>
      </c>
      <c r="W502" s="56">
        <v>1730</v>
      </c>
      <c r="X502" s="56">
        <v>1970</v>
      </c>
      <c r="Y502" s="56">
        <v>6.2</v>
      </c>
    </row>
    <row r="503" spans="1:25" x14ac:dyDescent="0.3">
      <c r="A503" s="155"/>
      <c r="B503" s="147"/>
      <c r="C503" s="71" t="s">
        <v>89</v>
      </c>
      <c r="D503" s="56">
        <v>27340.05</v>
      </c>
      <c r="E503" s="56">
        <v>27196.66</v>
      </c>
      <c r="F503" s="56">
        <v>27416.33</v>
      </c>
      <c r="G503" s="56">
        <v>27158.58</v>
      </c>
      <c r="H503" s="56">
        <v>27301.4</v>
      </c>
      <c r="I503" s="56">
        <v>27232.62</v>
      </c>
      <c r="J503" s="56">
        <v>27135.43</v>
      </c>
      <c r="K503" s="56">
        <v>27156.94</v>
      </c>
      <c r="L503" s="56">
        <v>27436.52</v>
      </c>
      <c r="M503" s="77"/>
      <c r="N503" s="77"/>
      <c r="O503" s="77"/>
      <c r="P503" s="77"/>
      <c r="Q503" s="77"/>
      <c r="R503" s="77"/>
      <c r="S503" s="77"/>
      <c r="T503" s="132"/>
      <c r="U503" s="77"/>
    </row>
    <row r="504" spans="1:25" ht="39.9" x14ac:dyDescent="0.3">
      <c r="A504" s="156"/>
      <c r="B504" s="149"/>
      <c r="C504" s="71" t="s">
        <v>123</v>
      </c>
      <c r="D504" s="38">
        <f t="shared" ref="D504:L504" si="164">IF(((D502="")*AND(D503="")),"",(D502-D503)*1)</f>
        <v>1933.0400000000009</v>
      </c>
      <c r="E504" s="38">
        <f t="shared" si="164"/>
        <v>1924.6399999999994</v>
      </c>
      <c r="F504" s="38">
        <f t="shared" si="164"/>
        <v>1711.3399999999965</v>
      </c>
      <c r="G504" s="38">
        <f t="shared" si="164"/>
        <v>1907.9699999999975</v>
      </c>
      <c r="H504" s="38">
        <f t="shared" si="164"/>
        <v>1940.3099999999977</v>
      </c>
      <c r="I504" s="38">
        <f t="shared" si="164"/>
        <v>1959.1399999999994</v>
      </c>
      <c r="J504" s="38">
        <f t="shared" si="164"/>
        <v>1970.3899999999994</v>
      </c>
      <c r="K504" s="38">
        <f t="shared" si="164"/>
        <v>1896.3500000000022</v>
      </c>
      <c r="L504" s="38">
        <f t="shared" si="164"/>
        <v>1840.0900000000001</v>
      </c>
      <c r="M504" s="135"/>
      <c r="N504" s="135"/>
      <c r="O504" s="135"/>
      <c r="P504" s="135"/>
      <c r="Q504" s="135"/>
      <c r="R504" s="135"/>
      <c r="S504" s="135"/>
      <c r="T504" s="136"/>
      <c r="U504" s="135"/>
    </row>
    <row r="505" spans="1:25" x14ac:dyDescent="0.3">
      <c r="A505" s="154">
        <v>43214</v>
      </c>
      <c r="B505" s="129" t="s">
        <v>124</v>
      </c>
      <c r="C505" s="71" t="s">
        <v>88</v>
      </c>
      <c r="D505" s="56">
        <v>29191.85</v>
      </c>
      <c r="E505" s="56">
        <v>28998.47</v>
      </c>
      <c r="F505" s="56">
        <v>29009.66</v>
      </c>
      <c r="G505" s="56">
        <v>29012.85</v>
      </c>
      <c r="H505" s="56">
        <v>29271.81</v>
      </c>
      <c r="I505" s="56">
        <v>29188.71</v>
      </c>
      <c r="J505" s="56">
        <v>29002.27</v>
      </c>
      <c r="K505" s="56">
        <v>29018.12</v>
      </c>
      <c r="L505" s="56">
        <v>29241.21</v>
      </c>
      <c r="M505" s="69">
        <f>IF((L506=""),"",MAX(D507:L507))</f>
        <v>1957.5999999999985</v>
      </c>
      <c r="N505" s="69">
        <f>IF(L506="","",MIN(D507:L507))</f>
        <v>1811.25</v>
      </c>
      <c r="O505" s="69">
        <f>IF((L507=""),"",AVERAGE(D507:L507))</f>
        <v>1900.7422222222219</v>
      </c>
      <c r="P505" s="69">
        <v>1600</v>
      </c>
      <c r="Q505" s="69">
        <v>2000</v>
      </c>
      <c r="R505" s="69">
        <f>IF((L506=""),"",((M505-N505)/(M505+N505))*100)</f>
        <v>3.8831473791739817</v>
      </c>
      <c r="S505" s="69">
        <v>23</v>
      </c>
      <c r="T505" s="130" t="str">
        <f>IF(L506="","",IF(R506&lt;20,(IF(O505&gt;1730,IF(O505&lt;1970,"Pass","Fail"),"Fail"))))</f>
        <v>Pass</v>
      </c>
      <c r="U505" s="153">
        <v>102</v>
      </c>
      <c r="W505" s="56">
        <v>1730</v>
      </c>
      <c r="X505" s="56">
        <v>1970</v>
      </c>
      <c r="Y505" s="56">
        <v>6.2</v>
      </c>
    </row>
    <row r="506" spans="1:25" x14ac:dyDescent="0.3">
      <c r="A506" s="155"/>
      <c r="B506" s="147"/>
      <c r="C506" s="71" t="s">
        <v>89</v>
      </c>
      <c r="D506" s="56">
        <v>27286.82</v>
      </c>
      <c r="E506" s="56">
        <v>27131.279999999999</v>
      </c>
      <c r="F506" s="56">
        <v>27198.41</v>
      </c>
      <c r="G506" s="56">
        <v>27107.02</v>
      </c>
      <c r="H506" s="56">
        <v>27318.84</v>
      </c>
      <c r="I506" s="56">
        <v>27231.11</v>
      </c>
      <c r="J506" s="56">
        <v>27101.61</v>
      </c>
      <c r="K506" s="56">
        <v>27114.89</v>
      </c>
      <c r="L506" s="56">
        <v>27338.29</v>
      </c>
      <c r="M506" s="77"/>
      <c r="N506" s="77"/>
      <c r="O506" s="77"/>
      <c r="P506" s="77"/>
      <c r="Q506" s="77"/>
      <c r="R506" s="77"/>
      <c r="S506" s="77"/>
      <c r="T506" s="132"/>
      <c r="U506" s="77"/>
    </row>
    <row r="507" spans="1:25" ht="39.9" x14ac:dyDescent="0.3">
      <c r="A507" s="156"/>
      <c r="B507" s="149"/>
      <c r="C507" s="71" t="s">
        <v>123</v>
      </c>
      <c r="D507" s="38">
        <f t="shared" ref="D507:L507" si="165">IF(((D505="")*AND(D506="")),"",(D505-D506)*1)</f>
        <v>1905.0299999999988</v>
      </c>
      <c r="E507" s="38">
        <f t="shared" si="165"/>
        <v>1867.1900000000023</v>
      </c>
      <c r="F507" s="38">
        <f t="shared" si="165"/>
        <v>1811.25</v>
      </c>
      <c r="G507" s="38">
        <f t="shared" si="165"/>
        <v>1905.8299999999981</v>
      </c>
      <c r="H507" s="38">
        <f t="shared" si="165"/>
        <v>1952.9700000000012</v>
      </c>
      <c r="I507" s="38">
        <f t="shared" si="165"/>
        <v>1957.5999999999985</v>
      </c>
      <c r="J507" s="38">
        <f t="shared" si="165"/>
        <v>1900.6599999999999</v>
      </c>
      <c r="K507" s="38">
        <f t="shared" si="165"/>
        <v>1903.2299999999996</v>
      </c>
      <c r="L507" s="38">
        <f t="shared" si="165"/>
        <v>1902.9199999999983</v>
      </c>
      <c r="M507" s="135"/>
      <c r="N507" s="135"/>
      <c r="O507" s="135"/>
      <c r="P507" s="135"/>
      <c r="Q507" s="135"/>
      <c r="R507" s="135"/>
      <c r="S507" s="135"/>
      <c r="T507" s="136"/>
      <c r="U507" s="135"/>
    </row>
    <row r="508" spans="1:25" x14ac:dyDescent="0.3">
      <c r="A508" s="154">
        <v>43220</v>
      </c>
      <c r="B508" s="129" t="s">
        <v>124</v>
      </c>
      <c r="C508" s="71" t="s">
        <v>88</v>
      </c>
      <c r="D508" s="56">
        <v>29273.8</v>
      </c>
      <c r="E508" s="56">
        <v>29065.49</v>
      </c>
      <c r="F508" s="56">
        <v>29064.84</v>
      </c>
      <c r="G508" s="56">
        <v>29083.88</v>
      </c>
      <c r="H508" s="56">
        <v>29307.9</v>
      </c>
      <c r="I508" s="56">
        <v>29207.85</v>
      </c>
      <c r="J508" s="56">
        <v>29057.38</v>
      </c>
      <c r="K508" s="56">
        <v>29078.05</v>
      </c>
      <c r="L508" s="56">
        <v>29295.48</v>
      </c>
      <c r="M508" s="69">
        <f>IF((L509=""),"",MAX(D510:L510))</f>
        <v>1934.5300000000025</v>
      </c>
      <c r="N508" s="69">
        <f>IF(L509="","",MIN(D510:L510))</f>
        <v>1805.2200000000012</v>
      </c>
      <c r="O508" s="69">
        <f>IF((L510=""),"",AVERAGE(D510:L510))</f>
        <v>1866.4588888888898</v>
      </c>
      <c r="P508" s="69">
        <v>1600</v>
      </c>
      <c r="Q508" s="69">
        <v>2000</v>
      </c>
      <c r="R508" s="69">
        <f>IF((L509=""),"",((M508-N508)/(M508+N508))*100)</f>
        <v>3.4577177618825101</v>
      </c>
      <c r="S508" s="69">
        <v>23</v>
      </c>
      <c r="T508" s="130" t="str">
        <f>IF(L509="","",IF(R509&lt;20,(IF(O508&gt;1730,IF(O508&lt;1970,"Pass","Fail"),"Fail"))))</f>
        <v>Pass</v>
      </c>
      <c r="U508" s="153"/>
      <c r="W508" s="56">
        <v>1730</v>
      </c>
      <c r="X508" s="56">
        <v>1970</v>
      </c>
      <c r="Y508" s="56">
        <v>6.2</v>
      </c>
    </row>
    <row r="509" spans="1:25" x14ac:dyDescent="0.3">
      <c r="A509" s="155"/>
      <c r="B509" s="147"/>
      <c r="C509" s="71" t="s">
        <v>89</v>
      </c>
      <c r="D509" s="56">
        <v>27422.61</v>
      </c>
      <c r="E509" s="56">
        <v>27230.14</v>
      </c>
      <c r="F509" s="56">
        <v>27259.62</v>
      </c>
      <c r="G509" s="56">
        <v>27207.42</v>
      </c>
      <c r="H509" s="56">
        <v>27373.37</v>
      </c>
      <c r="I509" s="56">
        <v>27284.89</v>
      </c>
      <c r="J509" s="56">
        <v>27196.880000000001</v>
      </c>
      <c r="K509" s="56">
        <v>27213.85</v>
      </c>
      <c r="L509" s="56">
        <v>27447.759999999998</v>
      </c>
      <c r="M509" s="77"/>
      <c r="N509" s="77"/>
      <c r="O509" s="77"/>
      <c r="P509" s="77"/>
      <c r="Q509" s="77"/>
      <c r="R509" s="77"/>
      <c r="S509" s="77"/>
      <c r="T509" s="132"/>
      <c r="U509" s="77"/>
    </row>
    <row r="510" spans="1:25" ht="39.9" x14ac:dyDescent="0.3">
      <c r="A510" s="156"/>
      <c r="B510" s="149"/>
      <c r="C510" s="71" t="s">
        <v>123</v>
      </c>
      <c r="D510" s="38">
        <f t="shared" ref="D510:L510" si="166">IF(((D508="")*AND(D509="")),"",(D508-D509)*1)</f>
        <v>1851.1899999999987</v>
      </c>
      <c r="E510" s="38">
        <f t="shared" si="166"/>
        <v>1835.3500000000022</v>
      </c>
      <c r="F510" s="38">
        <f t="shared" si="166"/>
        <v>1805.2200000000012</v>
      </c>
      <c r="G510" s="38">
        <f t="shared" si="166"/>
        <v>1876.4600000000028</v>
      </c>
      <c r="H510" s="38">
        <f t="shared" si="166"/>
        <v>1934.5300000000025</v>
      </c>
      <c r="I510" s="38">
        <f t="shared" si="166"/>
        <v>1922.9599999999991</v>
      </c>
      <c r="J510" s="38">
        <f t="shared" si="166"/>
        <v>1860.5</v>
      </c>
      <c r="K510" s="38">
        <f t="shared" si="166"/>
        <v>1864.2000000000007</v>
      </c>
      <c r="L510" s="38">
        <f t="shared" si="166"/>
        <v>1847.7200000000012</v>
      </c>
      <c r="M510" s="135"/>
      <c r="N510" s="135"/>
      <c r="O510" s="135"/>
      <c r="P510" s="135"/>
      <c r="Q510" s="135"/>
      <c r="R510" s="135"/>
      <c r="S510" s="135"/>
      <c r="T510" s="136"/>
      <c r="U510" s="135"/>
    </row>
    <row r="511" spans="1:25" x14ac:dyDescent="0.3">
      <c r="A511" s="154">
        <v>43223</v>
      </c>
      <c r="B511" s="129" t="s">
        <v>124</v>
      </c>
      <c r="C511" s="71" t="s">
        <v>88</v>
      </c>
      <c r="D511" s="56">
        <v>29370.11</v>
      </c>
      <c r="E511" s="56">
        <v>29118.48</v>
      </c>
      <c r="F511" s="56">
        <v>29164.01</v>
      </c>
      <c r="G511" s="56">
        <v>29118.97</v>
      </c>
      <c r="H511" s="56">
        <v>29459.02</v>
      </c>
      <c r="I511" s="56">
        <v>29361.16</v>
      </c>
      <c r="J511" s="56">
        <v>29102.16</v>
      </c>
      <c r="K511" s="56">
        <v>29118.720000000001</v>
      </c>
      <c r="L511" s="56">
        <v>29464.36</v>
      </c>
      <c r="M511" s="69">
        <f>IF((L512=""),"",MAX(D513:L513))</f>
        <v>1961.4599999999991</v>
      </c>
      <c r="N511" s="69">
        <f>IF(L512="","",MIN(D513:L513))</f>
        <v>1813.5099999999984</v>
      </c>
      <c r="O511" s="69">
        <f>IF((L513=""),"",AVERAGE(D513:L513))</f>
        <v>1895.1266666666666</v>
      </c>
      <c r="P511" s="69">
        <v>1600</v>
      </c>
      <c r="Q511" s="69">
        <v>2000</v>
      </c>
      <c r="R511" s="69">
        <f>IF((L512=""),"",((M511-N511)/(M511+N511))*100)</f>
        <v>3.9192364442631549</v>
      </c>
      <c r="S511" s="69">
        <v>23</v>
      </c>
      <c r="T511" s="130" t="str">
        <f>IF(L512="","",IF(R512&lt;20,(IF(O511&gt;1730,IF(O511&lt;1970,"Pass","Fail"),"Fail"))))</f>
        <v>Pass</v>
      </c>
      <c r="U511" s="153">
        <v>1159</v>
      </c>
      <c r="V511" s="112"/>
      <c r="W511" s="56">
        <v>1730</v>
      </c>
      <c r="X511" s="56">
        <v>1970</v>
      </c>
      <c r="Y511" s="56">
        <v>6.2</v>
      </c>
    </row>
    <row r="512" spans="1:25" x14ac:dyDescent="0.3">
      <c r="A512" s="155"/>
      <c r="B512" s="147"/>
      <c r="C512" s="71" t="s">
        <v>89</v>
      </c>
      <c r="D512" s="56">
        <v>27469.58</v>
      </c>
      <c r="E512" s="56">
        <v>27259.23</v>
      </c>
      <c r="F512" s="56">
        <v>27350.5</v>
      </c>
      <c r="G512" s="56">
        <v>27221.5</v>
      </c>
      <c r="H512" s="56">
        <v>27511.68</v>
      </c>
      <c r="I512" s="56">
        <v>27399.7</v>
      </c>
      <c r="J512" s="56">
        <v>27219.34</v>
      </c>
      <c r="K512" s="56">
        <v>27221.279999999999</v>
      </c>
      <c r="L512" s="56">
        <v>27568.04</v>
      </c>
      <c r="M512" s="77"/>
      <c r="N512" s="77"/>
      <c r="O512" s="77"/>
      <c r="P512" s="77"/>
      <c r="Q512" s="77"/>
      <c r="R512" s="77"/>
      <c r="S512" s="77"/>
      <c r="T512" s="132"/>
      <c r="U512" s="77"/>
    </row>
    <row r="513" spans="1:25" ht="39.9" x14ac:dyDescent="0.3">
      <c r="A513" s="156"/>
      <c r="B513" s="149"/>
      <c r="C513" s="71" t="s">
        <v>123</v>
      </c>
      <c r="D513" s="38">
        <f t="shared" ref="D513:L513" si="167">IF(((D511="")*AND(D512="")),"",(D511-D512)*1)</f>
        <v>1900.5299999999988</v>
      </c>
      <c r="E513" s="38">
        <f t="shared" si="167"/>
        <v>1859.25</v>
      </c>
      <c r="F513" s="38">
        <f t="shared" si="167"/>
        <v>1813.5099999999984</v>
      </c>
      <c r="G513" s="38">
        <f t="shared" si="167"/>
        <v>1897.4700000000012</v>
      </c>
      <c r="H513" s="38">
        <f t="shared" si="167"/>
        <v>1947.3400000000001</v>
      </c>
      <c r="I513" s="38">
        <f t="shared" si="167"/>
        <v>1961.4599999999991</v>
      </c>
      <c r="J513" s="38">
        <f t="shared" si="167"/>
        <v>1882.8199999999997</v>
      </c>
      <c r="K513" s="38">
        <f t="shared" si="167"/>
        <v>1897.4400000000023</v>
      </c>
      <c r="L513" s="38">
        <f t="shared" si="167"/>
        <v>1896.3199999999997</v>
      </c>
      <c r="M513" s="135"/>
      <c r="N513" s="135"/>
      <c r="O513" s="135"/>
      <c r="P513" s="135"/>
      <c r="Q513" s="135"/>
      <c r="R513" s="135"/>
      <c r="S513" s="135"/>
      <c r="T513" s="136"/>
      <c r="U513" s="135"/>
    </row>
    <row r="514" spans="1:25" x14ac:dyDescent="0.3">
      <c r="A514" s="154">
        <v>43226</v>
      </c>
      <c r="B514" s="129" t="s">
        <v>124</v>
      </c>
      <c r="C514" s="71" t="s">
        <v>88</v>
      </c>
      <c r="D514" s="56">
        <v>29173.23</v>
      </c>
      <c r="E514" s="56">
        <v>28976.58</v>
      </c>
      <c r="F514" s="56">
        <v>28972.18</v>
      </c>
      <c r="G514" s="56">
        <v>28964.880000000001</v>
      </c>
      <c r="H514" s="56">
        <v>29233.54</v>
      </c>
      <c r="I514" s="56">
        <v>29152.97</v>
      </c>
      <c r="J514" s="56">
        <v>29174.240000000002</v>
      </c>
      <c r="K514" s="56">
        <v>28957.29</v>
      </c>
      <c r="L514" s="56">
        <v>29197.33</v>
      </c>
      <c r="M514" s="69">
        <f>IF((L515=""),"",MAX(D516:L516))</f>
        <v>1972.75</v>
      </c>
      <c r="N514" s="69">
        <f>IF(L515="","",MIN(D516:L516))</f>
        <v>1337.6900000000023</v>
      </c>
      <c r="O514" s="69">
        <f>IF((L516=""),"",AVERAGE(D516:L516))</f>
        <v>1828.8144444444454</v>
      </c>
      <c r="P514" s="69">
        <v>1600</v>
      </c>
      <c r="Q514" s="69">
        <v>2000</v>
      </c>
      <c r="R514" s="69">
        <f>IF((L515=""),"",((M514-N514)/(M514+N514))*100)</f>
        <v>19.183552639528195</v>
      </c>
      <c r="S514" s="69">
        <v>23</v>
      </c>
      <c r="T514" s="130" t="str">
        <f>IF(L515="","",IF(R515&lt;20,(IF(O514&gt;1730,IF(O514&lt;1970,"Pass","Fail"),"Fail"))))</f>
        <v>Pass</v>
      </c>
      <c r="U514" s="153">
        <v>64</v>
      </c>
      <c r="W514" s="56">
        <v>1730</v>
      </c>
      <c r="X514" s="56">
        <v>1970</v>
      </c>
      <c r="Y514" s="56">
        <v>6.2</v>
      </c>
    </row>
    <row r="515" spans="1:25" x14ac:dyDescent="0.3">
      <c r="A515" s="155"/>
      <c r="B515" s="147"/>
      <c r="C515" s="71" t="s">
        <v>89</v>
      </c>
      <c r="D515" s="56">
        <v>27272.95</v>
      </c>
      <c r="E515" s="56">
        <v>27133.46</v>
      </c>
      <c r="F515" s="56">
        <v>27082.46</v>
      </c>
      <c r="G515" s="56">
        <v>27074.12</v>
      </c>
      <c r="H515" s="56">
        <v>27277.45</v>
      </c>
      <c r="I515" s="56">
        <v>27180.22</v>
      </c>
      <c r="J515" s="56">
        <v>27836.55</v>
      </c>
      <c r="K515" s="56">
        <v>27145.27</v>
      </c>
      <c r="L515" s="56">
        <v>27340.43</v>
      </c>
      <c r="M515" s="77"/>
      <c r="N515" s="77"/>
      <c r="O515" s="77"/>
      <c r="P515" s="77"/>
      <c r="Q515" s="77"/>
      <c r="R515" s="77"/>
      <c r="S515" s="77"/>
      <c r="T515" s="132"/>
      <c r="U515" s="77"/>
    </row>
    <row r="516" spans="1:25" ht="39.9" x14ac:dyDescent="0.3">
      <c r="A516" s="156"/>
      <c r="B516" s="149"/>
      <c r="C516" s="71" t="s">
        <v>123</v>
      </c>
      <c r="D516" s="38">
        <f t="shared" ref="D516:L516" si="168">IF(((D514="")*AND(D515="")),"",(D514-D515)*1)</f>
        <v>1900.2799999999988</v>
      </c>
      <c r="E516" s="38">
        <f t="shared" si="168"/>
        <v>1843.1200000000026</v>
      </c>
      <c r="F516" s="38">
        <f t="shared" si="168"/>
        <v>1889.7200000000012</v>
      </c>
      <c r="G516" s="38">
        <f t="shared" si="168"/>
        <v>1890.760000000002</v>
      </c>
      <c r="H516" s="38">
        <f t="shared" si="168"/>
        <v>1956.0900000000001</v>
      </c>
      <c r="I516" s="38">
        <f t="shared" si="168"/>
        <v>1972.75</v>
      </c>
      <c r="J516" s="38">
        <f t="shared" si="168"/>
        <v>1337.6900000000023</v>
      </c>
      <c r="K516" s="38">
        <f t="shared" si="168"/>
        <v>1812.0200000000004</v>
      </c>
      <c r="L516" s="38">
        <f t="shared" si="168"/>
        <v>1856.9000000000015</v>
      </c>
      <c r="M516" s="135"/>
      <c r="N516" s="135"/>
      <c r="O516" s="135"/>
      <c r="P516" s="135"/>
      <c r="Q516" s="135"/>
      <c r="R516" s="135"/>
      <c r="S516" s="135"/>
      <c r="T516" s="136"/>
      <c r="U516" s="135"/>
    </row>
    <row r="517" spans="1:25" x14ac:dyDescent="0.3">
      <c r="A517" s="154">
        <v>43229</v>
      </c>
      <c r="B517" s="129" t="s">
        <v>124</v>
      </c>
      <c r="C517" s="71" t="s">
        <v>88</v>
      </c>
      <c r="D517" s="56">
        <v>29437.08</v>
      </c>
      <c r="E517" s="56">
        <v>29240.28</v>
      </c>
      <c r="F517" s="56">
        <v>29194.54</v>
      </c>
      <c r="G517" s="56">
        <v>29245.29</v>
      </c>
      <c r="H517" s="56">
        <v>29436.720000000001</v>
      </c>
      <c r="I517" s="56">
        <v>29381.89</v>
      </c>
      <c r="J517" s="56">
        <v>29174.66</v>
      </c>
      <c r="K517" s="56">
        <v>29264.87</v>
      </c>
      <c r="L517" s="56">
        <v>29215.05</v>
      </c>
      <c r="M517" s="69">
        <f>IF((L518=""),"",MAX(D519:L519))</f>
        <v>1982.7900000000009</v>
      </c>
      <c r="N517" s="69">
        <f>IF(L518="","",MIN(D519:L519))</f>
        <v>1705.5900000000001</v>
      </c>
      <c r="O517" s="69">
        <f>IF((L519=""),"",AVERAGE(D519:L519))</f>
        <v>1872.6100000000001</v>
      </c>
      <c r="P517" s="69">
        <v>1600</v>
      </c>
      <c r="Q517" s="69">
        <v>2000</v>
      </c>
      <c r="R517" s="69">
        <f>IF((L518=""),"",((M517-N517)/(M517+N517))*100)</f>
        <v>7.5154946073886268</v>
      </c>
      <c r="S517" s="69">
        <v>23</v>
      </c>
      <c r="T517" s="130" t="str">
        <f>IF(L518="","",IF(R518&lt;20,(IF(O517&gt;1730,IF(O517&lt;1970,"Pass","Fail"),"Fail"))))</f>
        <v>Pass</v>
      </c>
      <c r="U517" s="153">
        <v>1159</v>
      </c>
      <c r="W517" s="56">
        <v>1730</v>
      </c>
      <c r="X517" s="56">
        <v>1970</v>
      </c>
      <c r="Y517" s="56">
        <v>6.2</v>
      </c>
    </row>
    <row r="518" spans="1:25" x14ac:dyDescent="0.3">
      <c r="A518" s="155"/>
      <c r="B518" s="147"/>
      <c r="C518" s="71" t="s">
        <v>89</v>
      </c>
      <c r="D518" s="56">
        <v>27474.15</v>
      </c>
      <c r="E518" s="56">
        <v>27377.73</v>
      </c>
      <c r="F518" s="56">
        <v>27416.31</v>
      </c>
      <c r="G518" s="56">
        <v>27363.82</v>
      </c>
      <c r="H518" s="56">
        <v>27514.2</v>
      </c>
      <c r="I518" s="56">
        <v>27399.1</v>
      </c>
      <c r="J518" s="56">
        <v>27334.73</v>
      </c>
      <c r="K518" s="56">
        <v>27347.39</v>
      </c>
      <c r="L518" s="56">
        <v>27509.46</v>
      </c>
      <c r="M518" s="77"/>
      <c r="N518" s="77"/>
      <c r="O518" s="77"/>
      <c r="P518" s="77"/>
      <c r="Q518" s="77"/>
      <c r="R518" s="77"/>
      <c r="S518" s="77"/>
      <c r="T518" s="132"/>
      <c r="U518" s="77"/>
    </row>
    <row r="519" spans="1:25" ht="39.9" x14ac:dyDescent="0.3">
      <c r="A519" s="156"/>
      <c r="B519" s="149"/>
      <c r="C519" s="71" t="s">
        <v>123</v>
      </c>
      <c r="D519" s="38">
        <f t="shared" ref="D519:L519" si="169">IF(((D517="")*AND(D518="")),"",(D517-D518)*1)</f>
        <v>1962.9300000000003</v>
      </c>
      <c r="E519" s="38">
        <f t="shared" si="169"/>
        <v>1862.5499999999993</v>
      </c>
      <c r="F519" s="38">
        <f t="shared" si="169"/>
        <v>1778.2299999999996</v>
      </c>
      <c r="G519" s="38">
        <f t="shared" si="169"/>
        <v>1881.4700000000012</v>
      </c>
      <c r="H519" s="38">
        <f t="shared" si="169"/>
        <v>1922.5200000000004</v>
      </c>
      <c r="I519" s="38">
        <f t="shared" si="169"/>
        <v>1982.7900000000009</v>
      </c>
      <c r="J519" s="38">
        <f t="shared" si="169"/>
        <v>1839.9300000000003</v>
      </c>
      <c r="K519" s="38">
        <f t="shared" si="169"/>
        <v>1917.4799999999996</v>
      </c>
      <c r="L519" s="38">
        <f t="shared" si="169"/>
        <v>1705.5900000000001</v>
      </c>
      <c r="M519" s="135"/>
      <c r="N519" s="135"/>
      <c r="O519" s="135"/>
      <c r="P519" s="135"/>
      <c r="Q519" s="135"/>
      <c r="R519" s="135"/>
      <c r="S519" s="135"/>
      <c r="T519" s="136"/>
      <c r="U519" s="135"/>
    </row>
    <row r="520" spans="1:25" x14ac:dyDescent="0.3">
      <c r="A520" s="154">
        <v>43233</v>
      </c>
      <c r="B520" s="129" t="s">
        <v>124</v>
      </c>
      <c r="C520" s="71" t="s">
        <v>88</v>
      </c>
      <c r="D520" s="56">
        <v>29392.74</v>
      </c>
      <c r="E520" s="56">
        <v>29253.7</v>
      </c>
      <c r="F520" s="56">
        <v>29309.759999999998</v>
      </c>
      <c r="G520" s="56">
        <v>29254.63</v>
      </c>
      <c r="H520" s="56">
        <v>29457.38</v>
      </c>
      <c r="I520" s="56">
        <v>29400.13</v>
      </c>
      <c r="J520" s="56">
        <v>29233.95</v>
      </c>
      <c r="K520" s="56">
        <v>29263.86</v>
      </c>
      <c r="L520" s="56">
        <v>29461.85</v>
      </c>
      <c r="M520" s="69">
        <f>IF((L521=""),"",MAX(D522:L522))</f>
        <v>1935.3199999999997</v>
      </c>
      <c r="N520" s="69">
        <f>IF(L521="","",MIN(D522:L522))</f>
        <v>1797.9599999999991</v>
      </c>
      <c r="O520" s="69">
        <f>IF((L522=""),"",AVERAGE(D522:L522))</f>
        <v>1866.8588888888892</v>
      </c>
      <c r="P520" s="69">
        <v>1600</v>
      </c>
      <c r="Q520" s="69">
        <v>2000</v>
      </c>
      <c r="R520" s="69">
        <f>IF((L521=""),"",((M520-N520)/(M520+N520))*100)</f>
        <v>3.6793382762611064</v>
      </c>
      <c r="S520" s="69">
        <v>23</v>
      </c>
      <c r="T520" s="130" t="str">
        <f>IF(L521="","",IF(R521&lt;20,(IF(O520&gt;1730,IF(O520&lt;1970,"Pass","Fail"),"Fail"))))</f>
        <v>Pass</v>
      </c>
      <c r="U520" s="153">
        <v>74</v>
      </c>
      <c r="W520" s="56">
        <v>1730</v>
      </c>
      <c r="X520" s="56">
        <v>1970</v>
      </c>
      <c r="Y520" s="56">
        <v>6.2</v>
      </c>
    </row>
    <row r="521" spans="1:25" x14ac:dyDescent="0.3">
      <c r="A521" s="155"/>
      <c r="B521" s="147"/>
      <c r="C521" s="71" t="s">
        <v>89</v>
      </c>
      <c r="D521" s="56">
        <v>27506.16</v>
      </c>
      <c r="E521" s="56">
        <v>27418.62</v>
      </c>
      <c r="F521" s="56">
        <v>27511.8</v>
      </c>
      <c r="G521" s="56">
        <v>27401.38</v>
      </c>
      <c r="H521" s="56">
        <v>27535.65</v>
      </c>
      <c r="I521" s="56">
        <v>27464.81</v>
      </c>
      <c r="J521" s="56">
        <v>27390.05</v>
      </c>
      <c r="K521" s="56">
        <v>27413.13</v>
      </c>
      <c r="L521" s="56">
        <v>27584.67</v>
      </c>
      <c r="M521" s="77"/>
      <c r="N521" s="77"/>
      <c r="O521" s="77"/>
      <c r="P521" s="77"/>
      <c r="Q521" s="77"/>
      <c r="R521" s="77"/>
      <c r="S521" s="77"/>
      <c r="T521" s="132"/>
      <c r="U521" s="77"/>
    </row>
    <row r="522" spans="1:25" ht="39.9" x14ac:dyDescent="0.3">
      <c r="A522" s="156"/>
      <c r="B522" s="149"/>
      <c r="C522" s="71" t="s">
        <v>123</v>
      </c>
      <c r="D522" s="38">
        <f t="shared" ref="D522:L522" si="170">IF(((D520="")*AND(D521="")),"",(D520-D521)*1)</f>
        <v>1886.5800000000017</v>
      </c>
      <c r="E522" s="38">
        <f t="shared" si="170"/>
        <v>1835.0800000000017</v>
      </c>
      <c r="F522" s="38">
        <f t="shared" si="170"/>
        <v>1797.9599999999991</v>
      </c>
      <c r="G522" s="38">
        <f t="shared" si="170"/>
        <v>1853.25</v>
      </c>
      <c r="H522" s="38">
        <f t="shared" si="170"/>
        <v>1921.7299999999996</v>
      </c>
      <c r="I522" s="38">
        <f t="shared" si="170"/>
        <v>1935.3199999999997</v>
      </c>
      <c r="J522" s="38">
        <f t="shared" si="170"/>
        <v>1843.9000000000015</v>
      </c>
      <c r="K522" s="38">
        <f t="shared" si="170"/>
        <v>1850.7299999999996</v>
      </c>
      <c r="L522" s="38">
        <f t="shared" si="170"/>
        <v>1877.1800000000003</v>
      </c>
      <c r="M522" s="135"/>
      <c r="N522" s="135"/>
      <c r="O522" s="135"/>
      <c r="P522" s="135"/>
      <c r="Q522" s="135"/>
      <c r="R522" s="135"/>
      <c r="S522" s="135"/>
      <c r="T522" s="136"/>
      <c r="U522" s="135"/>
    </row>
    <row r="523" spans="1:25" x14ac:dyDescent="0.3">
      <c r="A523" s="154">
        <v>43236</v>
      </c>
      <c r="B523" s="129" t="s">
        <v>124</v>
      </c>
      <c r="C523" s="71" t="s">
        <v>88</v>
      </c>
      <c r="D523" s="56">
        <v>29333</v>
      </c>
      <c r="E523" s="56">
        <v>29142</v>
      </c>
      <c r="F523" s="56">
        <v>29149</v>
      </c>
      <c r="G523" s="56">
        <v>29153</v>
      </c>
      <c r="H523" s="56">
        <v>29330</v>
      </c>
      <c r="I523" s="56">
        <v>29310</v>
      </c>
      <c r="J523" s="56">
        <v>29134</v>
      </c>
      <c r="K523" s="56">
        <v>29137</v>
      </c>
      <c r="L523" s="56">
        <v>29367</v>
      </c>
      <c r="M523" s="69">
        <f>IF((L524=""),"",MAX(D525:L525))</f>
        <v>1986</v>
      </c>
      <c r="N523" s="69">
        <f>IF(L524="","",MIN(D525:L525))</f>
        <v>1854</v>
      </c>
      <c r="O523" s="69">
        <f>IF((L525=""),"",AVERAGE(D525:L525))</f>
        <v>1915.8888888888889</v>
      </c>
      <c r="P523" s="69">
        <v>1600</v>
      </c>
      <c r="Q523" s="69">
        <v>2000</v>
      </c>
      <c r="R523" s="69">
        <f>IF((L524=""),"",((M523-N523)/(M523+N523))*100)</f>
        <v>3.4375000000000004</v>
      </c>
      <c r="S523" s="69">
        <v>23</v>
      </c>
      <c r="T523" s="130" t="str">
        <f>IF(L524="","",IF(R524&lt;20,(IF(O523&gt;1730,IF(O523&lt;1970,"Pass","Fail"),"Fail"))))</f>
        <v>Pass</v>
      </c>
      <c r="U523" s="153">
        <v>1335</v>
      </c>
      <c r="W523" s="56">
        <v>1730</v>
      </c>
      <c r="X523" s="56">
        <v>1970</v>
      </c>
      <c r="Y523" s="56">
        <v>6.2</v>
      </c>
    </row>
    <row r="524" spans="1:25" x14ac:dyDescent="0.3">
      <c r="A524" s="155"/>
      <c r="B524" s="147"/>
      <c r="C524" s="71" t="s">
        <v>89</v>
      </c>
      <c r="D524" s="56">
        <v>27436</v>
      </c>
      <c r="E524" s="56">
        <v>27254</v>
      </c>
      <c r="F524" s="56">
        <v>27295</v>
      </c>
      <c r="G524" s="56">
        <v>27232</v>
      </c>
      <c r="H524" s="56">
        <v>27352</v>
      </c>
      <c r="I524" s="56">
        <v>27324</v>
      </c>
      <c r="J524" s="56">
        <v>27218</v>
      </c>
      <c r="K524" s="56">
        <v>27254</v>
      </c>
      <c r="L524" s="56">
        <v>27447</v>
      </c>
      <c r="M524" s="77"/>
      <c r="N524" s="77"/>
      <c r="O524" s="77"/>
      <c r="P524" s="77"/>
      <c r="Q524" s="77"/>
      <c r="R524" s="77"/>
      <c r="S524" s="77"/>
      <c r="T524" s="132"/>
      <c r="U524" s="77"/>
    </row>
    <row r="525" spans="1:25" ht="39.9" x14ac:dyDescent="0.3">
      <c r="A525" s="156"/>
      <c r="B525" s="149"/>
      <c r="C525" s="71" t="s">
        <v>123</v>
      </c>
      <c r="D525" s="38">
        <f t="shared" ref="D525:L525" si="171">IF(((D523="")*AND(D524="")),"",(D523-D524)*1)</f>
        <v>1897</v>
      </c>
      <c r="E525" s="38">
        <f t="shared" si="171"/>
        <v>1888</v>
      </c>
      <c r="F525" s="38">
        <f t="shared" si="171"/>
        <v>1854</v>
      </c>
      <c r="G525" s="38">
        <f t="shared" si="171"/>
        <v>1921</v>
      </c>
      <c r="H525" s="38">
        <f t="shared" si="171"/>
        <v>1978</v>
      </c>
      <c r="I525" s="38">
        <f t="shared" si="171"/>
        <v>1986</v>
      </c>
      <c r="J525" s="38">
        <f t="shared" si="171"/>
        <v>1916</v>
      </c>
      <c r="K525" s="38">
        <f t="shared" si="171"/>
        <v>1883</v>
      </c>
      <c r="L525" s="38">
        <f t="shared" si="171"/>
        <v>1920</v>
      </c>
      <c r="M525" s="135"/>
      <c r="N525" s="135"/>
      <c r="O525" s="135"/>
      <c r="P525" s="135"/>
      <c r="Q525" s="135"/>
      <c r="R525" s="135"/>
      <c r="S525" s="135"/>
      <c r="T525" s="136"/>
      <c r="U525" s="135"/>
    </row>
    <row r="526" spans="1:25" x14ac:dyDescent="0.3">
      <c r="A526" s="154">
        <v>43239</v>
      </c>
      <c r="B526" s="129" t="s">
        <v>124</v>
      </c>
      <c r="C526" s="71" t="s">
        <v>88</v>
      </c>
      <c r="D526" s="56">
        <v>29462</v>
      </c>
      <c r="E526" s="56">
        <v>29322</v>
      </c>
      <c r="F526" s="56">
        <v>29227</v>
      </c>
      <c r="G526" s="56">
        <v>29234</v>
      </c>
      <c r="H526" s="56">
        <v>29422</v>
      </c>
      <c r="I526" s="56">
        <v>29393</v>
      </c>
      <c r="J526" s="56">
        <v>29231</v>
      </c>
      <c r="K526" s="56">
        <v>29249</v>
      </c>
      <c r="L526" s="56">
        <v>29488</v>
      </c>
      <c r="M526" s="69">
        <f>IF((L527=""),"",MAX(D528:L528))</f>
        <v>1982</v>
      </c>
      <c r="N526" s="69">
        <f>IF(L527="","",MIN(D528:L528))</f>
        <v>1812</v>
      </c>
      <c r="O526" s="69">
        <f>IF((L528=""),"",AVERAGE(D528:L528))</f>
        <v>1903.1111111111111</v>
      </c>
      <c r="P526" s="69">
        <v>1600</v>
      </c>
      <c r="Q526" s="69">
        <v>2000</v>
      </c>
      <c r="R526" s="69">
        <f>IF((L527=""),"",((M526-N526)/(M526+N526))*100)</f>
        <v>4.4807590933052186</v>
      </c>
      <c r="S526" s="69">
        <v>23</v>
      </c>
      <c r="T526" s="130" t="str">
        <f>IF(L527="","",IF(R527&lt;20,(IF(O526&gt;1730,IF(O526&lt;1970,"Pass","Fail"),"Fail"))))</f>
        <v>Pass</v>
      </c>
      <c r="U526" s="153">
        <v>1159</v>
      </c>
      <c r="W526" s="56">
        <v>1730</v>
      </c>
      <c r="X526" s="56">
        <v>1970</v>
      </c>
      <c r="Y526" s="56">
        <v>6.2</v>
      </c>
    </row>
    <row r="527" spans="1:25" x14ac:dyDescent="0.3">
      <c r="A527" s="155"/>
      <c r="B527" s="147"/>
      <c r="C527" s="71" t="s">
        <v>89</v>
      </c>
      <c r="D527" s="56">
        <v>27529</v>
      </c>
      <c r="E527" s="56">
        <v>27510</v>
      </c>
      <c r="F527" s="56">
        <v>27410</v>
      </c>
      <c r="G527" s="56">
        <v>27329</v>
      </c>
      <c r="H527" s="56">
        <v>27448</v>
      </c>
      <c r="I527" s="56">
        <v>27411</v>
      </c>
      <c r="J527" s="56">
        <v>27284</v>
      </c>
      <c r="K527" s="56">
        <v>27362</v>
      </c>
      <c r="L527" s="56">
        <v>27617</v>
      </c>
      <c r="M527" s="77"/>
      <c r="N527" s="77"/>
      <c r="O527" s="77"/>
      <c r="P527" s="77"/>
      <c r="Q527" s="77"/>
      <c r="R527" s="77"/>
      <c r="S527" s="77"/>
      <c r="T527" s="132"/>
      <c r="U527" s="77"/>
    </row>
    <row r="528" spans="1:25" ht="39.9" x14ac:dyDescent="0.3">
      <c r="A528" s="156"/>
      <c r="B528" s="149"/>
      <c r="C528" s="71" t="s">
        <v>123</v>
      </c>
      <c r="D528" s="38">
        <f t="shared" ref="D528:L528" si="172">IF(((D526="")*AND(D527="")),"",(D526-D527)*1)</f>
        <v>1933</v>
      </c>
      <c r="E528" s="38">
        <f t="shared" si="172"/>
        <v>1812</v>
      </c>
      <c r="F528" s="38">
        <f t="shared" si="172"/>
        <v>1817</v>
      </c>
      <c r="G528" s="38">
        <f t="shared" si="172"/>
        <v>1905</v>
      </c>
      <c r="H528" s="38">
        <f t="shared" si="172"/>
        <v>1974</v>
      </c>
      <c r="I528" s="38">
        <f t="shared" si="172"/>
        <v>1982</v>
      </c>
      <c r="J528" s="38">
        <f t="shared" si="172"/>
        <v>1947</v>
      </c>
      <c r="K528" s="38">
        <f t="shared" si="172"/>
        <v>1887</v>
      </c>
      <c r="L528" s="38">
        <f t="shared" si="172"/>
        <v>1871</v>
      </c>
      <c r="M528" s="135"/>
      <c r="N528" s="135"/>
      <c r="O528" s="135"/>
      <c r="P528" s="135"/>
      <c r="Q528" s="135"/>
      <c r="R528" s="135"/>
      <c r="S528" s="135"/>
      <c r="T528" s="136"/>
      <c r="U528" s="135"/>
    </row>
    <row r="529" spans="1:25" x14ac:dyDescent="0.3">
      <c r="A529" s="154">
        <v>43242</v>
      </c>
      <c r="B529" s="129" t="s">
        <v>124</v>
      </c>
      <c r="C529" s="71" t="s">
        <v>88</v>
      </c>
      <c r="D529" s="56">
        <v>29349.119999999999</v>
      </c>
      <c r="E529" s="56">
        <v>29166.26</v>
      </c>
      <c r="F529" s="56">
        <v>29173.61</v>
      </c>
      <c r="G529" s="56">
        <v>29200.02</v>
      </c>
      <c r="H529" s="56">
        <v>29412.240000000002</v>
      </c>
      <c r="I529" s="56">
        <v>29316.45</v>
      </c>
      <c r="J529" s="56">
        <v>29160.959999999999</v>
      </c>
      <c r="K529" s="56">
        <v>29187.13</v>
      </c>
      <c r="L529" s="56">
        <v>29403.31</v>
      </c>
      <c r="M529" s="69">
        <f>IF((L530=""),"",MAX(D531:L531))</f>
        <v>1964.9700000000012</v>
      </c>
      <c r="N529" s="69">
        <f>IF(L530="","",MIN(D531:L531))</f>
        <v>1819.7700000000004</v>
      </c>
      <c r="O529" s="69">
        <f>IF((L531=""),"",AVERAGE(D531:L531))</f>
        <v>1895.7255555555555</v>
      </c>
      <c r="P529" s="69">
        <v>1600</v>
      </c>
      <c r="Q529" s="69">
        <v>2000</v>
      </c>
      <c r="R529" s="69">
        <f>IF((L530=""),"",((M529-N529)/(M529+N529))*100)</f>
        <v>3.8364590434217583</v>
      </c>
      <c r="S529" s="69">
        <v>23</v>
      </c>
      <c r="T529" s="130" t="str">
        <f>IF(L530="","",IF(R530&lt;20,(IF(O529&gt;1730,IF(O529&lt;1970,"Pass","Fail"),"Fail"))))</f>
        <v>Pass</v>
      </c>
      <c r="U529" s="153">
        <v>1428</v>
      </c>
      <c r="W529" s="56">
        <v>1730</v>
      </c>
      <c r="X529" s="56">
        <v>1970</v>
      </c>
      <c r="Y529" s="56">
        <v>6.2</v>
      </c>
    </row>
    <row r="530" spans="1:25" x14ac:dyDescent="0.3">
      <c r="A530" s="155"/>
      <c r="B530" s="147"/>
      <c r="C530" s="71" t="s">
        <v>89</v>
      </c>
      <c r="D530" s="56">
        <v>27449.95</v>
      </c>
      <c r="E530" s="56">
        <v>27302.49</v>
      </c>
      <c r="F530" s="56">
        <v>27353.84</v>
      </c>
      <c r="G530" s="56">
        <v>27296.5</v>
      </c>
      <c r="H530" s="56">
        <v>27451.59</v>
      </c>
      <c r="I530" s="56">
        <v>27351.48</v>
      </c>
      <c r="J530" s="56">
        <v>27274.81</v>
      </c>
      <c r="K530" s="56">
        <v>27294.38</v>
      </c>
      <c r="L530" s="56">
        <v>27532.53</v>
      </c>
      <c r="M530" s="77"/>
      <c r="N530" s="77"/>
      <c r="O530" s="77"/>
      <c r="P530" s="77"/>
      <c r="Q530" s="77"/>
      <c r="R530" s="77"/>
      <c r="S530" s="77"/>
      <c r="T530" s="132"/>
      <c r="U530" s="77"/>
    </row>
    <row r="531" spans="1:25" ht="39.9" x14ac:dyDescent="0.3">
      <c r="A531" s="156"/>
      <c r="B531" s="149"/>
      <c r="C531" s="71" t="s">
        <v>123</v>
      </c>
      <c r="D531" s="38">
        <f t="shared" ref="D531:L531" si="173">IF(((D529="")*AND(D530="")),"",(D529-D530)*1)</f>
        <v>1899.1699999999983</v>
      </c>
      <c r="E531" s="38">
        <f t="shared" si="173"/>
        <v>1863.7699999999968</v>
      </c>
      <c r="F531" s="38">
        <f t="shared" si="173"/>
        <v>1819.7700000000004</v>
      </c>
      <c r="G531" s="38">
        <f t="shared" si="173"/>
        <v>1903.5200000000004</v>
      </c>
      <c r="H531" s="38">
        <f t="shared" si="173"/>
        <v>1960.6500000000015</v>
      </c>
      <c r="I531" s="38">
        <f t="shared" si="173"/>
        <v>1964.9700000000012</v>
      </c>
      <c r="J531" s="38">
        <f t="shared" si="173"/>
        <v>1886.1499999999978</v>
      </c>
      <c r="K531" s="38">
        <f t="shared" si="173"/>
        <v>1892.75</v>
      </c>
      <c r="L531" s="38">
        <f t="shared" si="173"/>
        <v>1870.7800000000025</v>
      </c>
      <c r="M531" s="135"/>
      <c r="N531" s="135"/>
      <c r="O531" s="135"/>
      <c r="P531" s="135"/>
      <c r="Q531" s="135"/>
      <c r="R531" s="135"/>
      <c r="S531" s="135"/>
      <c r="T531" s="136"/>
      <c r="U531" s="135"/>
    </row>
    <row r="532" spans="1:25" x14ac:dyDescent="0.3">
      <c r="A532" s="154">
        <v>43246</v>
      </c>
      <c r="B532" s="129" t="s">
        <v>124</v>
      </c>
      <c r="C532" s="71" t="s">
        <v>88</v>
      </c>
      <c r="D532" s="56">
        <v>29423</v>
      </c>
      <c r="E532" s="56">
        <v>29229.22</v>
      </c>
      <c r="F532" s="56">
        <v>29283.360000000001</v>
      </c>
      <c r="G532" s="56">
        <v>29214.54</v>
      </c>
      <c r="H532" s="56">
        <v>29395.69</v>
      </c>
      <c r="I532" s="56">
        <v>29413.46</v>
      </c>
      <c r="J532" s="56">
        <v>29223.5</v>
      </c>
      <c r="K532" s="56">
        <v>29202.79</v>
      </c>
      <c r="L532" s="56">
        <v>29388.22</v>
      </c>
      <c r="M532" s="69">
        <f>IF((L533=""),"",MAX(D534:L534))</f>
        <v>1973.2599999999984</v>
      </c>
      <c r="N532" s="69">
        <f>IF(L533="","",MIN(D534:L534))</f>
        <v>1815.4500000000007</v>
      </c>
      <c r="O532" s="69">
        <f>IF((L534=""),"",AVERAGE(D534:L534))</f>
        <v>1892.9799999999996</v>
      </c>
      <c r="P532" s="69">
        <v>1600</v>
      </c>
      <c r="Q532" s="69">
        <v>2000</v>
      </c>
      <c r="R532" s="69">
        <f>IF((L533=""),"",((M532-N532)/(M532+N532))*100)</f>
        <v>4.16526997315703</v>
      </c>
      <c r="S532" s="69">
        <v>23</v>
      </c>
      <c r="T532" s="130" t="str">
        <f>IF(L533="","",IF(R533&lt;20,(IF(O532&gt;1730,IF(O532&lt;1970,"Pass","Fail"),"Fail"))))</f>
        <v>Pass</v>
      </c>
      <c r="U532" s="153">
        <v>102</v>
      </c>
      <c r="W532" s="56">
        <v>1730</v>
      </c>
      <c r="X532" s="56">
        <v>1970</v>
      </c>
      <c r="Y532" s="56">
        <v>6.2</v>
      </c>
    </row>
    <row r="533" spans="1:25" x14ac:dyDescent="0.3">
      <c r="A533" s="155"/>
      <c r="B533" s="147"/>
      <c r="C533" s="71" t="s">
        <v>89</v>
      </c>
      <c r="D533" s="56">
        <v>27496.36</v>
      </c>
      <c r="E533" s="56">
        <v>27361.7</v>
      </c>
      <c r="F533" s="56">
        <v>27467.91</v>
      </c>
      <c r="G533" s="56">
        <v>27325.47</v>
      </c>
      <c r="H533" s="56">
        <v>27453.15</v>
      </c>
      <c r="I533" s="56">
        <v>27440.2</v>
      </c>
      <c r="J533" s="56">
        <v>27338.79</v>
      </c>
      <c r="K533" s="56">
        <v>27322.09</v>
      </c>
      <c r="L533" s="56">
        <v>27531.29</v>
      </c>
      <c r="M533" s="77"/>
      <c r="N533" s="77"/>
      <c r="O533" s="77"/>
      <c r="P533" s="77"/>
      <c r="Q533" s="77"/>
      <c r="R533" s="77"/>
      <c r="S533" s="77"/>
      <c r="T533" s="132"/>
      <c r="U533" s="77"/>
    </row>
    <row r="534" spans="1:25" ht="39.9" x14ac:dyDescent="0.3">
      <c r="A534" s="156"/>
      <c r="B534" s="149"/>
      <c r="C534" s="71" t="s">
        <v>123</v>
      </c>
      <c r="D534" s="38">
        <f t="shared" ref="D534:L534" si="174">IF(((D532="")*AND(D533="")),"",(D532-D533)*1)</f>
        <v>1926.6399999999994</v>
      </c>
      <c r="E534" s="38">
        <f t="shared" si="174"/>
        <v>1867.5200000000004</v>
      </c>
      <c r="F534" s="38">
        <f t="shared" si="174"/>
        <v>1815.4500000000007</v>
      </c>
      <c r="G534" s="38">
        <f t="shared" si="174"/>
        <v>1889.0699999999997</v>
      </c>
      <c r="H534" s="38">
        <f t="shared" si="174"/>
        <v>1942.5399999999972</v>
      </c>
      <c r="I534" s="38">
        <f t="shared" si="174"/>
        <v>1973.2599999999984</v>
      </c>
      <c r="J534" s="38">
        <f t="shared" si="174"/>
        <v>1884.7099999999991</v>
      </c>
      <c r="K534" s="38">
        <f t="shared" si="174"/>
        <v>1880.7000000000007</v>
      </c>
      <c r="L534" s="38">
        <f t="shared" si="174"/>
        <v>1856.9300000000003</v>
      </c>
      <c r="M534" s="135"/>
      <c r="N534" s="135"/>
      <c r="O534" s="135"/>
      <c r="P534" s="135"/>
      <c r="Q534" s="135"/>
      <c r="R534" s="135"/>
      <c r="S534" s="135"/>
      <c r="T534" s="136"/>
      <c r="U534" s="135"/>
    </row>
    <row r="535" spans="1:25" x14ac:dyDescent="0.3">
      <c r="A535" s="154">
        <v>43249</v>
      </c>
      <c r="B535" s="129" t="s">
        <v>124</v>
      </c>
      <c r="C535" s="71" t="s">
        <v>88</v>
      </c>
      <c r="D535" s="56">
        <v>29229.03</v>
      </c>
      <c r="E535" s="56">
        <v>29132.28</v>
      </c>
      <c r="F535" s="56">
        <v>29078.39</v>
      </c>
      <c r="G535" s="56">
        <v>29052.959999999999</v>
      </c>
      <c r="H535" s="56">
        <v>29311.69</v>
      </c>
      <c r="I535" s="56">
        <v>29218.28</v>
      </c>
      <c r="J535" s="56">
        <v>29025.119999999999</v>
      </c>
      <c r="K535" s="56">
        <v>29114.959999999999</v>
      </c>
      <c r="L535" s="56">
        <v>29321.55</v>
      </c>
      <c r="M535" s="69">
        <f>IF((L536=""),"",MAX(D537:L537))</f>
        <v>2060.8499999999985</v>
      </c>
      <c r="N535" s="69">
        <f>IF(L536="","",MIN(D537:L537))</f>
        <v>1844.1800000000003</v>
      </c>
      <c r="O535" s="69">
        <f>IF((L537=""),"",AVERAGE(D537:L537))</f>
        <v>1935.139999999999</v>
      </c>
      <c r="P535" s="69">
        <v>1600</v>
      </c>
      <c r="Q535" s="69">
        <v>2000</v>
      </c>
      <c r="R535" s="69">
        <f>IF((L536=""),"",((M535-N535)/(M535+N535))*100)</f>
        <v>5.5484849028048009</v>
      </c>
      <c r="S535" s="69">
        <v>23</v>
      </c>
      <c r="T535" s="130" t="str">
        <f>IF(L536="","",IF(R536&lt;20,(IF(O535&gt;1730,IF(O535&lt;1970,"Pass","Fail"),"Fail"))))</f>
        <v>Pass</v>
      </c>
      <c r="U535" s="153">
        <v>1428</v>
      </c>
      <c r="W535" s="56">
        <v>1730</v>
      </c>
      <c r="X535" s="56">
        <v>1970</v>
      </c>
      <c r="Y535" s="56">
        <v>6.2</v>
      </c>
    </row>
    <row r="536" spans="1:25" x14ac:dyDescent="0.3">
      <c r="A536" s="155"/>
      <c r="B536" s="147"/>
      <c r="C536" s="71" t="s">
        <v>89</v>
      </c>
      <c r="D536" s="56">
        <v>27168.18</v>
      </c>
      <c r="E536" s="56">
        <v>27168.18</v>
      </c>
      <c r="F536" s="56">
        <v>27187.29</v>
      </c>
      <c r="G536" s="56">
        <v>27155.02</v>
      </c>
      <c r="H536" s="56">
        <v>27329.57</v>
      </c>
      <c r="I536" s="56">
        <v>27266.47</v>
      </c>
      <c r="J536" s="56">
        <v>27180.94</v>
      </c>
      <c r="K536" s="56">
        <v>27180.94</v>
      </c>
      <c r="L536" s="56">
        <v>27431.41</v>
      </c>
      <c r="M536" s="77"/>
      <c r="N536" s="77"/>
      <c r="O536" s="77"/>
      <c r="P536" s="77"/>
      <c r="Q536" s="77"/>
      <c r="R536" s="77"/>
      <c r="S536" s="77"/>
      <c r="T536" s="132"/>
      <c r="U536" s="77"/>
    </row>
    <row r="537" spans="1:25" ht="39.9" x14ac:dyDescent="0.3">
      <c r="A537" s="156"/>
      <c r="B537" s="149"/>
      <c r="C537" s="71" t="s">
        <v>123</v>
      </c>
      <c r="D537" s="38">
        <f t="shared" ref="D537:L537" si="175">IF(((D535="")*AND(D536="")),"",(D535-D536)*1)</f>
        <v>2060.8499999999985</v>
      </c>
      <c r="E537" s="38">
        <f t="shared" si="175"/>
        <v>1964.0999999999985</v>
      </c>
      <c r="F537" s="38">
        <f t="shared" si="175"/>
        <v>1891.0999999999985</v>
      </c>
      <c r="G537" s="38">
        <f t="shared" si="175"/>
        <v>1897.9399999999987</v>
      </c>
      <c r="H537" s="38">
        <f t="shared" si="175"/>
        <v>1982.119999999999</v>
      </c>
      <c r="I537" s="38">
        <f t="shared" si="175"/>
        <v>1951.8099999999977</v>
      </c>
      <c r="J537" s="38">
        <f t="shared" si="175"/>
        <v>1844.1800000000003</v>
      </c>
      <c r="K537" s="38">
        <f t="shared" si="175"/>
        <v>1934.0200000000004</v>
      </c>
      <c r="L537" s="38">
        <f t="shared" si="175"/>
        <v>1890.1399999999994</v>
      </c>
      <c r="M537" s="135"/>
      <c r="N537" s="135"/>
      <c r="O537" s="135"/>
      <c r="P537" s="135"/>
      <c r="Q537" s="135"/>
      <c r="R537" s="135"/>
      <c r="S537" s="135"/>
      <c r="T537" s="136"/>
      <c r="U537" s="135"/>
    </row>
    <row r="538" spans="1:25" x14ac:dyDescent="0.3">
      <c r="A538" s="154">
        <v>43252</v>
      </c>
      <c r="B538" s="129" t="s">
        <v>124</v>
      </c>
      <c r="C538" s="71" t="s">
        <v>88</v>
      </c>
      <c r="D538" s="56">
        <v>29259.3</v>
      </c>
      <c r="E538" s="56">
        <v>29089.91</v>
      </c>
      <c r="F538" s="56">
        <v>29089.95</v>
      </c>
      <c r="G538" s="56">
        <v>29098.71</v>
      </c>
      <c r="H538" s="56">
        <v>29313.23</v>
      </c>
      <c r="I538" s="56">
        <v>29272.79</v>
      </c>
      <c r="J538" s="56">
        <v>29092.39</v>
      </c>
      <c r="K538" s="56">
        <v>29079.49</v>
      </c>
      <c r="L538" s="56">
        <v>29335.59</v>
      </c>
      <c r="M538" s="69">
        <f>IF((L539=""),"",MAX(D540:L540))</f>
        <v>1942.7000000000007</v>
      </c>
      <c r="N538" s="69">
        <f>IF(L539="","",MIN(D540:L540))</f>
        <v>1793.1000000000022</v>
      </c>
      <c r="O538" s="69">
        <f>IF((L540=""),"",AVERAGE(D540:L540))</f>
        <v>1865.4677777777781</v>
      </c>
      <c r="P538" s="69">
        <v>1600</v>
      </c>
      <c r="Q538" s="69">
        <v>2000</v>
      </c>
      <c r="R538" s="69">
        <f>IF((L539=""),"",((M538-N538)/(M538+N538))*100)</f>
        <v>4.0044970287488209</v>
      </c>
      <c r="S538" s="69">
        <v>23</v>
      </c>
      <c r="T538" s="130" t="str">
        <f>IF(L539="","",IF(R539&lt;20,(IF(O538&gt;1730,IF(O538&lt;1970,"Pass","Fail"),"Fail"))))</f>
        <v>Pass</v>
      </c>
      <c r="U538" s="153">
        <v>121</v>
      </c>
      <c r="W538" s="56">
        <v>1730</v>
      </c>
      <c r="X538" s="56">
        <v>1970</v>
      </c>
      <c r="Y538" s="56">
        <v>6.2</v>
      </c>
    </row>
    <row r="539" spans="1:25" x14ac:dyDescent="0.3">
      <c r="A539" s="155"/>
      <c r="B539" s="147"/>
      <c r="C539" s="71" t="s">
        <v>89</v>
      </c>
      <c r="D539" s="56">
        <v>27385.41</v>
      </c>
      <c r="E539" s="56">
        <v>27253.19</v>
      </c>
      <c r="F539" s="56">
        <v>27296.85</v>
      </c>
      <c r="G539" s="56">
        <v>27238.54</v>
      </c>
      <c r="H539" s="56">
        <v>27386.18</v>
      </c>
      <c r="I539" s="56">
        <v>27330.09</v>
      </c>
      <c r="J539" s="56">
        <v>27239.66</v>
      </c>
      <c r="K539" s="56">
        <v>27231.32</v>
      </c>
      <c r="L539" s="56">
        <v>27480.91</v>
      </c>
      <c r="M539" s="77"/>
      <c r="N539" s="77"/>
      <c r="O539" s="77"/>
      <c r="P539" s="77"/>
      <c r="Q539" s="77"/>
      <c r="R539" s="77"/>
      <c r="S539" s="77"/>
      <c r="T539" s="132"/>
      <c r="U539" s="77"/>
    </row>
    <row r="540" spans="1:25" ht="39.9" x14ac:dyDescent="0.3">
      <c r="A540" s="156"/>
      <c r="B540" s="149"/>
      <c r="C540" s="71" t="s">
        <v>123</v>
      </c>
      <c r="D540" s="38">
        <f t="shared" ref="D540:L540" si="176">IF(((D538="")*AND(D539="")),"",(D538-D539)*1)</f>
        <v>1873.8899999999994</v>
      </c>
      <c r="E540" s="38">
        <f t="shared" si="176"/>
        <v>1836.7200000000012</v>
      </c>
      <c r="F540" s="38">
        <f t="shared" si="176"/>
        <v>1793.1000000000022</v>
      </c>
      <c r="G540" s="38">
        <f t="shared" si="176"/>
        <v>1860.1699999999983</v>
      </c>
      <c r="H540" s="38">
        <f t="shared" si="176"/>
        <v>1927.0499999999993</v>
      </c>
      <c r="I540" s="38">
        <f t="shared" si="176"/>
        <v>1942.7000000000007</v>
      </c>
      <c r="J540" s="38">
        <f t="shared" si="176"/>
        <v>1852.7299999999996</v>
      </c>
      <c r="K540" s="38">
        <f t="shared" si="176"/>
        <v>1848.1700000000019</v>
      </c>
      <c r="L540" s="38">
        <f t="shared" si="176"/>
        <v>1854.6800000000003</v>
      </c>
      <c r="M540" s="135"/>
      <c r="N540" s="135"/>
      <c r="O540" s="135"/>
      <c r="P540" s="135"/>
      <c r="Q540" s="135"/>
      <c r="R540" s="135"/>
      <c r="S540" s="135"/>
      <c r="T540" s="136"/>
      <c r="U540" s="135"/>
    </row>
    <row r="541" spans="1:25" x14ac:dyDescent="0.3">
      <c r="A541" s="154">
        <v>43255</v>
      </c>
      <c r="B541" s="129" t="s">
        <v>124</v>
      </c>
      <c r="C541" s="71" t="s">
        <v>88</v>
      </c>
      <c r="D541" s="56">
        <v>29352.49</v>
      </c>
      <c r="E541" s="56">
        <v>29196.13</v>
      </c>
      <c r="F541" s="56">
        <v>29256.69</v>
      </c>
      <c r="G541" s="56">
        <v>29204.65</v>
      </c>
      <c r="H541" s="56">
        <v>29401.68</v>
      </c>
      <c r="I541" s="56">
        <v>29332.39</v>
      </c>
      <c r="J541" s="56">
        <v>29176.06</v>
      </c>
      <c r="K541" s="56">
        <v>29218.83</v>
      </c>
      <c r="L541" s="56">
        <v>29421.34</v>
      </c>
      <c r="M541" s="69">
        <f>IF((L542=""),"",MAX(D543:L543))</f>
        <v>1967.9000000000015</v>
      </c>
      <c r="N541" s="69">
        <f>IF(L542="","",MIN(D543:L543))</f>
        <v>1839.0099999999984</v>
      </c>
      <c r="O541" s="69">
        <f>IF((L543=""),"",AVERAGE(D543:L543))</f>
        <v>1895.3211111111123</v>
      </c>
      <c r="P541" s="69">
        <v>1600</v>
      </c>
      <c r="Q541" s="69">
        <v>2000</v>
      </c>
      <c r="R541" s="69">
        <f>IF((L542=""),"",((M541-N541)/(M541+N541))*100)</f>
        <v>3.3856855034661457</v>
      </c>
      <c r="S541" s="69">
        <v>23</v>
      </c>
      <c r="T541" s="130" t="str">
        <f>IF(L542="","",IF(R542&lt;20,(IF(O541&gt;1730,IF(O541&lt;1970,"Pass","Fail"),"Fail"))))</f>
        <v>Pass</v>
      </c>
      <c r="U541" s="153"/>
      <c r="W541" s="56">
        <v>1730</v>
      </c>
      <c r="X541" s="56">
        <v>1970</v>
      </c>
      <c r="Y541" s="56">
        <v>6.2</v>
      </c>
    </row>
    <row r="542" spans="1:25" x14ac:dyDescent="0.3">
      <c r="A542" s="155"/>
      <c r="B542" s="147"/>
      <c r="C542" s="71" t="s">
        <v>89</v>
      </c>
      <c r="D542" s="56">
        <v>27464.76</v>
      </c>
      <c r="E542" s="56">
        <v>27341.200000000001</v>
      </c>
      <c r="F542" s="56">
        <v>27417.68</v>
      </c>
      <c r="G542" s="56">
        <v>27315.279999999999</v>
      </c>
      <c r="H542" s="56">
        <v>27433.78</v>
      </c>
      <c r="I542" s="56">
        <v>27371.53</v>
      </c>
      <c r="J542" s="56">
        <v>27292.43</v>
      </c>
      <c r="K542" s="56">
        <v>27331.39</v>
      </c>
      <c r="L542" s="56">
        <v>27534.32</v>
      </c>
      <c r="M542" s="77"/>
      <c r="N542" s="77"/>
      <c r="O542" s="77"/>
      <c r="P542" s="77"/>
      <c r="Q542" s="77"/>
      <c r="R542" s="77"/>
      <c r="S542" s="77"/>
      <c r="T542" s="132"/>
      <c r="U542" s="77"/>
    </row>
    <row r="543" spans="1:25" ht="39.9" x14ac:dyDescent="0.3">
      <c r="A543" s="156"/>
      <c r="B543" s="149"/>
      <c r="C543" s="71" t="s">
        <v>123</v>
      </c>
      <c r="D543" s="38">
        <f t="shared" ref="D543:L543" si="177">IF(((D541="")*AND(D542="")),"",(D541-D542)*1)</f>
        <v>1887.7300000000032</v>
      </c>
      <c r="E543" s="38">
        <f t="shared" si="177"/>
        <v>1854.9300000000003</v>
      </c>
      <c r="F543" s="38">
        <f t="shared" si="177"/>
        <v>1839.0099999999984</v>
      </c>
      <c r="G543" s="38">
        <f t="shared" si="177"/>
        <v>1889.3700000000026</v>
      </c>
      <c r="H543" s="38">
        <f t="shared" si="177"/>
        <v>1967.9000000000015</v>
      </c>
      <c r="I543" s="38">
        <f t="shared" si="177"/>
        <v>1960.8600000000006</v>
      </c>
      <c r="J543" s="38">
        <f t="shared" si="177"/>
        <v>1883.630000000001</v>
      </c>
      <c r="K543" s="38">
        <f t="shared" si="177"/>
        <v>1887.4400000000023</v>
      </c>
      <c r="L543" s="38">
        <f t="shared" si="177"/>
        <v>1887.0200000000004</v>
      </c>
      <c r="M543" s="135"/>
      <c r="N543" s="135"/>
      <c r="O543" s="135"/>
      <c r="P543" s="135"/>
      <c r="Q543" s="135"/>
      <c r="R543" s="135"/>
      <c r="S543" s="135"/>
      <c r="T543" s="136"/>
      <c r="U543" s="135"/>
    </row>
    <row r="544" spans="1:25" x14ac:dyDescent="0.3">
      <c r="A544" s="154">
        <v>43260</v>
      </c>
      <c r="B544" s="129" t="s">
        <v>124</v>
      </c>
      <c r="C544" s="71" t="s">
        <v>88</v>
      </c>
      <c r="D544" s="56">
        <v>27018.14</v>
      </c>
      <c r="E544" s="56">
        <v>26892.11</v>
      </c>
      <c r="F544" s="56">
        <v>26964.880000000001</v>
      </c>
      <c r="G544" s="56">
        <v>26896.87</v>
      </c>
      <c r="H544" s="56">
        <v>26931.4</v>
      </c>
      <c r="I544" s="56">
        <v>26898.62</v>
      </c>
      <c r="J544" s="56">
        <v>26907.93</v>
      </c>
      <c r="K544" s="56">
        <v>26916.99</v>
      </c>
      <c r="L544" s="56">
        <v>26964.37</v>
      </c>
      <c r="M544" s="69">
        <f>IF((L545=""),"",MAX(D546:L546))</f>
        <v>2396.7199999999975</v>
      </c>
      <c r="N544" s="69">
        <f>IF(L545="","",MIN(D546:L546))</f>
        <v>2194.9200000000019</v>
      </c>
      <c r="O544" s="69">
        <f>IF((L546=""),"",AVERAGE(D546:L546))</f>
        <v>2313.2977777777783</v>
      </c>
      <c r="P544" s="69">
        <v>1600</v>
      </c>
      <c r="Q544" s="69">
        <v>2000</v>
      </c>
      <c r="R544" s="69">
        <f>IF((L545=""),"",((M544-N544)/(M544+N544))*100)</f>
        <v>4.3949438544832704</v>
      </c>
      <c r="S544" s="69">
        <v>23</v>
      </c>
      <c r="T544" s="130" t="str">
        <f>IF(L545="","",IF(R545&lt;20,(IF(O544&gt;1730,IF(O544&lt;1970,"Pass","Fail"),"Fail"))))</f>
        <v>Fail</v>
      </c>
      <c r="U544" s="153">
        <v>121</v>
      </c>
      <c r="W544" s="56">
        <v>1730</v>
      </c>
      <c r="X544" s="56">
        <v>1970</v>
      </c>
      <c r="Y544" s="56">
        <v>6.2</v>
      </c>
    </row>
    <row r="545" spans="1:25" x14ac:dyDescent="0.3">
      <c r="A545" s="155"/>
      <c r="B545" s="147"/>
      <c r="C545" s="71" t="s">
        <v>89</v>
      </c>
      <c r="D545" s="56">
        <v>24665.23</v>
      </c>
      <c r="E545" s="56">
        <v>24611.41</v>
      </c>
      <c r="F545" s="56">
        <v>24769.96</v>
      </c>
      <c r="G545" s="56">
        <v>24540.03</v>
      </c>
      <c r="H545" s="56">
        <v>24621.62</v>
      </c>
      <c r="I545" s="56">
        <v>24501.9</v>
      </c>
      <c r="J545" s="56">
        <v>24562.76</v>
      </c>
      <c r="K545" s="56">
        <v>24578.68</v>
      </c>
      <c r="L545" s="56">
        <v>24720.04</v>
      </c>
      <c r="M545" s="77"/>
      <c r="N545" s="77"/>
      <c r="O545" s="77"/>
      <c r="P545" s="77"/>
      <c r="Q545" s="77"/>
      <c r="R545" s="77"/>
      <c r="S545" s="77"/>
      <c r="T545" s="132"/>
      <c r="U545" s="77"/>
    </row>
    <row r="546" spans="1:25" ht="39.9" x14ac:dyDescent="0.3">
      <c r="A546" s="156"/>
      <c r="B546" s="149"/>
      <c r="C546" s="71" t="s">
        <v>123</v>
      </c>
      <c r="D546" s="38">
        <f t="shared" ref="D546:L546" si="178">IF(((D544="")*AND(D545="")),"",(D544-D545)*1)</f>
        <v>2352.91</v>
      </c>
      <c r="E546" s="38">
        <f t="shared" si="178"/>
        <v>2280.7000000000007</v>
      </c>
      <c r="F546" s="38">
        <f t="shared" si="178"/>
        <v>2194.9200000000019</v>
      </c>
      <c r="G546" s="38">
        <f t="shared" si="178"/>
        <v>2356.84</v>
      </c>
      <c r="H546" s="38">
        <f t="shared" si="178"/>
        <v>2309.7800000000025</v>
      </c>
      <c r="I546" s="38">
        <f t="shared" si="178"/>
        <v>2396.7199999999975</v>
      </c>
      <c r="J546" s="38">
        <f t="shared" si="178"/>
        <v>2345.1700000000019</v>
      </c>
      <c r="K546" s="38">
        <f t="shared" si="178"/>
        <v>2338.3100000000013</v>
      </c>
      <c r="L546" s="38">
        <f t="shared" si="178"/>
        <v>2244.3299999999981</v>
      </c>
      <c r="M546" s="135"/>
      <c r="N546" s="135"/>
      <c r="O546" s="135"/>
      <c r="P546" s="135"/>
      <c r="Q546" s="135"/>
      <c r="R546" s="135"/>
      <c r="S546" s="135"/>
      <c r="T546" s="136"/>
      <c r="U546" s="135"/>
    </row>
    <row r="547" spans="1:25" x14ac:dyDescent="0.3">
      <c r="A547" s="154">
        <v>43260</v>
      </c>
      <c r="B547" s="129" t="s">
        <v>124</v>
      </c>
      <c r="C547" s="71" t="s">
        <v>88</v>
      </c>
      <c r="D547" s="56">
        <v>29426.77</v>
      </c>
      <c r="E547" s="56">
        <v>29248.240000000002</v>
      </c>
      <c r="F547" s="56">
        <v>29255.4</v>
      </c>
      <c r="G547" s="56">
        <v>29255.05</v>
      </c>
      <c r="H547" s="56">
        <v>29491.8</v>
      </c>
      <c r="I547" s="56">
        <v>29449.279999999999</v>
      </c>
      <c r="J547" s="56">
        <v>29245.56</v>
      </c>
      <c r="K547" s="56">
        <v>29245.96</v>
      </c>
      <c r="L547" s="56">
        <v>29490.05</v>
      </c>
      <c r="M547" s="69">
        <f>IF((L548=""),"",MAX(D549:L549))</f>
        <v>1986.0900000000001</v>
      </c>
      <c r="N547" s="69">
        <f>IF(L548="","",MIN(D549:L549))</f>
        <v>1894.2999999999993</v>
      </c>
      <c r="O547" s="69">
        <f>IF((L549=""),"",AVERAGE(D549:L549))</f>
        <v>1938.3711111111111</v>
      </c>
      <c r="P547" s="69">
        <v>1600</v>
      </c>
      <c r="Q547" s="69">
        <v>2000</v>
      </c>
      <c r="R547" s="69">
        <f>IF((L548=""),"",((M547-N547)/(M547+N547))*100)</f>
        <v>2.365483881774793</v>
      </c>
      <c r="S547" s="69">
        <v>23</v>
      </c>
      <c r="T547" s="130" t="str">
        <f>IF(L548="","",IF(R548&lt;20,(IF(O547&gt;1730,IF(O547&lt;1970,"Pass","Fail"),"Fail"))))</f>
        <v>Pass</v>
      </c>
      <c r="U547" s="153">
        <v>121</v>
      </c>
      <c r="W547" s="56">
        <v>1730</v>
      </c>
      <c r="X547" s="56">
        <v>1970</v>
      </c>
      <c r="Y547" s="56">
        <v>6.2</v>
      </c>
    </row>
    <row r="548" spans="1:25" x14ac:dyDescent="0.3">
      <c r="A548" s="155"/>
      <c r="B548" s="147"/>
      <c r="C548" s="71" t="s">
        <v>89</v>
      </c>
      <c r="D548" s="56">
        <v>27463.31</v>
      </c>
      <c r="E548" s="56">
        <v>27312.5</v>
      </c>
      <c r="F548" s="56">
        <v>27360.04</v>
      </c>
      <c r="G548" s="56">
        <v>27305.43</v>
      </c>
      <c r="H548" s="56">
        <v>27565.84</v>
      </c>
      <c r="I548" s="56">
        <v>27463.19</v>
      </c>
      <c r="J548" s="56">
        <v>27302.94</v>
      </c>
      <c r="K548" s="56">
        <v>27293.77</v>
      </c>
      <c r="L548" s="56">
        <v>27595.75</v>
      </c>
      <c r="M548" s="77"/>
      <c r="N548" s="77"/>
      <c r="O548" s="77"/>
      <c r="P548" s="77"/>
      <c r="Q548" s="77"/>
      <c r="R548" s="77"/>
      <c r="S548" s="77"/>
      <c r="T548" s="132"/>
      <c r="U548" s="77"/>
    </row>
    <row r="549" spans="1:25" ht="39.9" x14ac:dyDescent="0.3">
      <c r="A549" s="156"/>
      <c r="B549" s="149"/>
      <c r="C549" s="71" t="s">
        <v>123</v>
      </c>
      <c r="D549" s="38">
        <f t="shared" ref="D549:L549" si="179">IF(((D547="")*AND(D548="")),"",(D547-D548)*1)</f>
        <v>1963.4599999999991</v>
      </c>
      <c r="E549" s="38">
        <f t="shared" si="179"/>
        <v>1935.7400000000016</v>
      </c>
      <c r="F549" s="38">
        <f t="shared" si="179"/>
        <v>1895.3600000000006</v>
      </c>
      <c r="G549" s="38">
        <f t="shared" si="179"/>
        <v>1949.619999999999</v>
      </c>
      <c r="H549" s="38">
        <f t="shared" si="179"/>
        <v>1925.9599999999991</v>
      </c>
      <c r="I549" s="38">
        <f t="shared" si="179"/>
        <v>1986.0900000000001</v>
      </c>
      <c r="J549" s="38">
        <f t="shared" si="179"/>
        <v>1942.6200000000026</v>
      </c>
      <c r="K549" s="38">
        <f t="shared" si="179"/>
        <v>1952.1899999999987</v>
      </c>
      <c r="L549" s="38">
        <f t="shared" si="179"/>
        <v>1894.2999999999993</v>
      </c>
      <c r="M549" s="135"/>
      <c r="N549" s="135"/>
      <c r="O549" s="135"/>
      <c r="P549" s="135"/>
      <c r="Q549" s="135"/>
      <c r="R549" s="135"/>
      <c r="S549" s="135"/>
      <c r="T549" s="136"/>
      <c r="U549" s="135"/>
    </row>
    <row r="550" spans="1:25" x14ac:dyDescent="0.3">
      <c r="A550" s="154">
        <v>43264</v>
      </c>
      <c r="B550" s="129" t="s">
        <v>124</v>
      </c>
      <c r="C550" s="71" t="s">
        <v>88</v>
      </c>
      <c r="D550" s="56">
        <v>29244</v>
      </c>
      <c r="E550" s="56">
        <v>29052</v>
      </c>
      <c r="F550" s="56">
        <v>29078</v>
      </c>
      <c r="G550" s="56">
        <v>29087</v>
      </c>
      <c r="H550" s="56">
        <v>29310</v>
      </c>
      <c r="I550" s="56">
        <v>29207</v>
      </c>
      <c r="J550" s="56">
        <v>29052</v>
      </c>
      <c r="K550" s="56">
        <v>29068</v>
      </c>
      <c r="L550" s="56">
        <v>29287</v>
      </c>
      <c r="M550" s="69">
        <f>IF((L551=""),"",MAX(D552:L552))</f>
        <v>1985</v>
      </c>
      <c r="N550" s="69">
        <f>IF(L551="","",MIN(D552:L552))</f>
        <v>1883</v>
      </c>
      <c r="O550" s="69">
        <f>IF((L552=""),"",AVERAGE(D552:L552))</f>
        <v>1930.7777777777778</v>
      </c>
      <c r="P550" s="69">
        <v>1600</v>
      </c>
      <c r="Q550" s="69">
        <v>2000</v>
      </c>
      <c r="R550" s="69">
        <f>IF((L551=""),"",((M550-N550)/(M550+N550))*100)</f>
        <v>2.6370217166494312</v>
      </c>
      <c r="S550" s="69">
        <v>23</v>
      </c>
      <c r="T550" s="130" t="str">
        <f>IF(L551="","",IF(R551&lt;20,(IF(O550&gt;1730,IF(O550&lt;1970,"Pass","Fail"),"Fail"))))</f>
        <v>Pass</v>
      </c>
      <c r="U550" s="153">
        <v>1159</v>
      </c>
      <c r="W550" s="56">
        <v>1730</v>
      </c>
      <c r="X550" s="56">
        <v>1970</v>
      </c>
      <c r="Y550" s="56">
        <v>6.2</v>
      </c>
    </row>
    <row r="551" spans="1:25" x14ac:dyDescent="0.3">
      <c r="A551" s="155"/>
      <c r="B551" s="147"/>
      <c r="C551" s="71" t="s">
        <v>89</v>
      </c>
      <c r="D551" s="56">
        <v>27292</v>
      </c>
      <c r="E551" s="56">
        <v>27129</v>
      </c>
      <c r="F551" s="56">
        <v>27195</v>
      </c>
      <c r="G551" s="56">
        <v>27144</v>
      </c>
      <c r="H551" s="56">
        <v>27388</v>
      </c>
      <c r="I551" s="56">
        <v>27222</v>
      </c>
      <c r="J551" s="56">
        <v>27120</v>
      </c>
      <c r="K551" s="56">
        <v>27126</v>
      </c>
      <c r="L551" s="56">
        <v>27392</v>
      </c>
      <c r="M551" s="77"/>
      <c r="N551" s="77"/>
      <c r="O551" s="77"/>
      <c r="P551" s="77"/>
      <c r="Q551" s="77"/>
      <c r="R551" s="77"/>
      <c r="S551" s="77"/>
      <c r="T551" s="132"/>
      <c r="U551" s="77"/>
    </row>
    <row r="552" spans="1:25" ht="39.9" x14ac:dyDescent="0.3">
      <c r="A552" s="156"/>
      <c r="B552" s="149"/>
      <c r="C552" s="71" t="s">
        <v>123</v>
      </c>
      <c r="D552" s="38">
        <f t="shared" ref="D552:L552" si="180">IF(((D550="")*AND(D551="")),"",(D550-D551)*1)</f>
        <v>1952</v>
      </c>
      <c r="E552" s="38">
        <f t="shared" si="180"/>
        <v>1923</v>
      </c>
      <c r="F552" s="38">
        <f t="shared" si="180"/>
        <v>1883</v>
      </c>
      <c r="G552" s="38">
        <f t="shared" si="180"/>
        <v>1943</v>
      </c>
      <c r="H552" s="38">
        <f t="shared" si="180"/>
        <v>1922</v>
      </c>
      <c r="I552" s="38">
        <f t="shared" si="180"/>
        <v>1985</v>
      </c>
      <c r="J552" s="38">
        <f t="shared" si="180"/>
        <v>1932</v>
      </c>
      <c r="K552" s="38">
        <f t="shared" si="180"/>
        <v>1942</v>
      </c>
      <c r="L552" s="38">
        <f t="shared" si="180"/>
        <v>1895</v>
      </c>
      <c r="M552" s="135"/>
      <c r="N552" s="135"/>
      <c r="O552" s="135"/>
      <c r="P552" s="135"/>
      <c r="Q552" s="135"/>
      <c r="R552" s="135"/>
      <c r="S552" s="135"/>
      <c r="T552" s="136"/>
      <c r="U552" s="135"/>
    </row>
    <row r="553" spans="1:25" x14ac:dyDescent="0.3">
      <c r="A553" s="154">
        <v>43269</v>
      </c>
      <c r="B553" s="129" t="s">
        <v>124</v>
      </c>
      <c r="C553" s="71" t="s">
        <v>88</v>
      </c>
      <c r="D553" s="56">
        <v>29158.93</v>
      </c>
      <c r="E553" s="56">
        <v>29035.18</v>
      </c>
      <c r="F553" s="56">
        <v>29066.23</v>
      </c>
      <c r="G553" s="56">
        <v>29011.1</v>
      </c>
      <c r="H553" s="56">
        <v>29146.71</v>
      </c>
      <c r="I553" s="56">
        <v>29106.78</v>
      </c>
      <c r="J553" s="56">
        <v>29071.7</v>
      </c>
      <c r="K553" s="56">
        <v>29054.02</v>
      </c>
      <c r="L553" s="56">
        <v>29153.3</v>
      </c>
      <c r="M553" s="69">
        <f>IF((L554=""),"",MAX(D555:L555))</f>
        <v>2006.1899999999987</v>
      </c>
      <c r="N553" s="69">
        <f>IF(L554="","",MIN(D555:L555))</f>
        <v>1832.8899999999994</v>
      </c>
      <c r="O553" s="69">
        <f>IF((L555=""),"",AVERAGE(D555:L555))</f>
        <v>1951.1566666666663</v>
      </c>
      <c r="P553" s="69">
        <v>1600</v>
      </c>
      <c r="Q553" s="69">
        <v>2000</v>
      </c>
      <c r="R553" s="69">
        <f>IF((L554=""),"",((M553-N553)/(M553+N553))*100)</f>
        <v>4.5141023370182269</v>
      </c>
      <c r="S553" s="69">
        <v>23</v>
      </c>
      <c r="T553" s="130" t="str">
        <f>IF(L554="","",IF(R554&lt;20,(IF(O553&gt;1730,IF(O553&lt;1970,"Pass","Fail"),"Fail"))))</f>
        <v>Pass</v>
      </c>
      <c r="U553" s="153">
        <v>1159</v>
      </c>
      <c r="W553" s="56">
        <v>1730</v>
      </c>
      <c r="X553" s="56">
        <v>1970</v>
      </c>
      <c r="Y553" s="56">
        <v>6.2</v>
      </c>
    </row>
    <row r="554" spans="1:25" x14ac:dyDescent="0.3">
      <c r="A554" s="155"/>
      <c r="B554" s="147"/>
      <c r="C554" s="71" t="s">
        <v>89</v>
      </c>
      <c r="D554" s="56">
        <v>27181.79</v>
      </c>
      <c r="E554" s="56">
        <v>27148.84</v>
      </c>
      <c r="F554" s="56">
        <v>27233.34</v>
      </c>
      <c r="G554" s="56">
        <v>27096.86</v>
      </c>
      <c r="H554" s="56">
        <v>27140.52</v>
      </c>
      <c r="I554" s="56">
        <v>27111.96</v>
      </c>
      <c r="J554" s="56">
        <v>27086.43</v>
      </c>
      <c r="K554" s="56">
        <v>27065.14</v>
      </c>
      <c r="L554" s="56">
        <v>27178.66</v>
      </c>
      <c r="M554" s="77"/>
      <c r="N554" s="77"/>
      <c r="O554" s="77"/>
      <c r="P554" s="77"/>
      <c r="Q554" s="77"/>
      <c r="R554" s="77"/>
      <c r="S554" s="77"/>
      <c r="T554" s="132"/>
      <c r="U554" s="77"/>
    </row>
    <row r="555" spans="1:25" ht="39.9" x14ac:dyDescent="0.3">
      <c r="A555" s="156"/>
      <c r="B555" s="149"/>
      <c r="C555" s="71" t="s">
        <v>123</v>
      </c>
      <c r="D555" s="38">
        <f t="shared" ref="D555:L555" si="181">IF(((D553="")*AND(D554="")),"",(D553-D554)*1)</f>
        <v>1977.1399999999994</v>
      </c>
      <c r="E555" s="38">
        <f t="shared" si="181"/>
        <v>1886.3400000000001</v>
      </c>
      <c r="F555" s="38">
        <f t="shared" si="181"/>
        <v>1832.8899999999994</v>
      </c>
      <c r="G555" s="38">
        <f t="shared" si="181"/>
        <v>1914.239999999998</v>
      </c>
      <c r="H555" s="38">
        <f t="shared" si="181"/>
        <v>2006.1899999999987</v>
      </c>
      <c r="I555" s="38">
        <f t="shared" si="181"/>
        <v>1994.8199999999997</v>
      </c>
      <c r="J555" s="38">
        <f t="shared" si="181"/>
        <v>1985.2700000000004</v>
      </c>
      <c r="K555" s="38">
        <f t="shared" si="181"/>
        <v>1988.880000000001</v>
      </c>
      <c r="L555" s="38">
        <f t="shared" si="181"/>
        <v>1974.6399999999994</v>
      </c>
      <c r="M555" s="135"/>
      <c r="N555" s="135"/>
      <c r="O555" s="135"/>
      <c r="P555" s="135"/>
      <c r="Q555" s="135"/>
      <c r="R555" s="135"/>
      <c r="S555" s="135"/>
      <c r="T555" s="136"/>
      <c r="U555" s="135"/>
    </row>
    <row r="556" spans="1:25" x14ac:dyDescent="0.3">
      <c r="A556" s="154">
        <v>43276</v>
      </c>
      <c r="B556" s="129" t="s">
        <v>124</v>
      </c>
      <c r="C556" s="71" t="s">
        <v>88</v>
      </c>
      <c r="D556" s="56">
        <v>29232.57</v>
      </c>
      <c r="E556" s="56">
        <v>29165.61</v>
      </c>
      <c r="F556" s="56">
        <v>29152.59</v>
      </c>
      <c r="G556" s="56">
        <v>29178.29</v>
      </c>
      <c r="H556" s="56">
        <v>29253.81</v>
      </c>
      <c r="I556" s="56">
        <v>29209.29</v>
      </c>
      <c r="J556" s="56">
        <v>29156.74</v>
      </c>
      <c r="K556" s="56">
        <v>29162.11</v>
      </c>
      <c r="L556" s="56">
        <v>29239.93</v>
      </c>
      <c r="M556" s="69">
        <f>IF((L557=""),"",MAX(D558:L558))</f>
        <v>1954.9200000000019</v>
      </c>
      <c r="N556" s="69">
        <f>IF(L557="","",MIN(D558:L558))</f>
        <v>1548.7599999999984</v>
      </c>
      <c r="O556" s="69">
        <f>IF((L558=""),"",AVERAGE(D558:L558))</f>
        <v>1871.4988888888886</v>
      </c>
      <c r="P556" s="69">
        <v>1600</v>
      </c>
      <c r="Q556" s="69">
        <v>2000</v>
      </c>
      <c r="R556" s="69">
        <f>IF((L557=""),"",((M556-N556)/(M556+N556))*100)</f>
        <v>11.59238286601526</v>
      </c>
      <c r="S556" s="69">
        <v>23</v>
      </c>
      <c r="T556" s="130" t="str">
        <f>IF(L557="","",IF(R557&lt;20,(IF(O556&gt;1730,IF(O556&lt;1970,"Pass","Fail"),"Fail"))))</f>
        <v>Pass</v>
      </c>
      <c r="U556" s="153">
        <v>1335</v>
      </c>
      <c r="W556" s="56">
        <v>1730</v>
      </c>
      <c r="X556" s="56">
        <v>1970</v>
      </c>
      <c r="Y556" s="56">
        <v>6.2</v>
      </c>
    </row>
    <row r="557" spans="1:25" x14ac:dyDescent="0.3">
      <c r="A557" s="155"/>
      <c r="B557" s="147"/>
      <c r="C557" s="71" t="s">
        <v>89</v>
      </c>
      <c r="D557" s="56">
        <v>27338.79</v>
      </c>
      <c r="E557" s="56">
        <v>27311.58</v>
      </c>
      <c r="F557" s="56">
        <v>27603.83</v>
      </c>
      <c r="G557" s="56">
        <v>27260.74</v>
      </c>
      <c r="H557" s="56">
        <v>27298.89</v>
      </c>
      <c r="I557" s="56">
        <v>27279.66</v>
      </c>
      <c r="J557" s="56">
        <v>27252.74</v>
      </c>
      <c r="K557" s="56">
        <v>27249.66</v>
      </c>
      <c r="L557" s="56">
        <v>27311.56</v>
      </c>
      <c r="M557" s="77"/>
      <c r="N557" s="77"/>
      <c r="O557" s="77"/>
      <c r="P557" s="77"/>
      <c r="Q557" s="77"/>
      <c r="R557" s="77"/>
      <c r="S557" s="77"/>
      <c r="T557" s="132"/>
      <c r="U557" s="77"/>
    </row>
    <row r="558" spans="1:25" ht="39.9" x14ac:dyDescent="0.3">
      <c r="A558" s="156"/>
      <c r="B558" s="149"/>
      <c r="C558" s="71" t="s">
        <v>123</v>
      </c>
      <c r="D558" s="38">
        <f t="shared" ref="D558:L558" si="182">IF(((D556="")*AND(D557="")),"",(D556-D557)*1)</f>
        <v>1893.7799999999988</v>
      </c>
      <c r="E558" s="38">
        <f t="shared" si="182"/>
        <v>1854.0299999999988</v>
      </c>
      <c r="F558" s="38">
        <f t="shared" si="182"/>
        <v>1548.7599999999984</v>
      </c>
      <c r="G558" s="38">
        <f t="shared" si="182"/>
        <v>1917.5499999999993</v>
      </c>
      <c r="H558" s="38">
        <f t="shared" si="182"/>
        <v>1954.9200000000019</v>
      </c>
      <c r="I558" s="38">
        <f t="shared" si="182"/>
        <v>1929.630000000001</v>
      </c>
      <c r="J558" s="38">
        <f t="shared" si="182"/>
        <v>1904</v>
      </c>
      <c r="K558" s="38">
        <f t="shared" si="182"/>
        <v>1912.4500000000007</v>
      </c>
      <c r="L558" s="38">
        <f t="shared" si="182"/>
        <v>1928.369999999999</v>
      </c>
      <c r="M558" s="135"/>
      <c r="N558" s="135"/>
      <c r="O558" s="135"/>
      <c r="P558" s="135"/>
      <c r="Q558" s="135"/>
      <c r="R558" s="135"/>
      <c r="S558" s="135"/>
      <c r="T558" s="136"/>
      <c r="U558" s="135"/>
    </row>
    <row r="559" spans="1:25" x14ac:dyDescent="0.3">
      <c r="A559" s="154">
        <v>43279</v>
      </c>
      <c r="B559" s="129" t="s">
        <v>124</v>
      </c>
      <c r="C559" s="71" t="s">
        <v>88</v>
      </c>
      <c r="D559" s="56">
        <v>29190.34</v>
      </c>
      <c r="E559" s="56">
        <v>29092.92</v>
      </c>
      <c r="F559" s="56">
        <v>29136.79</v>
      </c>
      <c r="G559" s="56">
        <v>29061.42</v>
      </c>
      <c r="H559" s="56">
        <v>29121.57</v>
      </c>
      <c r="I559" s="56">
        <v>29129.02</v>
      </c>
      <c r="J559" s="56">
        <v>29060.29</v>
      </c>
      <c r="K559" s="56">
        <v>29069.91</v>
      </c>
      <c r="L559" s="56">
        <v>29163.03</v>
      </c>
      <c r="M559" s="69">
        <f>IF((L560=""),"",MAX(D561:L561))</f>
        <v>1985.4300000000003</v>
      </c>
      <c r="N559" s="69">
        <f>IF(L560="","",MIN(D561:L561))</f>
        <v>1895.3899999999994</v>
      </c>
      <c r="O559" s="69">
        <f>IF((L561=""),"",AVERAGE(D561:L561))</f>
        <v>1940.776666666666</v>
      </c>
      <c r="P559" s="69">
        <v>1600</v>
      </c>
      <c r="Q559" s="69">
        <v>2000</v>
      </c>
      <c r="R559" s="69">
        <f>IF((L560=""),"",((M559-N559)/(M559+N559))*100)</f>
        <v>2.3201282203245932</v>
      </c>
      <c r="S559" s="69">
        <v>23</v>
      </c>
      <c r="T559" s="130" t="str">
        <f>IF(L560="","",IF(R560&lt;20,(IF(O559&gt;1730,IF(O559&lt;1970,"Pass","Fail"),"Fail"))))</f>
        <v>Pass</v>
      </c>
      <c r="U559" s="153">
        <v>1159</v>
      </c>
      <c r="W559" s="56">
        <v>1730</v>
      </c>
      <c r="X559" s="56">
        <v>1970</v>
      </c>
      <c r="Y559" s="56">
        <v>6.2</v>
      </c>
    </row>
    <row r="560" spans="1:25" x14ac:dyDescent="0.3">
      <c r="A560" s="155"/>
      <c r="B560" s="147"/>
      <c r="C560" s="71" t="s">
        <v>89</v>
      </c>
      <c r="D560" s="56">
        <v>27220.16</v>
      </c>
      <c r="E560" s="56">
        <v>27170.31</v>
      </c>
      <c r="F560" s="56">
        <v>27241.4</v>
      </c>
      <c r="G560" s="56">
        <v>27137.040000000001</v>
      </c>
      <c r="H560" s="56">
        <v>27159.3</v>
      </c>
      <c r="I560" s="56">
        <v>27143.59</v>
      </c>
      <c r="J560" s="56">
        <v>27142.73</v>
      </c>
      <c r="K560" s="56">
        <v>27143.200000000001</v>
      </c>
      <c r="L560" s="56">
        <v>27200.57</v>
      </c>
      <c r="M560" s="77"/>
      <c r="N560" s="77"/>
      <c r="O560" s="77"/>
      <c r="P560" s="77"/>
      <c r="Q560" s="77"/>
      <c r="R560" s="77"/>
      <c r="S560" s="77"/>
      <c r="T560" s="132"/>
      <c r="U560" s="77"/>
    </row>
    <row r="561" spans="1:25" ht="39.9" x14ac:dyDescent="0.3">
      <c r="A561" s="156"/>
      <c r="B561" s="149"/>
      <c r="C561" s="71" t="s">
        <v>123</v>
      </c>
      <c r="D561" s="38">
        <f t="shared" ref="D561:L561" si="183">IF(((D559="")*AND(D560="")),"",(D559-D560)*1)</f>
        <v>1970.1800000000003</v>
      </c>
      <c r="E561" s="38">
        <f t="shared" si="183"/>
        <v>1922.6099999999969</v>
      </c>
      <c r="F561" s="38">
        <f t="shared" si="183"/>
        <v>1895.3899999999994</v>
      </c>
      <c r="G561" s="38">
        <f t="shared" si="183"/>
        <v>1924.3799999999974</v>
      </c>
      <c r="H561" s="38">
        <f t="shared" si="183"/>
        <v>1962.2700000000004</v>
      </c>
      <c r="I561" s="38">
        <f t="shared" si="183"/>
        <v>1985.4300000000003</v>
      </c>
      <c r="J561" s="38">
        <f t="shared" si="183"/>
        <v>1917.5600000000013</v>
      </c>
      <c r="K561" s="38">
        <f t="shared" si="183"/>
        <v>1926.7099999999991</v>
      </c>
      <c r="L561" s="38">
        <f t="shared" si="183"/>
        <v>1962.4599999999991</v>
      </c>
      <c r="M561" s="135"/>
      <c r="N561" s="135"/>
      <c r="O561" s="135"/>
      <c r="P561" s="135"/>
      <c r="Q561" s="135"/>
      <c r="R561" s="135"/>
      <c r="S561" s="135"/>
      <c r="T561" s="136"/>
      <c r="U561" s="135"/>
    </row>
    <row r="562" spans="1:25" x14ac:dyDescent="0.3">
      <c r="A562" s="154">
        <v>43283</v>
      </c>
      <c r="B562" s="129" t="s">
        <v>124</v>
      </c>
      <c r="C562" s="71" t="s">
        <v>88</v>
      </c>
      <c r="D562" s="56">
        <v>29162.07</v>
      </c>
      <c r="E562" s="56">
        <v>29053</v>
      </c>
      <c r="F562" s="56">
        <v>29115.279999999999</v>
      </c>
      <c r="G562" s="56">
        <v>29076.1</v>
      </c>
      <c r="H562" s="56">
        <v>29148.27</v>
      </c>
      <c r="I562" s="56">
        <v>29116.44</v>
      </c>
      <c r="J562" s="56">
        <v>29062.17</v>
      </c>
      <c r="K562" s="56">
        <v>29056.22</v>
      </c>
      <c r="L562" s="56">
        <v>29103.75</v>
      </c>
      <c r="M562" s="69">
        <f>IF((L563=""),"",MAX(D564:L564))</f>
        <v>1991.989999999998</v>
      </c>
      <c r="N562" s="69">
        <f>IF(L563="","",MIN(D564:L564))</f>
        <v>1873.0099999999984</v>
      </c>
      <c r="O562" s="69">
        <f>IF((L564=""),"",AVERAGE(D564:L564))</f>
        <v>1927.9433333333327</v>
      </c>
      <c r="P562" s="69">
        <v>1600</v>
      </c>
      <c r="Q562" s="69">
        <v>2000</v>
      </c>
      <c r="R562" s="69">
        <f>IF((L563=""),"",((M562-N562)/(M562+N562))*100)</f>
        <v>3.0783958602845973</v>
      </c>
      <c r="S562" s="69">
        <v>23</v>
      </c>
      <c r="T562" s="130" t="str">
        <f>IF(L563="","",IF(R563&lt;20,(IF(O562&gt;1730,IF(O562&lt;1970,"Pass","Fail"),"Fail"))))</f>
        <v>Pass</v>
      </c>
      <c r="U562" s="153">
        <v>1159</v>
      </c>
      <c r="W562" s="56">
        <v>1730</v>
      </c>
      <c r="X562" s="56">
        <v>1970</v>
      </c>
      <c r="Y562" s="56">
        <v>6.2</v>
      </c>
    </row>
    <row r="563" spans="1:25" x14ac:dyDescent="0.3">
      <c r="A563" s="155"/>
      <c r="B563" s="147"/>
      <c r="C563" s="71" t="s">
        <v>89</v>
      </c>
      <c r="D563" s="56">
        <v>27200.5</v>
      </c>
      <c r="E563" s="56">
        <v>27160.86</v>
      </c>
      <c r="F563" s="56">
        <v>27242.27</v>
      </c>
      <c r="G563" s="56">
        <v>27163.05</v>
      </c>
      <c r="H563" s="56">
        <v>27202.63</v>
      </c>
      <c r="I563" s="56">
        <v>27124.45</v>
      </c>
      <c r="J563" s="56">
        <v>27126.01</v>
      </c>
      <c r="K563" s="56">
        <v>27152.959999999999</v>
      </c>
      <c r="L563" s="56">
        <v>27169.08</v>
      </c>
      <c r="M563" s="77"/>
      <c r="N563" s="77"/>
      <c r="O563" s="77"/>
      <c r="P563" s="77"/>
      <c r="Q563" s="77"/>
      <c r="R563" s="77"/>
      <c r="S563" s="77"/>
      <c r="T563" s="132"/>
      <c r="U563" s="77"/>
    </row>
    <row r="564" spans="1:25" ht="39.9" x14ac:dyDescent="0.3">
      <c r="A564" s="156"/>
      <c r="B564" s="149"/>
      <c r="C564" s="71" t="s">
        <v>123</v>
      </c>
      <c r="D564" s="38">
        <f t="shared" ref="D564:L564" si="184">IF(((D562="")*AND(D563="")),"",(D562-D563)*1)</f>
        <v>1961.5699999999997</v>
      </c>
      <c r="E564" s="38">
        <f t="shared" si="184"/>
        <v>1892.1399999999994</v>
      </c>
      <c r="F564" s="38">
        <f t="shared" si="184"/>
        <v>1873.0099999999984</v>
      </c>
      <c r="G564" s="38">
        <f t="shared" si="184"/>
        <v>1913.0499999999993</v>
      </c>
      <c r="H564" s="38">
        <f t="shared" si="184"/>
        <v>1945.6399999999994</v>
      </c>
      <c r="I564" s="38">
        <f t="shared" si="184"/>
        <v>1991.989999999998</v>
      </c>
      <c r="J564" s="38">
        <f t="shared" si="184"/>
        <v>1936.1599999999999</v>
      </c>
      <c r="K564" s="38">
        <f t="shared" si="184"/>
        <v>1903.260000000002</v>
      </c>
      <c r="L564" s="38">
        <f t="shared" si="184"/>
        <v>1934.6699999999983</v>
      </c>
      <c r="M564" s="135"/>
      <c r="N564" s="135"/>
      <c r="O564" s="135"/>
      <c r="P564" s="135"/>
      <c r="Q564" s="135"/>
      <c r="R564" s="135"/>
      <c r="S564" s="135"/>
      <c r="T564" s="136"/>
      <c r="U564" s="135"/>
    </row>
    <row r="565" spans="1:25" x14ac:dyDescent="0.3">
      <c r="A565" s="154">
        <v>43286</v>
      </c>
      <c r="B565" s="129" t="s">
        <v>124</v>
      </c>
      <c r="C565" s="71" t="s">
        <v>88</v>
      </c>
      <c r="D565" s="56">
        <v>29263.93</v>
      </c>
      <c r="E565" s="56">
        <v>29150.63</v>
      </c>
      <c r="F565" s="56">
        <v>29171.95</v>
      </c>
      <c r="G565" s="56">
        <v>29142.31</v>
      </c>
      <c r="H565" s="56">
        <v>29282.82</v>
      </c>
      <c r="I565" s="56">
        <v>29252.54</v>
      </c>
      <c r="J565" s="56">
        <v>29136.799999999999</v>
      </c>
      <c r="K565" s="56">
        <v>29183.040000000001</v>
      </c>
      <c r="L565" s="56">
        <v>29263.87</v>
      </c>
      <c r="M565" s="69">
        <f>IF((L566=""),"",MAX(D567:L567))</f>
        <v>2209.2900000000009</v>
      </c>
      <c r="N565" s="69">
        <f>IF(L566="","",MIN(D567:L567))</f>
        <v>1809.869999999999</v>
      </c>
      <c r="O565" s="69">
        <f>IF((L567=""),"",AVERAGE(D567:L567))</f>
        <v>1944.0822222222223</v>
      </c>
      <c r="P565" s="69">
        <v>1600</v>
      </c>
      <c r="Q565" s="69">
        <v>2000</v>
      </c>
      <c r="R565" s="69">
        <f>IF((L566=""),"",((M565-N565)/(M565+N565))*100)</f>
        <v>9.9378974711134145</v>
      </c>
      <c r="S565" s="69">
        <v>23</v>
      </c>
      <c r="T565" s="130" t="str">
        <f>IF(L566="","",IF(R566&lt;20,(IF(O565&gt;1730,IF(O565&lt;1970,"Pass","Fail"),"Fail"))))</f>
        <v>Pass</v>
      </c>
      <c r="U565" s="153">
        <v>1159</v>
      </c>
      <c r="W565" s="56">
        <v>1730</v>
      </c>
      <c r="X565" s="56">
        <v>1970</v>
      </c>
      <c r="Y565" s="56">
        <v>6.2</v>
      </c>
    </row>
    <row r="566" spans="1:25" x14ac:dyDescent="0.3">
      <c r="A566" s="155"/>
      <c r="B566" s="147"/>
      <c r="C566" s="71" t="s">
        <v>89</v>
      </c>
      <c r="D566" s="56">
        <v>27054.639999999999</v>
      </c>
      <c r="E566" s="56">
        <v>27293.61</v>
      </c>
      <c r="F566" s="56">
        <v>27316.81</v>
      </c>
      <c r="G566" s="56">
        <v>27258.98</v>
      </c>
      <c r="H566" s="56">
        <v>27333.95</v>
      </c>
      <c r="I566" s="56">
        <v>27353.07</v>
      </c>
      <c r="J566" s="56">
        <v>27326.93</v>
      </c>
      <c r="K566" s="56">
        <v>27270.51</v>
      </c>
      <c r="L566" s="56">
        <v>27142.65</v>
      </c>
      <c r="M566" s="77"/>
      <c r="N566" s="77"/>
      <c r="O566" s="77"/>
      <c r="P566" s="77"/>
      <c r="Q566" s="77"/>
      <c r="R566" s="77"/>
      <c r="S566" s="77"/>
      <c r="T566" s="132"/>
      <c r="U566" s="77"/>
    </row>
    <row r="567" spans="1:25" ht="39.9" x14ac:dyDescent="0.3">
      <c r="A567" s="156"/>
      <c r="B567" s="149"/>
      <c r="C567" s="71" t="s">
        <v>123</v>
      </c>
      <c r="D567" s="38">
        <f t="shared" ref="D567:L567" si="185">IF(((D565="")*AND(D566="")),"",(D565-D566)*1)</f>
        <v>2209.2900000000009</v>
      </c>
      <c r="E567" s="38">
        <f t="shared" si="185"/>
        <v>1857.0200000000004</v>
      </c>
      <c r="F567" s="38">
        <f t="shared" si="185"/>
        <v>1855.1399999999994</v>
      </c>
      <c r="G567" s="38">
        <f t="shared" si="185"/>
        <v>1883.3300000000017</v>
      </c>
      <c r="H567" s="38">
        <f t="shared" si="185"/>
        <v>1948.869999999999</v>
      </c>
      <c r="I567" s="38">
        <f t="shared" si="185"/>
        <v>1899.4700000000012</v>
      </c>
      <c r="J567" s="38">
        <f t="shared" si="185"/>
        <v>1809.869999999999</v>
      </c>
      <c r="K567" s="38">
        <f t="shared" si="185"/>
        <v>1912.5300000000025</v>
      </c>
      <c r="L567" s="38">
        <f t="shared" si="185"/>
        <v>2121.2199999999975</v>
      </c>
      <c r="M567" s="135"/>
      <c r="N567" s="135"/>
      <c r="O567" s="135"/>
      <c r="P567" s="135"/>
      <c r="Q567" s="135"/>
      <c r="R567" s="135"/>
      <c r="S567" s="135"/>
      <c r="T567" s="136"/>
      <c r="U567" s="135"/>
    </row>
    <row r="568" spans="1:25" x14ac:dyDescent="0.3">
      <c r="A568" s="154">
        <v>43289</v>
      </c>
      <c r="B568" s="129" t="s">
        <v>124</v>
      </c>
      <c r="C568" s="71" t="s">
        <v>88</v>
      </c>
      <c r="D568" s="56">
        <v>29322</v>
      </c>
      <c r="E568" s="56">
        <v>29231</v>
      </c>
      <c r="F568" s="56">
        <v>29239</v>
      </c>
      <c r="G568" s="56">
        <v>29232</v>
      </c>
      <c r="H568" s="56">
        <v>29336</v>
      </c>
      <c r="I568" s="56">
        <v>29321</v>
      </c>
      <c r="J568" s="56">
        <v>29228</v>
      </c>
      <c r="K568" s="56">
        <v>29214</v>
      </c>
      <c r="L568" s="56">
        <v>29338</v>
      </c>
      <c r="M568" s="69">
        <f>IF((L569=""),"",MAX(D570:L570))</f>
        <v>1976</v>
      </c>
      <c r="N568" s="69">
        <f>IF(L569="","",MIN(D570:L570))</f>
        <v>1609</v>
      </c>
      <c r="O568" s="69">
        <f>IF((L570=""),"",AVERAGE(D570:L570))</f>
        <v>1908</v>
      </c>
      <c r="P568" s="69">
        <v>1600</v>
      </c>
      <c r="Q568" s="69">
        <v>2000</v>
      </c>
      <c r="R568" s="69">
        <f>IF((L569=""),"",((M568-N568)/(M568+N568))*100)</f>
        <v>10.237099023709902</v>
      </c>
      <c r="S568" s="69">
        <v>23</v>
      </c>
      <c r="T568" s="130" t="str">
        <f>IF(L569="","",IF(R569&lt;20,(IF(O568&gt;1730,IF(O568&lt;1970,"Pass","Fail"),"Fail"))))</f>
        <v>Pass</v>
      </c>
      <c r="U568" s="153">
        <v>1159</v>
      </c>
      <c r="W568" s="56">
        <v>1730</v>
      </c>
      <c r="X568" s="56">
        <v>1970</v>
      </c>
      <c r="Y568" s="56">
        <v>6.2</v>
      </c>
    </row>
    <row r="569" spans="1:25" x14ac:dyDescent="0.3">
      <c r="A569" s="155"/>
      <c r="B569" s="147"/>
      <c r="C569" s="71" t="s">
        <v>89</v>
      </c>
      <c r="D569" s="56">
        <v>27379</v>
      </c>
      <c r="E569" s="56">
        <v>27327</v>
      </c>
      <c r="F569" s="56">
        <v>27630</v>
      </c>
      <c r="G569" s="56">
        <v>27277</v>
      </c>
      <c r="H569" s="56">
        <v>27360</v>
      </c>
      <c r="I569" s="56">
        <v>27365</v>
      </c>
      <c r="J569" s="56">
        <v>27288</v>
      </c>
      <c r="K569" s="56">
        <v>27276</v>
      </c>
      <c r="L569" s="56">
        <v>27387</v>
      </c>
      <c r="M569" s="77"/>
      <c r="N569" s="77"/>
      <c r="O569" s="77"/>
      <c r="P569" s="77"/>
      <c r="Q569" s="77"/>
      <c r="R569" s="77"/>
      <c r="S569" s="77"/>
      <c r="T569" s="132"/>
      <c r="U569" s="77"/>
    </row>
    <row r="570" spans="1:25" ht="39.9" x14ac:dyDescent="0.3">
      <c r="A570" s="156"/>
      <c r="B570" s="149"/>
      <c r="C570" s="71" t="s">
        <v>123</v>
      </c>
      <c r="D570" s="38">
        <f t="shared" ref="D570:L570" si="186">IF(((D568="")*AND(D569="")),"",(D568-D569)*1)</f>
        <v>1943</v>
      </c>
      <c r="E570" s="38">
        <f t="shared" si="186"/>
        <v>1904</v>
      </c>
      <c r="F570" s="38">
        <f t="shared" si="186"/>
        <v>1609</v>
      </c>
      <c r="G570" s="38">
        <f t="shared" si="186"/>
        <v>1955</v>
      </c>
      <c r="H570" s="38">
        <f t="shared" si="186"/>
        <v>1976</v>
      </c>
      <c r="I570" s="38">
        <f t="shared" si="186"/>
        <v>1956</v>
      </c>
      <c r="J570" s="38">
        <f t="shared" si="186"/>
        <v>1940</v>
      </c>
      <c r="K570" s="38">
        <f t="shared" si="186"/>
        <v>1938</v>
      </c>
      <c r="L570" s="38">
        <f t="shared" si="186"/>
        <v>1951</v>
      </c>
      <c r="M570" s="135"/>
      <c r="N570" s="135"/>
      <c r="O570" s="135"/>
      <c r="P570" s="135"/>
      <c r="Q570" s="135"/>
      <c r="R570" s="135"/>
      <c r="S570" s="135"/>
      <c r="T570" s="136"/>
      <c r="U570" s="135"/>
    </row>
    <row r="571" spans="1:25" x14ac:dyDescent="0.3">
      <c r="A571" s="154">
        <v>43296</v>
      </c>
      <c r="B571" s="129" t="s">
        <v>124</v>
      </c>
      <c r="C571" s="71" t="s">
        <v>88</v>
      </c>
      <c r="D571" s="56">
        <v>27519.21</v>
      </c>
      <c r="E571" s="56">
        <v>27468.78</v>
      </c>
      <c r="F571" s="56">
        <v>27533.14</v>
      </c>
      <c r="G571" s="56">
        <v>27434.03</v>
      </c>
      <c r="H571" s="56">
        <v>27475.95</v>
      </c>
      <c r="I571" s="56">
        <v>27458.82</v>
      </c>
      <c r="J571" s="56">
        <v>27448.68</v>
      </c>
      <c r="K571" s="56">
        <v>27439.96</v>
      </c>
      <c r="L571" s="56">
        <v>27482.400000000001</v>
      </c>
      <c r="M571" s="69">
        <f>IF((L572=""),"",MAX(D573:L573))</f>
        <v>1914.2099999999991</v>
      </c>
      <c r="N571" s="69">
        <f>IF(L572="","",MIN(D573:L573))</f>
        <v>1819.7799999999988</v>
      </c>
      <c r="O571" s="69">
        <f>IF((L573=""),"",AVERAGE(D573:L573))</f>
        <v>1873.3211111111102</v>
      </c>
      <c r="P571" s="69">
        <v>1600</v>
      </c>
      <c r="Q571" s="69">
        <v>2000</v>
      </c>
      <c r="R571" s="69">
        <f>IF((L572=""),"",((M571-N571)/(M571+N571))*100)</f>
        <v>2.528930179245267</v>
      </c>
      <c r="S571" s="69">
        <v>23</v>
      </c>
      <c r="T571" s="130" t="str">
        <f>IF(L572="","",IF(R572&lt;20,(IF(O571&gt;1730,IF(O571&lt;1970,"Pass","Fail"),"Fail"))))</f>
        <v>Pass</v>
      </c>
      <c r="U571" s="153">
        <v>1335</v>
      </c>
      <c r="W571" s="56">
        <v>1730</v>
      </c>
      <c r="X571" s="56">
        <v>1970</v>
      </c>
      <c r="Y571" s="56">
        <v>6.2</v>
      </c>
    </row>
    <row r="572" spans="1:25" x14ac:dyDescent="0.3">
      <c r="A572" s="155"/>
      <c r="B572" s="147"/>
      <c r="C572" s="71" t="s">
        <v>89</v>
      </c>
      <c r="D572" s="56">
        <v>25623.11</v>
      </c>
      <c r="E572" s="56">
        <v>25620.52</v>
      </c>
      <c r="F572" s="56">
        <v>25713.360000000001</v>
      </c>
      <c r="G572" s="56">
        <v>25571.16</v>
      </c>
      <c r="H572" s="56">
        <v>25573.33</v>
      </c>
      <c r="I572" s="56">
        <v>25544.61</v>
      </c>
      <c r="J572" s="56">
        <v>25589.31</v>
      </c>
      <c r="K572" s="56">
        <v>25576.39</v>
      </c>
      <c r="L572" s="56">
        <v>25589.29</v>
      </c>
      <c r="M572" s="77"/>
      <c r="N572" s="77"/>
      <c r="O572" s="77"/>
      <c r="P572" s="77"/>
      <c r="Q572" s="77"/>
      <c r="R572" s="77"/>
      <c r="S572" s="77"/>
      <c r="T572" s="132"/>
      <c r="U572" s="77"/>
    </row>
    <row r="573" spans="1:25" ht="39.9" x14ac:dyDescent="0.3">
      <c r="A573" s="156"/>
      <c r="B573" s="149"/>
      <c r="C573" s="71" t="s">
        <v>123</v>
      </c>
      <c r="D573" s="38">
        <f t="shared" ref="D573:L573" si="187">IF(((D571="")*AND(D572="")),"",(D571-D572)*1)</f>
        <v>1896.0999999999985</v>
      </c>
      <c r="E573" s="38">
        <f t="shared" si="187"/>
        <v>1848.2599999999984</v>
      </c>
      <c r="F573" s="38">
        <f t="shared" si="187"/>
        <v>1819.7799999999988</v>
      </c>
      <c r="G573" s="38">
        <f t="shared" si="187"/>
        <v>1862.869999999999</v>
      </c>
      <c r="H573" s="38">
        <f t="shared" si="187"/>
        <v>1902.619999999999</v>
      </c>
      <c r="I573" s="38">
        <f t="shared" si="187"/>
        <v>1914.2099999999991</v>
      </c>
      <c r="J573" s="38">
        <f t="shared" si="187"/>
        <v>1859.369999999999</v>
      </c>
      <c r="K573" s="38">
        <f t="shared" si="187"/>
        <v>1863.5699999999997</v>
      </c>
      <c r="L573" s="38">
        <f t="shared" si="187"/>
        <v>1893.1100000000006</v>
      </c>
      <c r="M573" s="135"/>
      <c r="N573" s="135"/>
      <c r="O573" s="135"/>
      <c r="P573" s="135"/>
      <c r="Q573" s="135"/>
      <c r="R573" s="135"/>
      <c r="S573" s="135"/>
      <c r="T573" s="136"/>
      <c r="U573" s="135"/>
    </row>
    <row r="574" spans="1:25" x14ac:dyDescent="0.3">
      <c r="A574" s="154">
        <v>43300</v>
      </c>
      <c r="B574" s="129" t="s">
        <v>124</v>
      </c>
      <c r="C574" s="71" t="s">
        <v>88</v>
      </c>
      <c r="D574" s="56">
        <v>29305.69</v>
      </c>
      <c r="E574" s="56">
        <v>29232.22</v>
      </c>
      <c r="F574" s="56">
        <v>29208.560000000001</v>
      </c>
      <c r="G574" s="56">
        <v>29217.02</v>
      </c>
      <c r="H574" s="56">
        <v>29332.43</v>
      </c>
      <c r="I574" s="56">
        <v>29304.44</v>
      </c>
      <c r="J574" s="56">
        <v>29193.72</v>
      </c>
      <c r="K574" s="56">
        <v>29196.22</v>
      </c>
      <c r="L574" s="56">
        <v>29292.75</v>
      </c>
      <c r="M574" s="69">
        <f>IF((L575=""),"",MAX(D576:L576))</f>
        <v>1949.8799999999974</v>
      </c>
      <c r="N574" s="69">
        <f>IF(L575="","",MIN(D576:L576))</f>
        <v>1857.010000000002</v>
      </c>
      <c r="O574" s="69">
        <f>IF((L576=""),"",AVERAGE(D576:L576))</f>
        <v>1909.4988888888895</v>
      </c>
      <c r="P574" s="69">
        <v>1600</v>
      </c>
      <c r="Q574" s="69">
        <v>2000</v>
      </c>
      <c r="R574" s="69">
        <f>IF((L575=""),"",((M574-N574)/(M574+N574))*100)</f>
        <v>2.4395241259924862</v>
      </c>
      <c r="S574" s="69">
        <v>23</v>
      </c>
      <c r="T574" s="130" t="str">
        <f>IF(L575="","",IF(R575&lt;20,(IF(O574&gt;1730,IF(O574&lt;1970,"Pass","Fail"),"Fail"))))</f>
        <v>Pass</v>
      </c>
      <c r="U574" s="153">
        <v>121</v>
      </c>
      <c r="W574" s="56">
        <v>1730</v>
      </c>
      <c r="X574" s="56">
        <v>1970</v>
      </c>
      <c r="Y574" s="56">
        <v>6.2</v>
      </c>
    </row>
    <row r="575" spans="1:25" x14ac:dyDescent="0.3">
      <c r="A575" s="155"/>
      <c r="B575" s="147"/>
      <c r="C575" s="71" t="s">
        <v>89</v>
      </c>
      <c r="D575" s="56">
        <v>27377.93</v>
      </c>
      <c r="E575" s="56">
        <v>27337.13</v>
      </c>
      <c r="F575" s="56">
        <v>27351.55</v>
      </c>
      <c r="G575" s="56">
        <v>27308.68</v>
      </c>
      <c r="H575" s="56">
        <v>27384.11</v>
      </c>
      <c r="I575" s="56">
        <v>27354.560000000001</v>
      </c>
      <c r="J575" s="56">
        <v>27311.42</v>
      </c>
      <c r="K575" s="56">
        <v>27303.919999999998</v>
      </c>
      <c r="L575" s="56">
        <v>27368.26</v>
      </c>
      <c r="M575" s="77"/>
      <c r="N575" s="77"/>
      <c r="O575" s="77"/>
      <c r="P575" s="77"/>
      <c r="Q575" s="77"/>
      <c r="R575" s="77"/>
      <c r="S575" s="77"/>
      <c r="T575" s="132"/>
      <c r="U575" s="77"/>
    </row>
    <row r="576" spans="1:25" ht="39.9" x14ac:dyDescent="0.3">
      <c r="A576" s="156"/>
      <c r="B576" s="149"/>
      <c r="C576" s="71" t="s">
        <v>123</v>
      </c>
      <c r="D576" s="38">
        <f t="shared" ref="D576:L576" si="188">IF(((D574="")*AND(D575="")),"",(D574-D575)*1)</f>
        <v>1927.7599999999984</v>
      </c>
      <c r="E576" s="38">
        <f t="shared" si="188"/>
        <v>1895.0900000000001</v>
      </c>
      <c r="F576" s="38">
        <f t="shared" si="188"/>
        <v>1857.010000000002</v>
      </c>
      <c r="G576" s="38">
        <f t="shared" si="188"/>
        <v>1908.3400000000001</v>
      </c>
      <c r="H576" s="38">
        <f t="shared" si="188"/>
        <v>1948.3199999999997</v>
      </c>
      <c r="I576" s="38">
        <f t="shared" si="188"/>
        <v>1949.8799999999974</v>
      </c>
      <c r="J576" s="38">
        <f t="shared" si="188"/>
        <v>1882.3000000000029</v>
      </c>
      <c r="K576" s="38">
        <f t="shared" si="188"/>
        <v>1892.3000000000029</v>
      </c>
      <c r="L576" s="38">
        <f t="shared" si="188"/>
        <v>1924.4900000000016</v>
      </c>
      <c r="M576" s="135"/>
      <c r="N576" s="135"/>
      <c r="O576" s="135"/>
      <c r="P576" s="135"/>
      <c r="Q576" s="135"/>
      <c r="R576" s="135"/>
      <c r="S576" s="135"/>
      <c r="T576" s="136"/>
      <c r="U576" s="135"/>
    </row>
    <row r="577" spans="1:25" x14ac:dyDescent="0.3">
      <c r="A577" s="154">
        <v>43304</v>
      </c>
      <c r="B577" s="129" t="s">
        <v>124</v>
      </c>
      <c r="C577" s="71" t="s">
        <v>88</v>
      </c>
      <c r="D577" s="157">
        <v>29283.24</v>
      </c>
      <c r="E577" s="157">
        <v>29233.73</v>
      </c>
      <c r="F577" s="157">
        <v>29052.66</v>
      </c>
      <c r="G577" s="157">
        <v>29150.01</v>
      </c>
      <c r="H577" s="157">
        <v>29237.97</v>
      </c>
      <c r="I577" s="157">
        <v>29252.17</v>
      </c>
      <c r="J577" s="157">
        <v>29183.88</v>
      </c>
      <c r="K577" s="157">
        <v>29178.37</v>
      </c>
      <c r="L577" s="157">
        <v>29339.09</v>
      </c>
      <c r="M577" s="69">
        <f>IF((L578=""),"",MAX(D579:L579))</f>
        <v>1920.0699999999997</v>
      </c>
      <c r="N577" s="69">
        <f>IF(L578="","",MIN(D579:L579))</f>
        <v>1815.5900000000001</v>
      </c>
      <c r="O577" s="69">
        <f>IF((L579=""),"",AVERAGE(D579:L579))</f>
        <v>1883.87</v>
      </c>
      <c r="P577" s="69">
        <v>1600</v>
      </c>
      <c r="Q577" s="69">
        <v>2000</v>
      </c>
      <c r="R577" s="69">
        <f>IF((L578=""),"",((M577-N577)/(M577+N577))*100)</f>
        <v>2.796828405154633</v>
      </c>
      <c r="S577" s="69">
        <v>23</v>
      </c>
      <c r="T577" s="130" t="str">
        <f>IF(L578="","",IF(R578&lt;20,(IF(O577&gt;1730,IF(O577&lt;1970,"Pass","Fail"),"Fail"))))</f>
        <v>Pass</v>
      </c>
      <c r="U577" s="153"/>
      <c r="W577" s="56">
        <v>1730</v>
      </c>
      <c r="X577" s="56">
        <v>1970</v>
      </c>
      <c r="Y577" s="56">
        <v>6.2</v>
      </c>
    </row>
    <row r="578" spans="1:25" x14ac:dyDescent="0.3">
      <c r="A578" s="155"/>
      <c r="B578" s="147"/>
      <c r="C578" s="71" t="s">
        <v>89</v>
      </c>
      <c r="D578" s="158">
        <v>27414.76</v>
      </c>
      <c r="E578" s="158">
        <v>27341.58</v>
      </c>
      <c r="F578" s="158">
        <v>27237.07</v>
      </c>
      <c r="G578" s="158">
        <v>27273.72</v>
      </c>
      <c r="H578" s="158">
        <v>27349.94</v>
      </c>
      <c r="I578" s="158">
        <v>27348.6</v>
      </c>
      <c r="J578" s="158">
        <v>27280.880000000001</v>
      </c>
      <c r="K578" s="158">
        <v>27290.720000000001</v>
      </c>
      <c r="L578" s="158">
        <v>27419.02</v>
      </c>
      <c r="M578" s="77"/>
      <c r="N578" s="77"/>
      <c r="O578" s="77"/>
      <c r="P578" s="77"/>
      <c r="Q578" s="77"/>
      <c r="R578" s="77"/>
      <c r="S578" s="77"/>
      <c r="T578" s="132"/>
      <c r="U578" s="77"/>
    </row>
    <row r="579" spans="1:25" ht="39.9" x14ac:dyDescent="0.3">
      <c r="A579" s="156"/>
      <c r="B579" s="149"/>
      <c r="C579" s="71" t="s">
        <v>123</v>
      </c>
      <c r="D579" s="38">
        <f t="shared" ref="D579:L579" si="189">IF(((D577="")*AND(D578="")),"",(D577-D578)*1)</f>
        <v>1868.4800000000032</v>
      </c>
      <c r="E579" s="38">
        <f t="shared" si="189"/>
        <v>1892.1499999999978</v>
      </c>
      <c r="F579" s="38">
        <f t="shared" si="189"/>
        <v>1815.5900000000001</v>
      </c>
      <c r="G579" s="38">
        <f t="shared" si="189"/>
        <v>1876.2899999999972</v>
      </c>
      <c r="H579" s="38">
        <f t="shared" si="189"/>
        <v>1888.0300000000025</v>
      </c>
      <c r="I579" s="38">
        <f t="shared" si="189"/>
        <v>1903.5699999999997</v>
      </c>
      <c r="J579" s="38">
        <f t="shared" si="189"/>
        <v>1903</v>
      </c>
      <c r="K579" s="38">
        <f t="shared" si="189"/>
        <v>1887.6499999999978</v>
      </c>
      <c r="L579" s="38">
        <f t="shared" si="189"/>
        <v>1920.0699999999997</v>
      </c>
      <c r="M579" s="135"/>
      <c r="N579" s="135"/>
      <c r="O579" s="135"/>
      <c r="P579" s="135"/>
      <c r="Q579" s="135"/>
      <c r="R579" s="135"/>
      <c r="S579" s="135"/>
      <c r="T579" s="136"/>
      <c r="U579" s="135"/>
    </row>
    <row r="580" spans="1:25" x14ac:dyDescent="0.3">
      <c r="A580" s="154">
        <v>43308</v>
      </c>
      <c r="B580" s="129" t="s">
        <v>124</v>
      </c>
      <c r="C580" s="71" t="s">
        <v>88</v>
      </c>
      <c r="D580" s="56">
        <v>29204.62</v>
      </c>
      <c r="E580" s="56">
        <v>29109.79</v>
      </c>
      <c r="F580" s="56">
        <v>29106.68</v>
      </c>
      <c r="G580" s="56">
        <v>29122.9</v>
      </c>
      <c r="H580" s="56">
        <v>29222.39</v>
      </c>
      <c r="I580" s="56">
        <v>29197.37</v>
      </c>
      <c r="J580" s="56">
        <v>29112.55</v>
      </c>
      <c r="K580" s="56">
        <v>29118.07</v>
      </c>
      <c r="L580" s="56">
        <v>29204.799999999999</v>
      </c>
      <c r="M580" s="69">
        <f>IF((L581=""),"",MAX(D582:L582))</f>
        <v>1929.9699999999975</v>
      </c>
      <c r="N580" s="69">
        <f>IF(L581="","",MIN(D582:L582))</f>
        <v>1838.9399999999987</v>
      </c>
      <c r="O580" s="69">
        <f>IF((L582=""),"",AVERAGE(D582:L582))</f>
        <v>1887.1888888888882</v>
      </c>
      <c r="P580" s="69">
        <v>1600</v>
      </c>
      <c r="Q580" s="69">
        <v>2000</v>
      </c>
      <c r="R580" s="69">
        <f>IF((L581=""),"",((M580-N580)/(M580+N580))*100)</f>
        <v>2.4152871785210821</v>
      </c>
      <c r="S580" s="69">
        <v>23</v>
      </c>
      <c r="T580" s="130" t="str">
        <f>IF(L581="","",IF(R581&lt;20,(IF(O580&gt;1730,IF(O580&lt;1970,"Pass","Fail"),"Fail"))))</f>
        <v>Pass</v>
      </c>
      <c r="U580" s="153"/>
      <c r="W580" s="56">
        <v>1730</v>
      </c>
      <c r="X580" s="56">
        <v>1970</v>
      </c>
      <c r="Y580" s="56">
        <v>6.2</v>
      </c>
    </row>
    <row r="581" spans="1:25" x14ac:dyDescent="0.3">
      <c r="A581" s="155"/>
      <c r="B581" s="147"/>
      <c r="C581" s="71" t="s">
        <v>89</v>
      </c>
      <c r="D581" s="56">
        <v>27306.05</v>
      </c>
      <c r="E581" s="56">
        <v>27255.8</v>
      </c>
      <c r="F581" s="56">
        <v>27267.74</v>
      </c>
      <c r="G581" s="56">
        <v>27241.77</v>
      </c>
      <c r="H581" s="56">
        <v>27293.59</v>
      </c>
      <c r="I581" s="56">
        <v>27267.4</v>
      </c>
      <c r="J581" s="56">
        <v>27239.75</v>
      </c>
      <c r="K581" s="56">
        <v>27249.08</v>
      </c>
      <c r="L581" s="56">
        <v>27293.29</v>
      </c>
      <c r="M581" s="77"/>
      <c r="N581" s="77"/>
      <c r="O581" s="77"/>
      <c r="P581" s="77"/>
      <c r="Q581" s="77"/>
      <c r="R581" s="77"/>
      <c r="S581" s="77"/>
      <c r="T581" s="132"/>
      <c r="U581" s="77"/>
    </row>
    <row r="582" spans="1:25" ht="39.9" x14ac:dyDescent="0.3">
      <c r="A582" s="156"/>
      <c r="B582" s="149"/>
      <c r="C582" s="71" t="s">
        <v>123</v>
      </c>
      <c r="D582" s="38">
        <f t="shared" ref="D582:L582" si="190">IF(((D580="")*AND(D581="")),"",(D580-D581)*1)</f>
        <v>1898.5699999999997</v>
      </c>
      <c r="E582" s="38">
        <f t="shared" si="190"/>
        <v>1853.9900000000016</v>
      </c>
      <c r="F582" s="38">
        <f t="shared" si="190"/>
        <v>1838.9399999999987</v>
      </c>
      <c r="G582" s="38">
        <f t="shared" si="190"/>
        <v>1881.130000000001</v>
      </c>
      <c r="H582" s="38">
        <f t="shared" si="190"/>
        <v>1928.7999999999993</v>
      </c>
      <c r="I582" s="38">
        <f t="shared" si="190"/>
        <v>1929.9699999999975</v>
      </c>
      <c r="J582" s="38">
        <f t="shared" si="190"/>
        <v>1872.7999999999993</v>
      </c>
      <c r="K582" s="38">
        <f t="shared" si="190"/>
        <v>1868.989999999998</v>
      </c>
      <c r="L582" s="38">
        <f t="shared" si="190"/>
        <v>1911.5099999999984</v>
      </c>
      <c r="M582" s="135"/>
      <c r="N582" s="135"/>
      <c r="O582" s="135"/>
      <c r="P582" s="135"/>
      <c r="Q582" s="135"/>
      <c r="R582" s="135"/>
      <c r="S582" s="135"/>
      <c r="T582" s="136"/>
      <c r="U582" s="135"/>
    </row>
    <row r="583" spans="1:25" x14ac:dyDescent="0.3">
      <c r="A583" s="154"/>
      <c r="B583" s="129" t="s">
        <v>124</v>
      </c>
      <c r="C583" s="71" t="s">
        <v>88</v>
      </c>
      <c r="D583" s="56">
        <v>29416</v>
      </c>
      <c r="E583" s="56">
        <v>29228</v>
      </c>
      <c r="F583" s="56">
        <v>29283</v>
      </c>
      <c r="G583" s="56">
        <v>29242</v>
      </c>
      <c r="H583" s="56">
        <v>29441</v>
      </c>
      <c r="I583" s="56">
        <v>29421</v>
      </c>
      <c r="J583" s="56">
        <v>29233</v>
      </c>
      <c r="K583" s="56">
        <v>29243</v>
      </c>
      <c r="L583" s="56">
        <v>29416</v>
      </c>
      <c r="M583" s="69">
        <f>IF((L584=""),"",MAX(D585:L585))</f>
        <v>1927</v>
      </c>
      <c r="N583" s="69">
        <f>IF(L584="","",MIN(D585:L585))</f>
        <v>1810</v>
      </c>
      <c r="O583" s="69">
        <f>IF((L585=""),"",AVERAGE(D585:L585))</f>
        <v>1882.7777777777778</v>
      </c>
      <c r="P583" s="69">
        <v>1600</v>
      </c>
      <c r="Q583" s="69">
        <v>2000</v>
      </c>
      <c r="R583" s="69">
        <f>IF((L584=""),"",((M583-N583)/(M583+N583))*100)</f>
        <v>3.1308536259031308</v>
      </c>
      <c r="S583" s="69">
        <v>23</v>
      </c>
      <c r="T583" s="130" t="str">
        <f>IF(L584="","",IF(R584&lt;20,(IF(O583&gt;1730,IF(O583&lt;1970,"Pass","Fail"),"Fail"))))</f>
        <v>Pass</v>
      </c>
      <c r="U583" s="69">
        <v>23</v>
      </c>
      <c r="V583" s="131" t="str">
        <f>IF(N584="","",IF(T584&lt;20,(IF(Q583&gt;1730,IF(Q583&lt;1970,"Pass","Fail"),"Fail"))))</f>
        <v/>
      </c>
      <c r="W583" s="56">
        <v>1730</v>
      </c>
      <c r="X583" s="56">
        <v>1970</v>
      </c>
      <c r="Y583" s="56">
        <v>6.2</v>
      </c>
    </row>
    <row r="584" spans="1:25" x14ac:dyDescent="0.3">
      <c r="A584" s="155"/>
      <c r="B584" s="147"/>
      <c r="C584" s="71" t="s">
        <v>89</v>
      </c>
      <c r="D584" s="56">
        <v>27521</v>
      </c>
      <c r="E584" s="56">
        <v>27356</v>
      </c>
      <c r="F584" s="56">
        <v>27473</v>
      </c>
      <c r="G584" s="56">
        <v>27336</v>
      </c>
      <c r="H584" s="56">
        <v>27538</v>
      </c>
      <c r="I584" s="56">
        <v>27494</v>
      </c>
      <c r="J584" s="56">
        <v>27344</v>
      </c>
      <c r="K584" s="56">
        <v>27349</v>
      </c>
      <c r="L584" s="56">
        <v>27567</v>
      </c>
      <c r="M584" s="77"/>
      <c r="N584" s="77"/>
      <c r="O584" s="77"/>
      <c r="P584" s="77"/>
      <c r="Q584" s="77"/>
      <c r="R584" s="77"/>
      <c r="S584" s="77"/>
      <c r="T584" s="132"/>
      <c r="U584" s="77"/>
      <c r="V584" s="133"/>
    </row>
    <row r="585" spans="1:25" ht="39.9" x14ac:dyDescent="0.3">
      <c r="A585" s="156"/>
      <c r="B585" s="149"/>
      <c r="C585" s="71" t="s">
        <v>123</v>
      </c>
      <c r="D585" s="38">
        <f t="shared" ref="D585:L585" si="191">IF(((D583="")*AND(D584="")),"",(D583-D584)*1)</f>
        <v>1895</v>
      </c>
      <c r="E585" s="38">
        <f t="shared" si="191"/>
        <v>1872</v>
      </c>
      <c r="F585" s="38">
        <f t="shared" si="191"/>
        <v>1810</v>
      </c>
      <c r="G585" s="38">
        <f t="shared" si="191"/>
        <v>1906</v>
      </c>
      <c r="H585" s="38">
        <f t="shared" si="191"/>
        <v>1903</v>
      </c>
      <c r="I585" s="38">
        <f t="shared" si="191"/>
        <v>1927</v>
      </c>
      <c r="J585" s="38">
        <f t="shared" si="191"/>
        <v>1889</v>
      </c>
      <c r="K585" s="38">
        <f t="shared" si="191"/>
        <v>1894</v>
      </c>
      <c r="L585" s="38">
        <f t="shared" si="191"/>
        <v>1849</v>
      </c>
      <c r="M585" s="135"/>
      <c r="N585" s="135"/>
      <c r="O585" s="135"/>
      <c r="P585" s="135"/>
      <c r="Q585" s="135"/>
      <c r="R585" s="135"/>
      <c r="S585" s="135"/>
      <c r="T585" s="136"/>
      <c r="U585" s="135"/>
      <c r="V585" s="137"/>
    </row>
    <row r="586" spans="1:25" x14ac:dyDescent="0.3">
      <c r="A586" s="154">
        <v>43314</v>
      </c>
      <c r="B586" s="129" t="s">
        <v>124</v>
      </c>
      <c r="C586" s="71" t="s">
        <v>88</v>
      </c>
      <c r="D586" s="56">
        <v>29366.79</v>
      </c>
      <c r="E586" s="56">
        <v>29286.92</v>
      </c>
      <c r="F586" s="56">
        <v>29308.91</v>
      </c>
      <c r="G586" s="56">
        <v>29261.66</v>
      </c>
      <c r="H586" s="56">
        <v>29320.799999999999</v>
      </c>
      <c r="I586" s="56">
        <v>29326.44</v>
      </c>
      <c r="J586" s="56">
        <v>29262.86</v>
      </c>
      <c r="K586" s="56">
        <v>29270.93</v>
      </c>
      <c r="L586" s="56">
        <v>29343.279999999999</v>
      </c>
      <c r="M586" s="69">
        <f>IF((L587=""),"",MAX(D588:L588))</f>
        <v>1980.3999999999978</v>
      </c>
      <c r="N586" s="69">
        <f>IF(L587="","",MIN(D588:L588))</f>
        <v>1862.2999999999993</v>
      </c>
      <c r="O586" s="69">
        <f>IF((L588=""),"",AVERAGE(D588:L588))</f>
        <v>1931.6122222222216</v>
      </c>
      <c r="P586" s="69">
        <v>1600</v>
      </c>
      <c r="Q586" s="69">
        <v>2000</v>
      </c>
      <c r="R586" s="69">
        <f>IF((L587=""),"",((M586-N586)/(M586+N586))*100)</f>
        <v>3.0733598771696626</v>
      </c>
      <c r="S586" s="69">
        <v>23</v>
      </c>
      <c r="T586" s="130" t="str">
        <f>IF(L587="","",IF(R587&lt;20,(IF(O586&gt;1730,IF(O586&lt;1970,"Pass","Fail"),"Fail"))))</f>
        <v>Pass</v>
      </c>
      <c r="U586" s="153"/>
      <c r="W586" s="56">
        <v>1730</v>
      </c>
      <c r="X586" s="56">
        <v>1970</v>
      </c>
      <c r="Y586" s="56">
        <v>6.2</v>
      </c>
    </row>
    <row r="587" spans="1:25" x14ac:dyDescent="0.3">
      <c r="A587" s="155"/>
      <c r="B587" s="147"/>
      <c r="C587" s="71" t="s">
        <v>89</v>
      </c>
      <c r="D587" s="56">
        <v>27415.93</v>
      </c>
      <c r="E587" s="56">
        <v>27375.919999999998</v>
      </c>
      <c r="F587" s="56">
        <v>27446.61</v>
      </c>
      <c r="G587" s="56">
        <v>27338.36</v>
      </c>
      <c r="H587" s="56">
        <v>27355.81</v>
      </c>
      <c r="I587" s="56">
        <v>27346.04</v>
      </c>
      <c r="J587" s="56">
        <v>27345.53</v>
      </c>
      <c r="K587" s="56">
        <v>27352.54</v>
      </c>
      <c r="L587" s="56">
        <v>27387.34</v>
      </c>
      <c r="M587" s="77"/>
      <c r="N587" s="77"/>
      <c r="O587" s="77"/>
      <c r="P587" s="77"/>
      <c r="Q587" s="77"/>
      <c r="R587" s="77"/>
      <c r="S587" s="77"/>
      <c r="T587" s="132"/>
      <c r="U587" s="77"/>
    </row>
    <row r="588" spans="1:25" ht="39.9" x14ac:dyDescent="0.3">
      <c r="A588" s="156"/>
      <c r="B588" s="149"/>
      <c r="C588" s="71" t="s">
        <v>123</v>
      </c>
      <c r="D588" s="38">
        <f t="shared" ref="D588:L588" si="192">IF(((D586="")*AND(D587="")),"",(D586-D587)*1)</f>
        <v>1950.8600000000006</v>
      </c>
      <c r="E588" s="38">
        <f t="shared" si="192"/>
        <v>1911</v>
      </c>
      <c r="F588" s="38">
        <f t="shared" si="192"/>
        <v>1862.2999999999993</v>
      </c>
      <c r="G588" s="38">
        <f t="shared" si="192"/>
        <v>1923.2999999999993</v>
      </c>
      <c r="H588" s="38">
        <f t="shared" si="192"/>
        <v>1964.989999999998</v>
      </c>
      <c r="I588" s="38">
        <f t="shared" si="192"/>
        <v>1980.3999999999978</v>
      </c>
      <c r="J588" s="38">
        <f t="shared" si="192"/>
        <v>1917.3300000000017</v>
      </c>
      <c r="K588" s="38">
        <f t="shared" si="192"/>
        <v>1918.3899999999994</v>
      </c>
      <c r="L588" s="38">
        <f t="shared" si="192"/>
        <v>1955.9399999999987</v>
      </c>
      <c r="M588" s="135"/>
      <c r="N588" s="135"/>
      <c r="O588" s="135"/>
      <c r="P588" s="135"/>
      <c r="Q588" s="135"/>
      <c r="R588" s="135"/>
      <c r="S588" s="135"/>
      <c r="T588" s="136"/>
      <c r="U588" s="135"/>
    </row>
    <row r="589" spans="1:25" x14ac:dyDescent="0.3">
      <c r="A589" s="154">
        <v>43317</v>
      </c>
      <c r="B589" s="129" t="s">
        <v>124</v>
      </c>
      <c r="C589" s="71" t="s">
        <v>88</v>
      </c>
      <c r="D589" s="56">
        <v>29127.38</v>
      </c>
      <c r="E589" s="56">
        <v>29031.67</v>
      </c>
      <c r="F589" s="56">
        <v>29042.62</v>
      </c>
      <c r="G589" s="56">
        <v>29035.24</v>
      </c>
      <c r="H589" s="56">
        <v>29108.92</v>
      </c>
      <c r="I589" s="56">
        <v>29128.799999999999</v>
      </c>
      <c r="J589" s="56">
        <v>29033.58</v>
      </c>
      <c r="K589" s="56">
        <v>29040.59</v>
      </c>
      <c r="L589" s="56">
        <v>29128.240000000002</v>
      </c>
      <c r="M589" s="69">
        <f>IF((L590=""),"",MAX(D591:L591))</f>
        <v>1903.380000000001</v>
      </c>
      <c r="N589" s="69">
        <f>IF(L590="","",MIN(D591:L591))</f>
        <v>1817.8199999999997</v>
      </c>
      <c r="O589" s="69">
        <f>IF((L591=""),"",AVERAGE(D591:L591))</f>
        <v>1864.0133333333335</v>
      </c>
      <c r="P589" s="69">
        <v>1600</v>
      </c>
      <c r="Q589" s="69">
        <v>2000</v>
      </c>
      <c r="R589" s="69">
        <f>IF((L590=""),"",((M589-N589)/(M589+N589))*100)</f>
        <v>2.2992583037730112</v>
      </c>
      <c r="S589" s="69">
        <v>23</v>
      </c>
      <c r="T589" s="130" t="str">
        <f>IF(L590="","",IF(R590&lt;20,(IF(O589&gt;1730,IF(O589&lt;1970,"Pass","Fail"),"Fail"))))</f>
        <v>Pass</v>
      </c>
      <c r="U589" s="153"/>
      <c r="W589" s="56">
        <v>1730</v>
      </c>
      <c r="X589" s="56">
        <v>1970</v>
      </c>
      <c r="Y589" s="56">
        <v>6.2</v>
      </c>
    </row>
    <row r="590" spans="1:25" x14ac:dyDescent="0.3">
      <c r="A590" s="155"/>
      <c r="B590" s="147"/>
      <c r="C590" s="71" t="s">
        <v>89</v>
      </c>
      <c r="D590" s="56">
        <v>27258.31</v>
      </c>
      <c r="E590" s="56">
        <v>27198.25</v>
      </c>
      <c r="F590" s="56">
        <v>27224.799999999999</v>
      </c>
      <c r="G590" s="56">
        <v>27179.53</v>
      </c>
      <c r="H590" s="56">
        <v>27205.65</v>
      </c>
      <c r="I590" s="56">
        <v>27225.42</v>
      </c>
      <c r="J590" s="56">
        <v>27181.599999999999</v>
      </c>
      <c r="K590" s="56">
        <v>27185.13</v>
      </c>
      <c r="L590" s="56">
        <v>27242.23</v>
      </c>
      <c r="M590" s="77"/>
      <c r="N590" s="77"/>
      <c r="O590" s="77"/>
      <c r="P590" s="77"/>
      <c r="Q590" s="77"/>
      <c r="R590" s="77"/>
      <c r="S590" s="77"/>
      <c r="T590" s="132"/>
      <c r="U590" s="77"/>
    </row>
    <row r="591" spans="1:25" ht="39.9" x14ac:dyDescent="0.3">
      <c r="A591" s="156"/>
      <c r="B591" s="149"/>
      <c r="C591" s="71" t="s">
        <v>123</v>
      </c>
      <c r="D591" s="38">
        <f t="shared" ref="D591:L591" si="193">IF(((D589="")*AND(D590="")),"",(D589-D590)*1)</f>
        <v>1869.0699999999997</v>
      </c>
      <c r="E591" s="38">
        <f t="shared" si="193"/>
        <v>1833.4199999999983</v>
      </c>
      <c r="F591" s="38">
        <f t="shared" si="193"/>
        <v>1817.8199999999997</v>
      </c>
      <c r="G591" s="38">
        <f t="shared" si="193"/>
        <v>1855.7100000000028</v>
      </c>
      <c r="H591" s="38">
        <f t="shared" si="193"/>
        <v>1903.2699999999968</v>
      </c>
      <c r="I591" s="38">
        <f t="shared" si="193"/>
        <v>1903.380000000001</v>
      </c>
      <c r="J591" s="38">
        <f t="shared" si="193"/>
        <v>1851.9800000000032</v>
      </c>
      <c r="K591" s="38">
        <f t="shared" si="193"/>
        <v>1855.4599999999991</v>
      </c>
      <c r="L591" s="38">
        <f t="shared" si="193"/>
        <v>1886.010000000002</v>
      </c>
      <c r="M591" s="135"/>
      <c r="N591" s="135"/>
      <c r="O591" s="135"/>
      <c r="P591" s="135"/>
      <c r="Q591" s="135"/>
      <c r="R591" s="135"/>
      <c r="S591" s="135"/>
      <c r="T591" s="136"/>
      <c r="U591" s="135"/>
    </row>
    <row r="592" spans="1:25" x14ac:dyDescent="0.3">
      <c r="A592" s="154">
        <v>43320</v>
      </c>
      <c r="B592" s="129" t="s">
        <v>124</v>
      </c>
      <c r="C592" s="71" t="s">
        <v>88</v>
      </c>
      <c r="D592" s="56">
        <v>29400.42</v>
      </c>
      <c r="E592" s="56">
        <v>29303.54</v>
      </c>
      <c r="F592" s="56">
        <v>29339.19</v>
      </c>
      <c r="G592" s="56">
        <v>29261.21</v>
      </c>
      <c r="H592" s="56">
        <v>29382.58</v>
      </c>
      <c r="I592" s="56">
        <v>29364.54</v>
      </c>
      <c r="J592" s="56">
        <v>29321.46</v>
      </c>
      <c r="K592" s="56">
        <v>29292.85</v>
      </c>
      <c r="L592" s="56">
        <v>29364.3</v>
      </c>
      <c r="M592" s="69">
        <f>IF((L593=""),"",MAX(D594:L594))</f>
        <v>1966.4500000000007</v>
      </c>
      <c r="N592" s="69">
        <f>IF(L593="","",MIN(D594:L594))</f>
        <v>1837.239999999998</v>
      </c>
      <c r="O592" s="69">
        <f>IF((L594=""),"",AVERAGE(D594:L594))</f>
        <v>1913.8244444444435</v>
      </c>
      <c r="P592" s="69">
        <v>1600</v>
      </c>
      <c r="Q592" s="69">
        <v>2000</v>
      </c>
      <c r="R592" s="69">
        <f>IF((L593=""),"",((M592-N592)/(M592+N592))*100)</f>
        <v>3.3969645265519226</v>
      </c>
      <c r="S592" s="69">
        <v>23</v>
      </c>
      <c r="T592" s="130" t="str">
        <f>IF(L593="","",IF(R593&lt;20,(IF(O592&gt;1730,IF(O592&lt;1970,"Pass","Fail"),"Fail"))))</f>
        <v>Pass</v>
      </c>
      <c r="U592" s="153">
        <v>1428</v>
      </c>
      <c r="W592" s="56">
        <v>1730</v>
      </c>
      <c r="X592" s="56">
        <v>1970</v>
      </c>
      <c r="Y592" s="56">
        <v>6.2</v>
      </c>
    </row>
    <row r="593" spans="1:25" x14ac:dyDescent="0.3">
      <c r="A593" s="155"/>
      <c r="B593" s="147"/>
      <c r="C593" s="71" t="s">
        <v>89</v>
      </c>
      <c r="D593" s="56">
        <v>27443.82</v>
      </c>
      <c r="E593" s="56">
        <v>27417.15</v>
      </c>
      <c r="F593" s="56">
        <v>27501.95</v>
      </c>
      <c r="G593" s="56">
        <v>27396.240000000002</v>
      </c>
      <c r="H593" s="56">
        <v>27416.13</v>
      </c>
      <c r="I593" s="56">
        <v>27408.1</v>
      </c>
      <c r="J593" s="56">
        <v>27408.080000000002</v>
      </c>
      <c r="K593" s="56">
        <v>27355.8</v>
      </c>
      <c r="L593" s="56">
        <v>27458.400000000001</v>
      </c>
      <c r="M593" s="77"/>
      <c r="N593" s="77"/>
      <c r="O593" s="77"/>
      <c r="P593" s="77"/>
      <c r="Q593" s="77"/>
      <c r="R593" s="77"/>
      <c r="S593" s="77"/>
      <c r="T593" s="132"/>
      <c r="U593" s="77"/>
    </row>
    <row r="594" spans="1:25" ht="39.9" x14ac:dyDescent="0.3">
      <c r="A594" s="156"/>
      <c r="B594" s="149"/>
      <c r="C594" s="71" t="s">
        <v>123</v>
      </c>
      <c r="D594" s="38">
        <f t="shared" ref="D594:L594" si="194">IF(((D592="")*AND(D593="")),"",(D592-D593)*1)</f>
        <v>1956.5999999999985</v>
      </c>
      <c r="E594" s="38">
        <f t="shared" si="194"/>
        <v>1886.3899999999994</v>
      </c>
      <c r="F594" s="38">
        <f t="shared" si="194"/>
        <v>1837.239999999998</v>
      </c>
      <c r="G594" s="38">
        <f t="shared" si="194"/>
        <v>1864.9699999999975</v>
      </c>
      <c r="H594" s="38">
        <f t="shared" si="194"/>
        <v>1966.4500000000007</v>
      </c>
      <c r="I594" s="38">
        <f t="shared" si="194"/>
        <v>1956.4400000000023</v>
      </c>
      <c r="J594" s="38">
        <f t="shared" si="194"/>
        <v>1913.3799999999974</v>
      </c>
      <c r="K594" s="38">
        <f t="shared" si="194"/>
        <v>1937.0499999999993</v>
      </c>
      <c r="L594" s="38">
        <f t="shared" si="194"/>
        <v>1905.8999999999978</v>
      </c>
      <c r="M594" s="135"/>
      <c r="N594" s="135"/>
      <c r="O594" s="135"/>
      <c r="P594" s="135"/>
      <c r="Q594" s="135"/>
      <c r="R594" s="135"/>
      <c r="S594" s="135"/>
      <c r="T594" s="136"/>
      <c r="U594" s="135"/>
    </row>
    <row r="595" spans="1:25" x14ac:dyDescent="0.3">
      <c r="A595" s="154">
        <v>43324</v>
      </c>
      <c r="B595" s="129" t="s">
        <v>124</v>
      </c>
      <c r="C595" s="71" t="s">
        <v>88</v>
      </c>
      <c r="D595" s="56">
        <v>29247.62</v>
      </c>
      <c r="E595" s="56">
        <v>29204.3</v>
      </c>
      <c r="F595" s="56">
        <v>29253.759999999998</v>
      </c>
      <c r="G595" s="56">
        <v>29216.35</v>
      </c>
      <c r="H595" s="56">
        <v>29287.39</v>
      </c>
      <c r="I595" s="56">
        <v>29269.72</v>
      </c>
      <c r="J595" s="56">
        <v>29209.99</v>
      </c>
      <c r="K595" s="56">
        <v>29195.53</v>
      </c>
      <c r="L595" s="56">
        <v>29248.76</v>
      </c>
      <c r="M595" s="69">
        <f>IF((L596=""),"",MAX(D597:L597))</f>
        <v>1894.9799999999996</v>
      </c>
      <c r="N595" s="69">
        <f>IF(L596="","",MIN(D597:L597))</f>
        <v>1504.5099999999984</v>
      </c>
      <c r="O595" s="69">
        <f>IF((L597=""),"",AVERAGE(D597:L597))</f>
        <v>1828.4888888888886</v>
      </c>
      <c r="P595" s="69">
        <v>1600</v>
      </c>
      <c r="Q595" s="69">
        <v>2000</v>
      </c>
      <c r="R595" s="69">
        <f>IF((L596=""),"",((M595-N595)/(M595+N595))*100)</f>
        <v>11.486134684908659</v>
      </c>
      <c r="S595" s="69">
        <v>23</v>
      </c>
      <c r="T595" s="130" t="str">
        <f>IF(L596="","",IF(R596&lt;20,(IF(O595&gt;1730,IF(O595&lt;1970,"Pass","Fail"),"Fail"))))</f>
        <v>Pass</v>
      </c>
      <c r="U595" s="153">
        <v>74</v>
      </c>
      <c r="W595" s="56">
        <v>1730</v>
      </c>
      <c r="X595" s="56">
        <v>1970</v>
      </c>
      <c r="Y595" s="56">
        <v>6.2</v>
      </c>
    </row>
    <row r="596" spans="1:25" x14ac:dyDescent="0.3">
      <c r="A596" s="155"/>
      <c r="B596" s="147"/>
      <c r="C596" s="71" t="s">
        <v>89</v>
      </c>
      <c r="D596" s="56">
        <v>27352.639999999999</v>
      </c>
      <c r="E596" s="56">
        <v>27354.17</v>
      </c>
      <c r="F596" s="56">
        <v>27749.25</v>
      </c>
      <c r="G596" s="56">
        <v>27352.720000000001</v>
      </c>
      <c r="H596" s="56">
        <v>27400.3</v>
      </c>
      <c r="I596" s="56">
        <v>27405.77</v>
      </c>
      <c r="J596" s="56">
        <v>27345.96</v>
      </c>
      <c r="K596" s="56">
        <v>27329.040000000001</v>
      </c>
      <c r="L596" s="56">
        <v>27387.17</v>
      </c>
      <c r="M596" s="77"/>
      <c r="N596" s="77"/>
      <c r="O596" s="77"/>
      <c r="P596" s="77"/>
      <c r="Q596" s="77"/>
      <c r="R596" s="77"/>
      <c r="S596" s="77"/>
      <c r="T596" s="132"/>
      <c r="U596" s="77"/>
    </row>
    <row r="597" spans="1:25" ht="39.9" x14ac:dyDescent="0.3">
      <c r="A597" s="156"/>
      <c r="B597" s="149"/>
      <c r="C597" s="71" t="s">
        <v>123</v>
      </c>
      <c r="D597" s="38">
        <f t="shared" ref="D597:L597" si="195">IF(((D595="")*AND(D596="")),"",(D595-D596)*1)</f>
        <v>1894.9799999999996</v>
      </c>
      <c r="E597" s="38">
        <f t="shared" si="195"/>
        <v>1850.130000000001</v>
      </c>
      <c r="F597" s="38">
        <f t="shared" si="195"/>
        <v>1504.5099999999984</v>
      </c>
      <c r="G597" s="38">
        <f t="shared" si="195"/>
        <v>1863.6299999999974</v>
      </c>
      <c r="H597" s="38">
        <f t="shared" si="195"/>
        <v>1887.0900000000001</v>
      </c>
      <c r="I597" s="38">
        <f t="shared" si="195"/>
        <v>1863.9500000000007</v>
      </c>
      <c r="J597" s="38">
        <f t="shared" si="195"/>
        <v>1864.0300000000025</v>
      </c>
      <c r="K597" s="38">
        <f t="shared" si="195"/>
        <v>1866.489999999998</v>
      </c>
      <c r="L597" s="38">
        <f t="shared" si="195"/>
        <v>1861.5900000000001</v>
      </c>
      <c r="M597" s="135"/>
      <c r="N597" s="135"/>
      <c r="O597" s="135"/>
      <c r="P597" s="135"/>
      <c r="Q597" s="135"/>
      <c r="R597" s="135"/>
      <c r="S597" s="135"/>
      <c r="T597" s="136"/>
      <c r="U597" s="135"/>
    </row>
    <row r="598" spans="1:25" x14ac:dyDescent="0.3">
      <c r="A598" s="154">
        <v>43328</v>
      </c>
      <c r="B598" s="129" t="s">
        <v>124</v>
      </c>
      <c r="C598" s="71" t="s">
        <v>88</v>
      </c>
      <c r="D598" s="56">
        <v>29220.46</v>
      </c>
      <c r="E598" s="56">
        <v>29235.279999999999</v>
      </c>
      <c r="F598" s="56">
        <v>29235.279999999999</v>
      </c>
      <c r="G598" s="56">
        <v>29129.09</v>
      </c>
      <c r="H598" s="56">
        <v>29190.06</v>
      </c>
      <c r="I598" s="56">
        <v>29220.46</v>
      </c>
      <c r="J598" s="56">
        <v>29172.47</v>
      </c>
      <c r="K598" s="56">
        <v>29093.32</v>
      </c>
      <c r="L598" s="56">
        <v>29190.06</v>
      </c>
      <c r="M598" s="69">
        <f>IF((L599=""),"",MAX(D600:L600))</f>
        <v>1885.9699999999975</v>
      </c>
      <c r="N598" s="69">
        <f>IF(L599="","",MIN(D600:L600))</f>
        <v>1753.9700000000012</v>
      </c>
      <c r="O598" s="69">
        <f>IF((L600=""),"",AVERAGE(D600:L600))</f>
        <v>1835.3122222222228</v>
      </c>
      <c r="P598" s="69">
        <v>1600</v>
      </c>
      <c r="Q598" s="69">
        <v>2000</v>
      </c>
      <c r="R598" s="69">
        <f>IF((L599=""),"",((M598-N598)/(M598+N598))*100)</f>
        <v>3.6264334027482983</v>
      </c>
      <c r="S598" s="69">
        <v>23</v>
      </c>
      <c r="T598" s="130" t="str">
        <f>IF(L599="","",IF(R599&lt;20,(IF(O598&gt;1730,IF(O598&lt;1970,"Pass","Fail"),"Fail"))))</f>
        <v>Pass</v>
      </c>
      <c r="U598" s="153">
        <v>1335</v>
      </c>
      <c r="W598" s="56">
        <v>1730</v>
      </c>
      <c r="X598" s="56">
        <v>1970</v>
      </c>
      <c r="Y598" s="56">
        <v>6.2</v>
      </c>
    </row>
    <row r="599" spans="1:25" x14ac:dyDescent="0.3">
      <c r="A599" s="155"/>
      <c r="B599" s="147"/>
      <c r="C599" s="71" t="s">
        <v>89</v>
      </c>
      <c r="D599" s="56">
        <v>27392.48</v>
      </c>
      <c r="E599" s="56">
        <v>27349.31</v>
      </c>
      <c r="F599" s="56">
        <v>27349.31</v>
      </c>
      <c r="G599" s="56">
        <v>27339.39</v>
      </c>
      <c r="H599" s="56">
        <v>27339.35</v>
      </c>
      <c r="I599" s="56">
        <v>27348.85</v>
      </c>
      <c r="J599" s="56">
        <v>27348.85</v>
      </c>
      <c r="K599" s="56">
        <v>27339.35</v>
      </c>
      <c r="L599" s="56">
        <v>27361.78</v>
      </c>
      <c r="M599" s="77"/>
      <c r="N599" s="77"/>
      <c r="O599" s="77"/>
      <c r="P599" s="77"/>
      <c r="Q599" s="77"/>
      <c r="R599" s="77"/>
      <c r="S599" s="77"/>
      <c r="T599" s="132"/>
      <c r="U599" s="77"/>
    </row>
    <row r="600" spans="1:25" ht="39.9" x14ac:dyDescent="0.3">
      <c r="A600" s="156"/>
      <c r="B600" s="149"/>
      <c r="C600" s="71" t="s">
        <v>123</v>
      </c>
      <c r="D600" s="38">
        <f t="shared" ref="D600:L600" si="196">IF(((D598="")*AND(D599="")),"",(D598-D599)*1)</f>
        <v>1827.9799999999996</v>
      </c>
      <c r="E600" s="38">
        <f t="shared" si="196"/>
        <v>1885.9699999999975</v>
      </c>
      <c r="F600" s="38">
        <f t="shared" si="196"/>
        <v>1885.9699999999975</v>
      </c>
      <c r="G600" s="38">
        <f t="shared" si="196"/>
        <v>1789.7000000000007</v>
      </c>
      <c r="H600" s="38">
        <f t="shared" si="196"/>
        <v>1850.7100000000028</v>
      </c>
      <c r="I600" s="38">
        <f t="shared" si="196"/>
        <v>1871.6100000000006</v>
      </c>
      <c r="J600" s="38">
        <f t="shared" si="196"/>
        <v>1823.6200000000026</v>
      </c>
      <c r="K600" s="38">
        <f t="shared" si="196"/>
        <v>1753.9700000000012</v>
      </c>
      <c r="L600" s="38">
        <f t="shared" si="196"/>
        <v>1828.2800000000025</v>
      </c>
      <c r="M600" s="135"/>
      <c r="N600" s="135"/>
      <c r="O600" s="135"/>
      <c r="P600" s="135"/>
      <c r="Q600" s="135"/>
      <c r="R600" s="135"/>
      <c r="S600" s="135"/>
      <c r="T600" s="136"/>
      <c r="U600" s="135"/>
    </row>
    <row r="601" spans="1:25" x14ac:dyDescent="0.3">
      <c r="A601" s="154">
        <v>43332</v>
      </c>
      <c r="B601" s="129" t="s">
        <v>124</v>
      </c>
      <c r="C601" s="71" t="s">
        <v>88</v>
      </c>
      <c r="D601" s="56">
        <v>29169.53</v>
      </c>
      <c r="E601" s="56">
        <v>29077.68</v>
      </c>
      <c r="F601" s="56">
        <v>29126.57</v>
      </c>
      <c r="G601" s="56">
        <v>29084.63</v>
      </c>
      <c r="H601" s="56">
        <v>29186.31</v>
      </c>
      <c r="I601" s="56">
        <v>29162.91</v>
      </c>
      <c r="J601" s="56">
        <v>29093.64</v>
      </c>
      <c r="K601" s="56">
        <v>29119.74</v>
      </c>
      <c r="L601" s="56">
        <v>29151.37</v>
      </c>
      <c r="M601" s="69">
        <f>IF((L602=""),"",MAX(D603:L603))</f>
        <v>1990.5699999999997</v>
      </c>
      <c r="N601" s="69">
        <f>IF(L602="","",MIN(D603:L603))</f>
        <v>1710.6800000000003</v>
      </c>
      <c r="O601" s="69">
        <f>IF((L603=""),"",AVERAGE(D603:L603))</f>
        <v>1894.5755555555556</v>
      </c>
      <c r="P601" s="69">
        <v>1600</v>
      </c>
      <c r="Q601" s="69">
        <v>2000</v>
      </c>
      <c r="R601" s="69">
        <f>IF((L602=""),"",((M601-N601)/(M601+N601))*100)</f>
        <v>7.5620398514015381</v>
      </c>
      <c r="S601" s="69">
        <v>23</v>
      </c>
      <c r="T601" s="130" t="str">
        <f>IF(L602="","",IF(R602&lt;20,(IF(O601&gt;1730,IF(O601&lt;1970,"Pass","Fail"),"Fail"))))</f>
        <v>Pass</v>
      </c>
      <c r="U601" s="153">
        <v>1340</v>
      </c>
      <c r="W601" s="56">
        <v>1730</v>
      </c>
      <c r="X601" s="56">
        <v>1970</v>
      </c>
      <c r="Y601" s="56">
        <v>6.2</v>
      </c>
    </row>
    <row r="602" spans="1:25" x14ac:dyDescent="0.3">
      <c r="A602" s="155"/>
      <c r="B602" s="147"/>
      <c r="C602" s="71" t="s">
        <v>89</v>
      </c>
      <c r="D602" s="56">
        <v>27283.4</v>
      </c>
      <c r="E602" s="56">
        <v>27218.09</v>
      </c>
      <c r="F602" s="56">
        <v>27415.89</v>
      </c>
      <c r="G602" s="56">
        <v>27196.45</v>
      </c>
      <c r="H602" s="56">
        <v>27217.82</v>
      </c>
      <c r="I602" s="56">
        <v>27172.34</v>
      </c>
      <c r="J602" s="56">
        <v>27187.43</v>
      </c>
      <c r="K602" s="56">
        <v>27203.599999999999</v>
      </c>
      <c r="L602" s="56">
        <v>27226.18</v>
      </c>
      <c r="M602" s="77"/>
      <c r="N602" s="77"/>
      <c r="O602" s="77"/>
      <c r="P602" s="77"/>
      <c r="Q602" s="77"/>
      <c r="R602" s="77"/>
      <c r="S602" s="77"/>
      <c r="T602" s="132"/>
      <c r="U602" s="77"/>
    </row>
    <row r="603" spans="1:25" ht="39.9" x14ac:dyDescent="0.3">
      <c r="A603" s="156"/>
      <c r="B603" s="149"/>
      <c r="C603" s="71" t="s">
        <v>123</v>
      </c>
      <c r="D603" s="38">
        <f t="shared" ref="D603:L603" si="197">IF(((D601="")*AND(D602="")),"",(D601-D602)*1)</f>
        <v>1886.1299999999974</v>
      </c>
      <c r="E603" s="38">
        <f t="shared" si="197"/>
        <v>1859.5900000000001</v>
      </c>
      <c r="F603" s="38">
        <f t="shared" si="197"/>
        <v>1710.6800000000003</v>
      </c>
      <c r="G603" s="38">
        <f t="shared" si="197"/>
        <v>1888.1800000000003</v>
      </c>
      <c r="H603" s="38">
        <f t="shared" si="197"/>
        <v>1968.4900000000016</v>
      </c>
      <c r="I603" s="38">
        <f t="shared" si="197"/>
        <v>1990.5699999999997</v>
      </c>
      <c r="J603" s="38">
        <f t="shared" si="197"/>
        <v>1906.2099999999991</v>
      </c>
      <c r="K603" s="38">
        <f t="shared" si="197"/>
        <v>1916.1400000000031</v>
      </c>
      <c r="L603" s="38">
        <f t="shared" si="197"/>
        <v>1925.1899999999987</v>
      </c>
      <c r="M603" s="135"/>
      <c r="N603" s="135"/>
      <c r="O603" s="135"/>
      <c r="P603" s="135"/>
      <c r="Q603" s="135"/>
      <c r="R603" s="135"/>
      <c r="S603" s="135"/>
      <c r="T603" s="136"/>
      <c r="U603" s="135"/>
    </row>
    <row r="604" spans="1:25" x14ac:dyDescent="0.3">
      <c r="A604" s="154" t="s">
        <v>130</v>
      </c>
      <c r="B604" s="129" t="s">
        <v>124</v>
      </c>
      <c r="C604" s="71" t="s">
        <v>88</v>
      </c>
      <c r="D604" s="56">
        <v>29162</v>
      </c>
      <c r="E604" s="56">
        <v>29065</v>
      </c>
      <c r="F604" s="56">
        <v>29065</v>
      </c>
      <c r="G604" s="56">
        <v>29126</v>
      </c>
      <c r="H604" s="56">
        <v>29144</v>
      </c>
      <c r="I604" s="56">
        <v>29059</v>
      </c>
      <c r="J604" s="56">
        <v>29060</v>
      </c>
      <c r="K604" s="144">
        <v>29145</v>
      </c>
      <c r="L604" s="144">
        <v>29103</v>
      </c>
      <c r="M604" s="69">
        <f>IF((L605=""),"",MAX(D606:L606))</f>
        <v>1946</v>
      </c>
      <c r="N604" s="69">
        <f>IF(L605="","",MIN(D606:L606))</f>
        <v>1766</v>
      </c>
      <c r="O604" s="69">
        <f>IF((L606=""),"",AVERAGE(D606:L606))</f>
        <v>1860.5555555555557</v>
      </c>
      <c r="P604" s="69">
        <v>1600</v>
      </c>
      <c r="Q604" s="69">
        <v>2000</v>
      </c>
      <c r="R604" s="69">
        <f>IF((L605=""),"",((M604-N604)/(M604+N604))*100)</f>
        <v>4.8491379310344831</v>
      </c>
      <c r="S604" s="69">
        <v>23</v>
      </c>
      <c r="T604" s="130" t="str">
        <f>IF(L605="","",IF(R605&lt;20,(IF(O604&gt;1730,IF(O604&lt;1970,"Pass","Fail"),"Fail"))))</f>
        <v>Pass</v>
      </c>
      <c r="U604" s="153">
        <v>1340</v>
      </c>
      <c r="W604" s="56">
        <v>1730</v>
      </c>
      <c r="X604" s="56">
        <v>1970</v>
      </c>
      <c r="Y604" s="56">
        <v>6.2</v>
      </c>
    </row>
    <row r="605" spans="1:25" x14ac:dyDescent="0.3">
      <c r="A605" s="155"/>
      <c r="B605" s="147"/>
      <c r="C605" s="71" t="s">
        <v>89</v>
      </c>
      <c r="D605" s="56">
        <v>27285</v>
      </c>
      <c r="E605" s="56">
        <v>27229</v>
      </c>
      <c r="F605" s="56">
        <v>27269</v>
      </c>
      <c r="G605" s="56">
        <v>27198</v>
      </c>
      <c r="H605" s="56">
        <v>27224</v>
      </c>
      <c r="I605" s="56">
        <v>27230</v>
      </c>
      <c r="J605" s="56">
        <v>27294</v>
      </c>
      <c r="K605" s="56">
        <v>27199</v>
      </c>
      <c r="L605" s="56">
        <v>27256</v>
      </c>
      <c r="M605" s="77"/>
      <c r="N605" s="77"/>
      <c r="O605" s="77"/>
      <c r="P605" s="77"/>
      <c r="Q605" s="77"/>
      <c r="R605" s="77"/>
      <c r="S605" s="77"/>
      <c r="T605" s="132"/>
      <c r="U605" s="77"/>
    </row>
    <row r="606" spans="1:25" ht="39.9" x14ac:dyDescent="0.3">
      <c r="A606" s="156"/>
      <c r="B606" s="149"/>
      <c r="C606" s="71" t="s">
        <v>123</v>
      </c>
      <c r="D606" s="38">
        <f t="shared" ref="D606:L606" si="198">IF(((D604="")*AND(D605="")),"",(D604-D605)*1)</f>
        <v>1877</v>
      </c>
      <c r="E606" s="38">
        <f t="shared" si="198"/>
        <v>1836</v>
      </c>
      <c r="F606" s="38">
        <f t="shared" si="198"/>
        <v>1796</v>
      </c>
      <c r="G606" s="38">
        <f t="shared" si="198"/>
        <v>1928</v>
      </c>
      <c r="H606" s="38">
        <f t="shared" si="198"/>
        <v>1920</v>
      </c>
      <c r="I606" s="38">
        <f t="shared" si="198"/>
        <v>1829</v>
      </c>
      <c r="J606" s="38">
        <f t="shared" si="198"/>
        <v>1766</v>
      </c>
      <c r="K606" s="38">
        <f t="shared" si="198"/>
        <v>1946</v>
      </c>
      <c r="L606" s="38">
        <f t="shared" si="198"/>
        <v>1847</v>
      </c>
      <c r="M606" s="135"/>
      <c r="N606" s="135"/>
      <c r="O606" s="135"/>
      <c r="P606" s="135"/>
      <c r="Q606" s="135"/>
      <c r="R606" s="135"/>
      <c r="S606" s="135"/>
      <c r="T606" s="136"/>
      <c r="U606" s="135"/>
    </row>
    <row r="607" spans="1:25" x14ac:dyDescent="0.3">
      <c r="A607" s="154">
        <v>43339</v>
      </c>
      <c r="B607" s="129" t="s">
        <v>124</v>
      </c>
      <c r="C607" s="71" t="s">
        <v>88</v>
      </c>
      <c r="D607" s="56">
        <v>29207.63</v>
      </c>
      <c r="E607" s="56">
        <v>29075.83</v>
      </c>
      <c r="F607" s="56">
        <v>29114.93</v>
      </c>
      <c r="G607" s="56">
        <v>29134</v>
      </c>
      <c r="H607" s="56">
        <v>29142.42</v>
      </c>
      <c r="I607" s="56">
        <v>29171.26</v>
      </c>
      <c r="J607" s="56">
        <v>29086.95</v>
      </c>
      <c r="K607" s="56">
        <v>29101.53</v>
      </c>
      <c r="L607" s="56">
        <v>29174.63</v>
      </c>
      <c r="M607" s="69">
        <f>IF((L608=""),"",MAX(D609:L609))</f>
        <v>2007.880000000001</v>
      </c>
      <c r="N607" s="69">
        <f>IF(L608="","",MIN(D609:L609))</f>
        <v>1880.2200000000012</v>
      </c>
      <c r="O607" s="69">
        <f>IF((L609=""),"",AVERAGE(D609:L609))</f>
        <v>1938.8711111111115</v>
      </c>
      <c r="P607" s="69">
        <v>1600</v>
      </c>
      <c r="Q607" s="69">
        <v>2000</v>
      </c>
      <c r="R607" s="69">
        <f>IF((L608=""),"",((M607-N607)/(M607+N607))*100)</f>
        <v>3.2833517656438818</v>
      </c>
      <c r="S607" s="69">
        <v>23</v>
      </c>
      <c r="T607" s="130" t="str">
        <f>IF(L608="","",IF(R608&lt;20,(IF(O607&gt;1730,IF(O607&lt;1970,"Pass","Fail"),"Fail"))))</f>
        <v>Pass</v>
      </c>
      <c r="U607" s="153">
        <v>1335</v>
      </c>
      <c r="W607" s="56">
        <v>1730</v>
      </c>
      <c r="X607" s="56">
        <v>1970</v>
      </c>
      <c r="Y607" s="56">
        <v>6.2</v>
      </c>
    </row>
    <row r="608" spans="1:25" x14ac:dyDescent="0.3">
      <c r="A608" s="155"/>
      <c r="B608" s="147"/>
      <c r="C608" s="71" t="s">
        <v>89</v>
      </c>
      <c r="D608" s="56">
        <v>27257.18</v>
      </c>
      <c r="E608" s="56">
        <v>27195.61</v>
      </c>
      <c r="F608" s="56">
        <v>27214.85</v>
      </c>
      <c r="G608" s="56">
        <v>27126.12</v>
      </c>
      <c r="H608" s="56">
        <v>27170.9</v>
      </c>
      <c r="I608" s="56">
        <v>27183.05</v>
      </c>
      <c r="J608" s="56">
        <v>27195.07</v>
      </c>
      <c r="K608" s="56">
        <v>27166.1</v>
      </c>
      <c r="L608" s="56">
        <v>27250.46</v>
      </c>
      <c r="M608" s="77"/>
      <c r="N608" s="77"/>
      <c r="O608" s="77"/>
      <c r="P608" s="77"/>
      <c r="Q608" s="77"/>
      <c r="R608" s="77"/>
      <c r="S608" s="77"/>
      <c r="T608" s="132"/>
      <c r="U608" s="77"/>
    </row>
    <row r="609" spans="1:25" ht="39.9" x14ac:dyDescent="0.3">
      <c r="A609" s="156"/>
      <c r="B609" s="149"/>
      <c r="C609" s="71" t="s">
        <v>123</v>
      </c>
      <c r="D609" s="38">
        <f t="shared" ref="D609:L609" si="199">IF(((D607="")*AND(D608="")),"",(D607-D608)*1)</f>
        <v>1950.4500000000007</v>
      </c>
      <c r="E609" s="38">
        <f t="shared" si="199"/>
        <v>1880.2200000000012</v>
      </c>
      <c r="F609" s="38">
        <f t="shared" si="199"/>
        <v>1900.0800000000017</v>
      </c>
      <c r="G609" s="38">
        <f t="shared" si="199"/>
        <v>2007.880000000001</v>
      </c>
      <c r="H609" s="38">
        <f t="shared" si="199"/>
        <v>1971.5199999999968</v>
      </c>
      <c r="I609" s="38">
        <f t="shared" si="199"/>
        <v>1988.2099999999991</v>
      </c>
      <c r="J609" s="38">
        <f t="shared" si="199"/>
        <v>1891.880000000001</v>
      </c>
      <c r="K609" s="38">
        <f t="shared" si="199"/>
        <v>1935.4300000000003</v>
      </c>
      <c r="L609" s="38">
        <f t="shared" si="199"/>
        <v>1924.1700000000019</v>
      </c>
      <c r="M609" s="135"/>
      <c r="N609" s="135"/>
      <c r="O609" s="135"/>
      <c r="P609" s="135"/>
      <c r="Q609" s="135"/>
      <c r="R609" s="135"/>
      <c r="S609" s="135"/>
      <c r="T609" s="136"/>
      <c r="U609" s="135"/>
    </row>
    <row r="610" spans="1:25" x14ac:dyDescent="0.3">
      <c r="A610" s="154">
        <v>43342</v>
      </c>
      <c r="B610" s="129" t="s">
        <v>124</v>
      </c>
      <c r="C610" s="71" t="s">
        <v>88</v>
      </c>
      <c r="D610" s="56">
        <v>29147.79</v>
      </c>
      <c r="E610" s="56">
        <v>29091.45</v>
      </c>
      <c r="F610" s="56">
        <v>29126.84</v>
      </c>
      <c r="G610" s="56">
        <v>29082.31</v>
      </c>
      <c r="H610" s="56">
        <v>29121.19</v>
      </c>
      <c r="I610" s="56">
        <v>29149.84</v>
      </c>
      <c r="J610" s="56">
        <v>29074.560000000001</v>
      </c>
      <c r="K610" s="56">
        <v>29092.9</v>
      </c>
      <c r="L610" s="56">
        <v>29133.38</v>
      </c>
      <c r="M610" s="69">
        <f>IF((L611=""),"",MAX(D612:L612))</f>
        <v>1944.4799999999996</v>
      </c>
      <c r="N610" s="69">
        <f>IF(L611="","",MIN(D612:L612))</f>
        <v>1832.7299999999996</v>
      </c>
      <c r="O610" s="69">
        <f>IF((L612=""),"",AVERAGE(D612:L612))</f>
        <v>1914.7355555555562</v>
      </c>
      <c r="P610" s="69">
        <v>1600</v>
      </c>
      <c r="Q610" s="69">
        <v>2000</v>
      </c>
      <c r="R610" s="69">
        <f>IF((L611=""),"",((M610-N610)/(M610+N610))*100)</f>
        <v>2.958532885383657</v>
      </c>
      <c r="S610" s="69">
        <v>23</v>
      </c>
      <c r="T610" s="130" t="str">
        <f>IF(L611="","",IF(R611&lt;20,(IF(O610&gt;1730,IF(O610&lt;1970,"Pass","Fail"),"Fail"))))</f>
        <v>Pass</v>
      </c>
      <c r="U610" s="153">
        <v>121</v>
      </c>
      <c r="W610" s="56">
        <v>1730</v>
      </c>
      <c r="X610" s="56">
        <v>1970</v>
      </c>
      <c r="Y610" s="56">
        <v>6.2</v>
      </c>
    </row>
    <row r="611" spans="1:25" x14ac:dyDescent="0.3">
      <c r="A611" s="155"/>
      <c r="B611" s="147"/>
      <c r="C611" s="71" t="s">
        <v>89</v>
      </c>
      <c r="D611" s="56">
        <v>27234.89</v>
      </c>
      <c r="E611" s="56">
        <v>27156.89</v>
      </c>
      <c r="F611" s="56">
        <v>27294.11</v>
      </c>
      <c r="G611" s="56">
        <v>27176.17</v>
      </c>
      <c r="H611" s="56">
        <v>27187.43</v>
      </c>
      <c r="I611" s="56">
        <v>27205.360000000001</v>
      </c>
      <c r="J611" s="56">
        <v>27180.01</v>
      </c>
      <c r="K611" s="56">
        <v>27155.45</v>
      </c>
      <c r="L611" s="56">
        <v>27197.33</v>
      </c>
      <c r="M611" s="77"/>
      <c r="N611" s="77"/>
      <c r="O611" s="77"/>
      <c r="P611" s="77"/>
      <c r="Q611" s="77"/>
      <c r="R611" s="77"/>
      <c r="S611" s="77"/>
      <c r="T611" s="132"/>
      <c r="U611" s="77"/>
    </row>
    <row r="612" spans="1:25" ht="39.9" x14ac:dyDescent="0.3">
      <c r="A612" s="156"/>
      <c r="B612" s="149"/>
      <c r="C612" s="71" t="s">
        <v>123</v>
      </c>
      <c r="D612" s="38">
        <f t="shared" ref="D612:L612" si="200">IF(((D610="")*AND(D611="")),"",(D610-D611)*1)</f>
        <v>1912.9000000000015</v>
      </c>
      <c r="E612" s="38">
        <f t="shared" si="200"/>
        <v>1934.5600000000013</v>
      </c>
      <c r="F612" s="38">
        <f t="shared" si="200"/>
        <v>1832.7299999999996</v>
      </c>
      <c r="G612" s="38">
        <f t="shared" si="200"/>
        <v>1906.1400000000031</v>
      </c>
      <c r="H612" s="38">
        <f t="shared" si="200"/>
        <v>1933.7599999999984</v>
      </c>
      <c r="I612" s="38">
        <f t="shared" si="200"/>
        <v>1944.4799999999996</v>
      </c>
      <c r="J612" s="38">
        <f t="shared" si="200"/>
        <v>1894.5500000000029</v>
      </c>
      <c r="K612" s="38">
        <f t="shared" si="200"/>
        <v>1937.4500000000007</v>
      </c>
      <c r="L612" s="38">
        <f t="shared" si="200"/>
        <v>1936.0499999999993</v>
      </c>
      <c r="M612" s="135"/>
      <c r="N612" s="135"/>
      <c r="O612" s="135"/>
      <c r="P612" s="135"/>
      <c r="Q612" s="135"/>
      <c r="R612" s="135"/>
      <c r="S612" s="135"/>
      <c r="T612" s="136"/>
      <c r="U612" s="135"/>
    </row>
    <row r="613" spans="1:25" x14ac:dyDescent="0.3">
      <c r="A613" s="154">
        <v>43344</v>
      </c>
      <c r="B613" s="129" t="s">
        <v>124</v>
      </c>
      <c r="C613" s="71" t="s">
        <v>88</v>
      </c>
      <c r="D613" s="56">
        <v>29118.5</v>
      </c>
      <c r="E613" s="56">
        <v>29030.58</v>
      </c>
      <c r="F613" s="56">
        <v>29021.94</v>
      </c>
      <c r="G613" s="56">
        <v>29015.02</v>
      </c>
      <c r="H613" s="56">
        <v>29109.01</v>
      </c>
      <c r="I613" s="56">
        <v>29103.56</v>
      </c>
      <c r="J613" s="56">
        <v>29026.3</v>
      </c>
      <c r="K613" s="56">
        <v>29015.49</v>
      </c>
      <c r="L613" s="56">
        <v>29085.39</v>
      </c>
      <c r="M613" s="69">
        <f>IF((L614=""),"",MAX(D615:L615))</f>
        <v>1911.0500000000029</v>
      </c>
      <c r="N613" s="69">
        <f>IF(L614="","",MIN(D615:L615))</f>
        <v>1808.9499999999971</v>
      </c>
      <c r="O613" s="69">
        <f>IF((L615=""),"",AVERAGE(D615:L615))</f>
        <v>1866.6433333333339</v>
      </c>
      <c r="P613" s="69">
        <v>1600</v>
      </c>
      <c r="Q613" s="69">
        <v>2000</v>
      </c>
      <c r="R613" s="69">
        <f>IF((L614=""),"",((M613-N613)/(M613+N613))*100)</f>
        <v>2.7446236559141348</v>
      </c>
      <c r="S613" s="69">
        <v>23</v>
      </c>
      <c r="T613" s="130" t="str">
        <f>IF(L614="","",IF(R614&lt;20,(IF(O613&gt;1730,IF(O613&lt;1970,"Pass","Fail"),"Fail"))))</f>
        <v>Pass</v>
      </c>
      <c r="U613" s="153">
        <v>1428</v>
      </c>
      <c r="W613" s="56">
        <v>1730</v>
      </c>
      <c r="X613" s="56">
        <v>1970</v>
      </c>
      <c r="Y613" s="56">
        <v>6.2</v>
      </c>
    </row>
    <row r="614" spans="1:25" x14ac:dyDescent="0.3">
      <c r="A614" s="155"/>
      <c r="B614" s="147"/>
      <c r="C614" s="71" t="s">
        <v>89</v>
      </c>
      <c r="D614" s="56">
        <v>27229.759999999998</v>
      </c>
      <c r="E614" s="56">
        <v>27192.16</v>
      </c>
      <c r="F614" s="56">
        <v>27212.99</v>
      </c>
      <c r="G614" s="56">
        <v>27164.43</v>
      </c>
      <c r="H614" s="56">
        <v>27211.03</v>
      </c>
      <c r="I614" s="56">
        <v>27192.51</v>
      </c>
      <c r="J614" s="56">
        <v>27174.01</v>
      </c>
      <c r="K614" s="56">
        <v>27160.79</v>
      </c>
      <c r="L614" s="56">
        <v>27188.32</v>
      </c>
      <c r="M614" s="77"/>
      <c r="N614" s="77"/>
      <c r="O614" s="77"/>
      <c r="P614" s="77"/>
      <c r="Q614" s="77"/>
      <c r="R614" s="77"/>
      <c r="S614" s="77"/>
      <c r="T614" s="132"/>
      <c r="U614" s="77"/>
    </row>
    <row r="615" spans="1:25" ht="39.9" x14ac:dyDescent="0.3">
      <c r="A615" s="156"/>
      <c r="B615" s="149"/>
      <c r="C615" s="71" t="s">
        <v>123</v>
      </c>
      <c r="D615" s="38">
        <f t="shared" ref="D615:L615" si="201">IF(((D613="")*AND(D614="")),"",(D613-D614)*1)</f>
        <v>1888.7400000000016</v>
      </c>
      <c r="E615" s="38">
        <f t="shared" si="201"/>
        <v>1838.4200000000019</v>
      </c>
      <c r="F615" s="38">
        <f t="shared" si="201"/>
        <v>1808.9499999999971</v>
      </c>
      <c r="G615" s="38">
        <f t="shared" si="201"/>
        <v>1850.5900000000001</v>
      </c>
      <c r="H615" s="38">
        <f t="shared" si="201"/>
        <v>1897.9799999999996</v>
      </c>
      <c r="I615" s="38">
        <f t="shared" si="201"/>
        <v>1911.0500000000029</v>
      </c>
      <c r="J615" s="38">
        <f t="shared" si="201"/>
        <v>1852.2900000000009</v>
      </c>
      <c r="K615" s="38">
        <f t="shared" si="201"/>
        <v>1854.7000000000007</v>
      </c>
      <c r="L615" s="38">
        <f t="shared" si="201"/>
        <v>1897.0699999999997</v>
      </c>
      <c r="M615" s="135"/>
      <c r="N615" s="135"/>
      <c r="O615" s="135"/>
      <c r="P615" s="135"/>
      <c r="Q615" s="135"/>
      <c r="R615" s="135"/>
      <c r="S615" s="135"/>
      <c r="T615" s="136"/>
      <c r="U615" s="135"/>
    </row>
    <row r="616" spans="1:25" x14ac:dyDescent="0.3">
      <c r="A616" s="154">
        <v>43348</v>
      </c>
      <c r="B616" s="129" t="s">
        <v>124</v>
      </c>
      <c r="C616" s="71" t="s">
        <v>88</v>
      </c>
      <c r="D616" s="56">
        <v>29077.53</v>
      </c>
      <c r="E616" s="56">
        <v>29017.64</v>
      </c>
      <c r="F616" s="56">
        <v>29088.89</v>
      </c>
      <c r="G616" s="56">
        <v>29021.31</v>
      </c>
      <c r="H616" s="56">
        <v>29074.52</v>
      </c>
      <c r="I616" s="56">
        <v>29065.21</v>
      </c>
      <c r="J616" s="56">
        <v>29018.3</v>
      </c>
      <c r="K616" s="56">
        <v>29011.17</v>
      </c>
      <c r="L616" s="56">
        <v>29084.9</v>
      </c>
      <c r="M616" s="69">
        <f>IF((L617=""),"",MAX(D618:L618))</f>
        <v>1881.8299999999981</v>
      </c>
      <c r="N616" s="69">
        <f>IF(L617="","",MIN(D618:L618))</f>
        <v>1790.5200000000004</v>
      </c>
      <c r="O616" s="69">
        <f>IF((L618=""),"",AVERAGE(D618:L618))</f>
        <v>1843.1266666666661</v>
      </c>
      <c r="P616" s="69">
        <v>1600</v>
      </c>
      <c r="Q616" s="69">
        <v>2000</v>
      </c>
      <c r="R616" s="69">
        <f>IF((L617=""),"",((M616-N616)/(M616+N616))*100)</f>
        <v>2.4864187781665064</v>
      </c>
      <c r="S616" s="69">
        <v>23</v>
      </c>
      <c r="T616" s="130" t="str">
        <f>IF(L617="","",IF(R617&lt;20,(IF(O616&gt;1730,IF(O616&lt;1970,"Pass","Fail"),"Fail"))))</f>
        <v>Pass</v>
      </c>
      <c r="U616" s="153">
        <v>1428</v>
      </c>
      <c r="W616" s="56">
        <v>1730</v>
      </c>
      <c r="X616" s="56">
        <v>1970</v>
      </c>
      <c r="Y616" s="56">
        <v>6.2</v>
      </c>
    </row>
    <row r="617" spans="1:25" x14ac:dyDescent="0.3">
      <c r="A617" s="155"/>
      <c r="B617" s="147"/>
      <c r="C617" s="71" t="s">
        <v>89</v>
      </c>
      <c r="D617" s="56">
        <v>27195.7</v>
      </c>
      <c r="E617" s="56">
        <v>27193.4</v>
      </c>
      <c r="F617" s="56">
        <v>27298.37</v>
      </c>
      <c r="G617" s="56">
        <v>27200.52</v>
      </c>
      <c r="H617" s="56">
        <v>27208.04</v>
      </c>
      <c r="I617" s="56">
        <v>27190.93</v>
      </c>
      <c r="J617" s="56">
        <v>27189.59</v>
      </c>
      <c r="K617" s="56">
        <v>27189.64</v>
      </c>
      <c r="L617" s="56">
        <v>27205.14</v>
      </c>
      <c r="M617" s="77"/>
      <c r="N617" s="77"/>
      <c r="O617" s="77"/>
      <c r="P617" s="77"/>
      <c r="Q617" s="77"/>
      <c r="R617" s="77"/>
      <c r="S617" s="77"/>
      <c r="T617" s="132"/>
      <c r="U617" s="77"/>
    </row>
    <row r="618" spans="1:25" ht="39.9" x14ac:dyDescent="0.3">
      <c r="A618" s="156"/>
      <c r="B618" s="149"/>
      <c r="C618" s="71" t="s">
        <v>123</v>
      </c>
      <c r="D618" s="38">
        <f t="shared" ref="D618:L618" si="202">IF(((D616="")*AND(D617="")),"",(D616-D617)*1)</f>
        <v>1881.8299999999981</v>
      </c>
      <c r="E618" s="38">
        <f t="shared" si="202"/>
        <v>1824.239999999998</v>
      </c>
      <c r="F618" s="38">
        <f t="shared" si="202"/>
        <v>1790.5200000000004</v>
      </c>
      <c r="G618" s="38">
        <f t="shared" si="202"/>
        <v>1820.7900000000009</v>
      </c>
      <c r="H618" s="38">
        <f t="shared" si="202"/>
        <v>1866.4799999999996</v>
      </c>
      <c r="I618" s="38">
        <f t="shared" si="202"/>
        <v>1874.2799999999988</v>
      </c>
      <c r="J618" s="38">
        <f t="shared" si="202"/>
        <v>1828.7099999999991</v>
      </c>
      <c r="K618" s="38">
        <f t="shared" si="202"/>
        <v>1821.5299999999988</v>
      </c>
      <c r="L618" s="38">
        <f t="shared" si="202"/>
        <v>1879.760000000002</v>
      </c>
      <c r="M618" s="135"/>
      <c r="N618" s="135"/>
      <c r="O618" s="135"/>
      <c r="P618" s="135"/>
      <c r="Q618" s="135"/>
      <c r="R618" s="135"/>
      <c r="S618" s="135"/>
      <c r="T618" s="136"/>
      <c r="U618" s="135"/>
    </row>
    <row r="619" spans="1:25" x14ac:dyDescent="0.3">
      <c r="A619" s="154">
        <v>43352</v>
      </c>
      <c r="B619" s="129" t="s">
        <v>124</v>
      </c>
      <c r="C619" s="71" t="s">
        <v>88</v>
      </c>
      <c r="D619" s="56">
        <v>29253.599999999999</v>
      </c>
      <c r="E619" s="56">
        <v>29133.97</v>
      </c>
      <c r="F619" s="56">
        <v>29186.73</v>
      </c>
      <c r="G619" s="56">
        <v>29164.57</v>
      </c>
      <c r="H619" s="56">
        <v>29290.76</v>
      </c>
      <c r="I619" s="56">
        <v>29278.17</v>
      </c>
      <c r="J619" s="56">
        <v>29198.79</v>
      </c>
      <c r="K619" s="56">
        <v>29153.97</v>
      </c>
      <c r="L619" s="56">
        <v>29259.43</v>
      </c>
      <c r="M619" s="69">
        <f>IF((L620=""),"",MAX(D621:L621))</f>
        <v>1958.6699999999983</v>
      </c>
      <c r="N619" s="69">
        <f>IF(L620="","",MIN(D621:L621))</f>
        <v>1804.880000000001</v>
      </c>
      <c r="O619" s="69">
        <f>IF((L621=""),"",AVERAGE(D621:L621))</f>
        <v>1886.3055555555552</v>
      </c>
      <c r="P619" s="69">
        <v>1600</v>
      </c>
      <c r="Q619" s="69">
        <v>2000</v>
      </c>
      <c r="R619" s="69">
        <f>IF((L620=""),"",((M619-N619)/(M619+N619))*100)</f>
        <v>4.0863014972565068</v>
      </c>
      <c r="S619" s="69">
        <v>23</v>
      </c>
      <c r="T619" s="130" t="str">
        <f>IF(L620="","",IF(R620&lt;20,(IF(O619&gt;1730,IF(O619&lt;1970,"Pass","Fail"),"Fail"))))</f>
        <v>Pass</v>
      </c>
      <c r="U619" s="153">
        <v>74</v>
      </c>
      <c r="W619" s="56">
        <v>1730</v>
      </c>
      <c r="X619" s="56">
        <v>1970</v>
      </c>
      <c r="Y619" s="56">
        <v>6.2</v>
      </c>
    </row>
    <row r="620" spans="1:25" x14ac:dyDescent="0.3">
      <c r="A620" s="155"/>
      <c r="B620" s="147"/>
      <c r="C620" s="71" t="s">
        <v>89</v>
      </c>
      <c r="D620" s="56">
        <v>27345.02</v>
      </c>
      <c r="E620" s="56">
        <v>27329.09</v>
      </c>
      <c r="F620" s="56">
        <v>27343.95</v>
      </c>
      <c r="G620" s="56">
        <v>27342.65</v>
      </c>
      <c r="H620" s="56">
        <v>27332.09</v>
      </c>
      <c r="I620" s="56">
        <v>27333.61</v>
      </c>
      <c r="J620" s="56">
        <v>27300.87</v>
      </c>
      <c r="K620" s="56">
        <v>27279.21</v>
      </c>
      <c r="L620" s="56">
        <v>27336.75</v>
      </c>
      <c r="M620" s="77"/>
      <c r="N620" s="77"/>
      <c r="O620" s="77"/>
      <c r="P620" s="77"/>
      <c r="Q620" s="77"/>
      <c r="R620" s="77"/>
      <c r="S620" s="77"/>
      <c r="T620" s="132"/>
      <c r="U620" s="77"/>
    </row>
    <row r="621" spans="1:25" ht="39.9" x14ac:dyDescent="0.3">
      <c r="A621" s="156"/>
      <c r="B621" s="149"/>
      <c r="C621" s="71" t="s">
        <v>123</v>
      </c>
      <c r="D621" s="38">
        <f t="shared" ref="D621:L621" si="203">IF(((D619="")*AND(D620="")),"",(D619-D620)*1)</f>
        <v>1908.5799999999981</v>
      </c>
      <c r="E621" s="38">
        <f t="shared" si="203"/>
        <v>1804.880000000001</v>
      </c>
      <c r="F621" s="38">
        <f t="shared" si="203"/>
        <v>1842.7799999999988</v>
      </c>
      <c r="G621" s="38">
        <f t="shared" si="203"/>
        <v>1821.9199999999983</v>
      </c>
      <c r="H621" s="38">
        <f t="shared" si="203"/>
        <v>1958.6699999999983</v>
      </c>
      <c r="I621" s="38">
        <f t="shared" si="203"/>
        <v>1944.5599999999977</v>
      </c>
      <c r="J621" s="38">
        <f t="shared" si="203"/>
        <v>1897.9200000000019</v>
      </c>
      <c r="K621" s="38">
        <f t="shared" si="203"/>
        <v>1874.760000000002</v>
      </c>
      <c r="L621" s="38">
        <f t="shared" si="203"/>
        <v>1922.6800000000003</v>
      </c>
      <c r="M621" s="135"/>
      <c r="N621" s="135"/>
      <c r="O621" s="135"/>
      <c r="P621" s="135"/>
      <c r="Q621" s="135"/>
      <c r="R621" s="135"/>
      <c r="S621" s="135"/>
      <c r="T621" s="136"/>
      <c r="U621" s="135"/>
    </row>
    <row r="622" spans="1:25" x14ac:dyDescent="0.3">
      <c r="A622" s="154">
        <v>43355</v>
      </c>
      <c r="B622" s="129" t="s">
        <v>124</v>
      </c>
      <c r="C622" s="71" t="s">
        <v>88</v>
      </c>
      <c r="D622" s="56">
        <v>29364.44</v>
      </c>
      <c r="E622" s="56">
        <v>29273.43</v>
      </c>
      <c r="F622" s="56">
        <v>29287.45</v>
      </c>
      <c r="G622" s="56">
        <v>29277.79</v>
      </c>
      <c r="H622" s="56">
        <v>29373.5</v>
      </c>
      <c r="I622" s="56">
        <v>29338.45</v>
      </c>
      <c r="J622" s="56">
        <v>29260.1</v>
      </c>
      <c r="K622" s="56">
        <v>29267.88</v>
      </c>
      <c r="L622" s="56">
        <v>29340.45</v>
      </c>
      <c r="M622" s="69">
        <f>IF((L623=""),"",MAX(D624:L624))</f>
        <v>1963.8899999999994</v>
      </c>
      <c r="N622" s="69">
        <f>IF(L623="","",MIN(D624:L624))</f>
        <v>1562.7299999999996</v>
      </c>
      <c r="O622" s="69">
        <f>IF((L624=""),"",AVERAGE(D624:L624))</f>
        <v>1872.37</v>
      </c>
      <c r="P622" s="69">
        <v>1600</v>
      </c>
      <c r="Q622" s="69">
        <v>2000</v>
      </c>
      <c r="R622" s="69">
        <f>IF((L623=""),"",((M622-N622)/(M622+N622))*100)</f>
        <v>11.375197781445122</v>
      </c>
      <c r="S622" s="69">
        <v>23</v>
      </c>
      <c r="T622" s="130" t="str">
        <f>IF(L623="","",IF(R623&lt;20,(IF(O622&gt;1730,IF(O622&lt;1970,"Pass","Fail"),"Fail"))))</f>
        <v>Pass</v>
      </c>
      <c r="U622" s="153">
        <v>74</v>
      </c>
      <c r="W622" s="56">
        <v>1730</v>
      </c>
      <c r="X622" s="56">
        <v>1970</v>
      </c>
      <c r="Y622" s="56">
        <v>6.2</v>
      </c>
    </row>
    <row r="623" spans="1:25" x14ac:dyDescent="0.3">
      <c r="A623" s="155"/>
      <c r="B623" s="147"/>
      <c r="C623" s="71" t="s">
        <v>89</v>
      </c>
      <c r="D623" s="56">
        <v>27449.22</v>
      </c>
      <c r="E623" s="56">
        <v>27407.84</v>
      </c>
      <c r="F623" s="56">
        <v>27724.720000000001</v>
      </c>
      <c r="G623" s="56">
        <v>27372.21</v>
      </c>
      <c r="H623" s="56">
        <v>27409.61</v>
      </c>
      <c r="I623" s="56">
        <v>27424.04</v>
      </c>
      <c r="J623" s="56">
        <v>27362.240000000002</v>
      </c>
      <c r="K623" s="56">
        <v>27369.01</v>
      </c>
      <c r="L623" s="56">
        <v>27413.27</v>
      </c>
      <c r="M623" s="77"/>
      <c r="N623" s="77"/>
      <c r="O623" s="77"/>
      <c r="P623" s="77"/>
      <c r="Q623" s="77"/>
      <c r="R623" s="77"/>
      <c r="S623" s="77"/>
      <c r="T623" s="132"/>
      <c r="U623" s="77"/>
    </row>
    <row r="624" spans="1:25" ht="39.9" x14ac:dyDescent="0.3">
      <c r="A624" s="156"/>
      <c r="B624" s="149"/>
      <c r="C624" s="71" t="s">
        <v>123</v>
      </c>
      <c r="D624" s="38">
        <f t="shared" ref="D624:L624" si="204">IF(((D622="")*AND(D623="")),"",(D622-D623)*1)</f>
        <v>1915.2199999999975</v>
      </c>
      <c r="E624" s="38">
        <f t="shared" si="204"/>
        <v>1865.5900000000001</v>
      </c>
      <c r="F624" s="38">
        <f t="shared" si="204"/>
        <v>1562.7299999999996</v>
      </c>
      <c r="G624" s="38">
        <f t="shared" si="204"/>
        <v>1905.5800000000017</v>
      </c>
      <c r="H624" s="38">
        <f t="shared" si="204"/>
        <v>1963.8899999999994</v>
      </c>
      <c r="I624" s="38">
        <f t="shared" si="204"/>
        <v>1914.4099999999999</v>
      </c>
      <c r="J624" s="38">
        <f t="shared" si="204"/>
        <v>1897.8599999999969</v>
      </c>
      <c r="K624" s="38">
        <f t="shared" si="204"/>
        <v>1898.8700000000026</v>
      </c>
      <c r="L624" s="38">
        <f t="shared" si="204"/>
        <v>1927.1800000000003</v>
      </c>
      <c r="M624" s="135"/>
      <c r="N624" s="135"/>
      <c r="O624" s="135"/>
      <c r="P624" s="135"/>
      <c r="Q624" s="135"/>
      <c r="R624" s="135"/>
      <c r="S624" s="135"/>
      <c r="T624" s="136"/>
      <c r="U624" s="135"/>
    </row>
    <row r="625" spans="1:25" x14ac:dyDescent="0.3">
      <c r="A625" s="154">
        <v>43358</v>
      </c>
      <c r="B625" s="129" t="s">
        <v>124</v>
      </c>
      <c r="C625" s="71" t="s">
        <v>88</v>
      </c>
      <c r="D625" s="56">
        <v>29555.33</v>
      </c>
      <c r="E625" s="56">
        <v>29401.61</v>
      </c>
      <c r="F625" s="56">
        <v>29390.42</v>
      </c>
      <c r="G625" s="56">
        <v>29375.599999999999</v>
      </c>
      <c r="H625" s="56">
        <v>29503.360000000001</v>
      </c>
      <c r="I625" s="56">
        <v>29509.02</v>
      </c>
      <c r="J625" s="56">
        <v>29381.3</v>
      </c>
      <c r="K625" s="56">
        <v>29378.94</v>
      </c>
      <c r="L625" s="56">
        <v>29498.99</v>
      </c>
      <c r="M625" s="69">
        <f>IF((L626=""),"",MAX(D627:L627))</f>
        <v>1963.8600000000006</v>
      </c>
      <c r="N625" s="69">
        <f>IF(L626="","",MIN(D627:L627))</f>
        <v>1864.3899999999994</v>
      </c>
      <c r="O625" s="69">
        <f>IF((L627=""),"",AVERAGE(D627:L627))</f>
        <v>1924.8277777777787</v>
      </c>
      <c r="P625" s="69">
        <v>1600</v>
      </c>
      <c r="Q625" s="69">
        <v>2000</v>
      </c>
      <c r="R625" s="69">
        <f>IF((L626=""),"",((M625-N625)/(M625+N625))*100)</f>
        <v>2.5983151570561263</v>
      </c>
      <c r="S625" s="69">
        <v>23</v>
      </c>
      <c r="T625" s="130" t="str">
        <f>IF(L626="","",IF(R626&lt;20,(IF(O625&gt;1730,IF(O625&lt;1970,"Pass","Fail"),"Fail"))))</f>
        <v>Pass</v>
      </c>
      <c r="U625" s="153" t="s">
        <v>66</v>
      </c>
      <c r="W625" s="56">
        <v>1730</v>
      </c>
      <c r="X625" s="56">
        <v>1970</v>
      </c>
      <c r="Y625" s="56">
        <v>6.2</v>
      </c>
    </row>
    <row r="626" spans="1:25" x14ac:dyDescent="0.3">
      <c r="A626" s="155"/>
      <c r="B626" s="147"/>
      <c r="C626" s="71" t="s">
        <v>89</v>
      </c>
      <c r="D626" s="56">
        <v>27611.59</v>
      </c>
      <c r="E626" s="56">
        <v>27500.67</v>
      </c>
      <c r="F626" s="56">
        <v>27526.03</v>
      </c>
      <c r="G626" s="56">
        <v>27462.2</v>
      </c>
      <c r="H626" s="56">
        <v>27540.76</v>
      </c>
      <c r="I626" s="56">
        <v>27545.16</v>
      </c>
      <c r="J626" s="56">
        <v>27480.17</v>
      </c>
      <c r="K626" s="56">
        <v>27457.279999999999</v>
      </c>
      <c r="L626" s="56">
        <v>27547.26</v>
      </c>
      <c r="M626" s="77"/>
      <c r="N626" s="77"/>
      <c r="O626" s="77"/>
      <c r="P626" s="77"/>
      <c r="Q626" s="77"/>
      <c r="R626" s="77"/>
      <c r="S626" s="77"/>
      <c r="T626" s="132"/>
      <c r="U626" s="77"/>
    </row>
    <row r="627" spans="1:25" ht="39.9" x14ac:dyDescent="0.3">
      <c r="A627" s="156"/>
      <c r="B627" s="149"/>
      <c r="C627" s="71" t="s">
        <v>123</v>
      </c>
      <c r="D627" s="38">
        <f t="shared" ref="D627:L627" si="205">IF(((D625="")*AND(D626="")),"",(D625-D626)*1)</f>
        <v>1943.7400000000016</v>
      </c>
      <c r="E627" s="38">
        <f t="shared" si="205"/>
        <v>1900.9400000000023</v>
      </c>
      <c r="F627" s="38">
        <f t="shared" si="205"/>
        <v>1864.3899999999994</v>
      </c>
      <c r="G627" s="38">
        <f t="shared" si="205"/>
        <v>1913.3999999999978</v>
      </c>
      <c r="H627" s="38">
        <f t="shared" si="205"/>
        <v>1962.6000000000022</v>
      </c>
      <c r="I627" s="38">
        <f t="shared" si="205"/>
        <v>1963.8600000000006</v>
      </c>
      <c r="J627" s="38">
        <f t="shared" si="205"/>
        <v>1901.130000000001</v>
      </c>
      <c r="K627" s="38">
        <f t="shared" si="205"/>
        <v>1921.6599999999999</v>
      </c>
      <c r="L627" s="38">
        <f t="shared" si="205"/>
        <v>1951.7300000000032</v>
      </c>
      <c r="M627" s="135"/>
      <c r="N627" s="135"/>
      <c r="O627" s="135"/>
      <c r="P627" s="135"/>
      <c r="Q627" s="135"/>
      <c r="R627" s="135"/>
      <c r="S627" s="135"/>
      <c r="T627" s="136"/>
      <c r="U627" s="135"/>
    </row>
    <row r="628" spans="1:25" x14ac:dyDescent="0.3">
      <c r="A628" s="154">
        <v>43361</v>
      </c>
      <c r="B628" s="129" t="s">
        <v>124</v>
      </c>
      <c r="C628" s="71" t="s">
        <v>88</v>
      </c>
      <c r="D628" s="56">
        <v>29251.42</v>
      </c>
      <c r="E628" s="56">
        <v>29176.47</v>
      </c>
      <c r="F628" s="56">
        <v>29188.82</v>
      </c>
      <c r="G628" s="56">
        <v>29202.83</v>
      </c>
      <c r="H628" s="56">
        <v>29306.61</v>
      </c>
      <c r="I628" s="56">
        <v>29270.61</v>
      </c>
      <c r="J628" s="56">
        <v>29185.72</v>
      </c>
      <c r="K628" s="56">
        <v>29170.11</v>
      </c>
      <c r="L628" s="56">
        <v>29283.67</v>
      </c>
      <c r="M628" s="69">
        <f>IF((L629=""),"",MAX(D630:L630))</f>
        <v>1954.3100000000013</v>
      </c>
      <c r="N628" s="69">
        <f>IF(L629="","",MIN(D630:L630))</f>
        <v>1862.3499999999985</v>
      </c>
      <c r="O628" s="69">
        <f>IF((L630=""),"",AVERAGE(D630:L630))</f>
        <v>1904.4244444444444</v>
      </c>
      <c r="P628" s="69">
        <v>1600</v>
      </c>
      <c r="Q628" s="69">
        <v>2000</v>
      </c>
      <c r="R628" s="69">
        <f>IF((L629=""),"",((M628-N628)/(M628+N628))*100)</f>
        <v>2.4094365230333006</v>
      </c>
      <c r="S628" s="69">
        <v>23</v>
      </c>
      <c r="T628" s="130" t="str">
        <f>IF(L629="","",IF(R629&lt;20,(IF(O628&gt;1730,IF(O628&lt;1970,"Pass","Fail"),"Fail"))))</f>
        <v>Pass</v>
      </c>
      <c r="U628" s="153">
        <v>1159</v>
      </c>
      <c r="W628" s="56">
        <v>1730</v>
      </c>
      <c r="X628" s="56">
        <v>1970</v>
      </c>
      <c r="Y628" s="56">
        <v>6.2</v>
      </c>
    </row>
    <row r="629" spans="1:25" x14ac:dyDescent="0.3">
      <c r="A629" s="155"/>
      <c r="B629" s="147"/>
      <c r="C629" s="71" t="s">
        <v>89</v>
      </c>
      <c r="D629" s="56">
        <v>27332.86</v>
      </c>
      <c r="E629" s="56">
        <v>27294.54</v>
      </c>
      <c r="F629" s="56">
        <v>27326.47</v>
      </c>
      <c r="G629" s="56">
        <v>27315.31</v>
      </c>
      <c r="H629" s="56">
        <v>27360.39</v>
      </c>
      <c r="I629" s="56">
        <v>27316.3</v>
      </c>
      <c r="J629" s="56">
        <v>27296.7</v>
      </c>
      <c r="K629" s="56">
        <v>27294.61</v>
      </c>
      <c r="L629" s="56">
        <v>27359.26</v>
      </c>
      <c r="M629" s="77"/>
      <c r="N629" s="77"/>
      <c r="O629" s="77"/>
      <c r="P629" s="77"/>
      <c r="Q629" s="77"/>
      <c r="R629" s="77"/>
      <c r="S629" s="77"/>
      <c r="T629" s="132"/>
      <c r="U629" s="77"/>
    </row>
    <row r="630" spans="1:25" ht="39.9" x14ac:dyDescent="0.3">
      <c r="A630" s="156"/>
      <c r="B630" s="149"/>
      <c r="C630" s="71" t="s">
        <v>123</v>
      </c>
      <c r="D630" s="38">
        <f t="shared" ref="D630:L630" si="206">IF(((D628="")*AND(D629="")),"",(D628-D629)*1)</f>
        <v>1918.5599999999977</v>
      </c>
      <c r="E630" s="38">
        <f t="shared" si="206"/>
        <v>1881.9300000000003</v>
      </c>
      <c r="F630" s="38">
        <f t="shared" si="206"/>
        <v>1862.3499999999985</v>
      </c>
      <c r="G630" s="38">
        <f t="shared" si="206"/>
        <v>1887.5200000000004</v>
      </c>
      <c r="H630" s="38">
        <f t="shared" si="206"/>
        <v>1946.2200000000012</v>
      </c>
      <c r="I630" s="38">
        <f t="shared" si="206"/>
        <v>1954.3100000000013</v>
      </c>
      <c r="J630" s="38">
        <f t="shared" si="206"/>
        <v>1889.0200000000004</v>
      </c>
      <c r="K630" s="38">
        <f t="shared" si="206"/>
        <v>1875.5</v>
      </c>
      <c r="L630" s="38">
        <f t="shared" si="206"/>
        <v>1924.4099999999999</v>
      </c>
      <c r="M630" s="135"/>
      <c r="N630" s="135"/>
      <c r="O630" s="135"/>
      <c r="P630" s="135"/>
      <c r="Q630" s="135"/>
      <c r="R630" s="135"/>
      <c r="S630" s="135"/>
      <c r="T630" s="136"/>
      <c r="U630" s="135"/>
    </row>
    <row r="631" spans="1:25" x14ac:dyDescent="0.3">
      <c r="A631" s="154">
        <v>43367</v>
      </c>
      <c r="B631" s="129" t="s">
        <v>124</v>
      </c>
      <c r="C631" s="71" t="s">
        <v>88</v>
      </c>
      <c r="D631" s="56">
        <v>29325.81</v>
      </c>
      <c r="E631" s="56">
        <v>29257.200000000001</v>
      </c>
      <c r="F631" s="56">
        <v>29225.9</v>
      </c>
      <c r="G631" s="56">
        <v>29246.07</v>
      </c>
      <c r="H631" s="56">
        <v>29305.52</v>
      </c>
      <c r="I631" s="56">
        <v>29316.57</v>
      </c>
      <c r="J631" s="56">
        <v>29294.06</v>
      </c>
      <c r="K631" s="56">
        <v>29228.880000000001</v>
      </c>
      <c r="L631" s="56">
        <v>29303.48</v>
      </c>
      <c r="M631" s="69">
        <f>IF((L632=""),"",MAX(D633:L633))</f>
        <v>1988.0200000000004</v>
      </c>
      <c r="N631" s="69">
        <f>IF(L632="","",MIN(D633:L633))</f>
        <v>1823.2200000000012</v>
      </c>
      <c r="O631" s="69">
        <f>IF((L633=""),"",AVERAGE(D633:L633))</f>
        <v>1906.0155555555564</v>
      </c>
      <c r="P631" s="69">
        <v>1600</v>
      </c>
      <c r="Q631" s="69">
        <v>2000</v>
      </c>
      <c r="R631" s="69">
        <f>IF((L632=""),"",((M631-N631)/(M631+N631))*100)</f>
        <v>4.3240520145674166</v>
      </c>
      <c r="S631" s="69">
        <v>23</v>
      </c>
      <c r="T631" s="130" t="str">
        <f>IF(L632="","",IF(R632&lt;20,(IF(O631&gt;1730,IF(O631&lt;1970,"Pass","Fail"),"Fail"))))</f>
        <v>Pass</v>
      </c>
      <c r="U631" s="153">
        <v>1340</v>
      </c>
      <c r="W631" s="56">
        <v>1730</v>
      </c>
      <c r="X631" s="56">
        <v>1970</v>
      </c>
      <c r="Y631" s="56">
        <v>6.2</v>
      </c>
    </row>
    <row r="632" spans="1:25" x14ac:dyDescent="0.3">
      <c r="A632" s="155"/>
      <c r="B632" s="147"/>
      <c r="C632" s="71" t="s">
        <v>89</v>
      </c>
      <c r="D632" s="56">
        <v>27411.29</v>
      </c>
      <c r="E632" s="56">
        <v>27363.35</v>
      </c>
      <c r="F632" s="56">
        <v>27402.68</v>
      </c>
      <c r="G632" s="56">
        <v>27358.95</v>
      </c>
      <c r="H632" s="56">
        <v>27355.17</v>
      </c>
      <c r="I632" s="56">
        <v>27328.55</v>
      </c>
      <c r="J632" s="56">
        <v>27359.599999999999</v>
      </c>
      <c r="K632" s="56">
        <v>27369.7</v>
      </c>
      <c r="L632" s="56">
        <v>27400.06</v>
      </c>
      <c r="M632" s="77"/>
      <c r="N632" s="77"/>
      <c r="O632" s="77"/>
      <c r="P632" s="77"/>
      <c r="Q632" s="77"/>
      <c r="R632" s="77"/>
      <c r="S632" s="77"/>
      <c r="T632" s="132"/>
      <c r="U632" s="77"/>
    </row>
    <row r="633" spans="1:25" ht="39.9" x14ac:dyDescent="0.3">
      <c r="A633" s="156"/>
      <c r="B633" s="149"/>
      <c r="C633" s="71" t="s">
        <v>123</v>
      </c>
      <c r="D633" s="38">
        <f t="shared" ref="D633:L633" si="207">IF(((D631="")*AND(D632="")),"",(D631-D632)*1)</f>
        <v>1914.5200000000004</v>
      </c>
      <c r="E633" s="38">
        <f t="shared" si="207"/>
        <v>1893.8500000000022</v>
      </c>
      <c r="F633" s="38">
        <f t="shared" si="207"/>
        <v>1823.2200000000012</v>
      </c>
      <c r="G633" s="38">
        <f t="shared" si="207"/>
        <v>1887.119999999999</v>
      </c>
      <c r="H633" s="38">
        <f t="shared" si="207"/>
        <v>1950.3500000000022</v>
      </c>
      <c r="I633" s="38">
        <f t="shared" si="207"/>
        <v>1988.0200000000004</v>
      </c>
      <c r="J633" s="38">
        <f t="shared" si="207"/>
        <v>1934.4600000000028</v>
      </c>
      <c r="K633" s="38">
        <f t="shared" si="207"/>
        <v>1859.1800000000003</v>
      </c>
      <c r="L633" s="38">
        <f t="shared" si="207"/>
        <v>1903.4199999999983</v>
      </c>
      <c r="M633" s="135"/>
      <c r="N633" s="135"/>
      <c r="O633" s="135"/>
      <c r="P633" s="135"/>
      <c r="Q633" s="135"/>
      <c r="R633" s="135"/>
      <c r="S633" s="135"/>
      <c r="T633" s="136"/>
      <c r="U633" s="135"/>
    </row>
    <row r="634" spans="1:25" x14ac:dyDescent="0.3">
      <c r="A634" s="154">
        <v>43369</v>
      </c>
      <c r="B634" s="129" t="s">
        <v>124</v>
      </c>
      <c r="C634" s="71" t="s">
        <v>88</v>
      </c>
      <c r="D634" s="56">
        <v>29319.99</v>
      </c>
      <c r="E634" s="56">
        <v>29274.400000000001</v>
      </c>
      <c r="F634" s="56">
        <v>29254.15</v>
      </c>
      <c r="G634" s="56">
        <v>29240.21</v>
      </c>
      <c r="H634" s="56">
        <v>29311.86</v>
      </c>
      <c r="I634" s="56">
        <v>29304.79</v>
      </c>
      <c r="J634" s="56">
        <v>29248.89</v>
      </c>
      <c r="K634" s="56">
        <v>29249.89</v>
      </c>
      <c r="L634" s="56">
        <v>29312.21</v>
      </c>
      <c r="M634" s="69">
        <f>IF((L635=""),"",MAX(D636:L636))</f>
        <v>1965.9000000000015</v>
      </c>
      <c r="N634" s="69">
        <f>IF(L635="","",MIN(D636:L636))</f>
        <v>1864.880000000001</v>
      </c>
      <c r="O634" s="69">
        <f>IF((L636=""),"",AVERAGE(D636:L636))</f>
        <v>1914.1822222222222</v>
      </c>
      <c r="P634" s="69">
        <v>1600</v>
      </c>
      <c r="Q634" s="69">
        <v>2000</v>
      </c>
      <c r="R634" s="69">
        <f>IF((L635=""),"",((M634-N634)/(M634+N634))*100)</f>
        <v>2.6370608596682756</v>
      </c>
      <c r="S634" s="69">
        <v>23</v>
      </c>
      <c r="T634" s="130" t="str">
        <f>IF(L635="","",IF(R635&lt;20,(IF(O634&gt;1730,IF(O634&lt;1970,"Pass","Fail"),"Fail"))))</f>
        <v>Pass</v>
      </c>
      <c r="U634" s="153">
        <v>102</v>
      </c>
      <c r="W634" s="56">
        <v>1730</v>
      </c>
      <c r="X634" s="56">
        <v>1970</v>
      </c>
      <c r="Y634" s="56">
        <v>6.2</v>
      </c>
    </row>
    <row r="635" spans="1:25" x14ac:dyDescent="0.3">
      <c r="A635" s="155"/>
      <c r="B635" s="147"/>
      <c r="C635" s="71" t="s">
        <v>89</v>
      </c>
      <c r="D635" s="56">
        <v>27372.240000000002</v>
      </c>
      <c r="E635" s="56">
        <v>27384.98</v>
      </c>
      <c r="F635" s="56">
        <v>27389.27</v>
      </c>
      <c r="G635" s="56">
        <v>27344.58</v>
      </c>
      <c r="H635" s="56">
        <v>27367.8</v>
      </c>
      <c r="I635" s="56">
        <v>27338.89</v>
      </c>
      <c r="J635" s="56">
        <v>27358.06</v>
      </c>
      <c r="K635" s="56">
        <v>27354.97</v>
      </c>
      <c r="L635" s="56">
        <v>27377.96</v>
      </c>
      <c r="M635" s="77"/>
      <c r="N635" s="77"/>
      <c r="O635" s="77"/>
      <c r="P635" s="77"/>
      <c r="Q635" s="77"/>
      <c r="R635" s="77"/>
      <c r="S635" s="77"/>
      <c r="T635" s="132"/>
      <c r="U635" s="77"/>
    </row>
    <row r="636" spans="1:25" ht="39.9" x14ac:dyDescent="0.3">
      <c r="A636" s="156"/>
      <c r="B636" s="149"/>
      <c r="C636" s="71" t="s">
        <v>123</v>
      </c>
      <c r="D636" s="38">
        <f t="shared" ref="D636:L636" si="208">IF(((D634="")*AND(D635="")),"",(D634-D635)*1)</f>
        <v>1947.75</v>
      </c>
      <c r="E636" s="38">
        <f t="shared" si="208"/>
        <v>1889.4200000000019</v>
      </c>
      <c r="F636" s="38">
        <f t="shared" si="208"/>
        <v>1864.880000000001</v>
      </c>
      <c r="G636" s="38">
        <f t="shared" si="208"/>
        <v>1895.6299999999974</v>
      </c>
      <c r="H636" s="38">
        <f t="shared" si="208"/>
        <v>1944.0600000000013</v>
      </c>
      <c r="I636" s="38">
        <f t="shared" si="208"/>
        <v>1965.9000000000015</v>
      </c>
      <c r="J636" s="38">
        <f t="shared" si="208"/>
        <v>1890.8299999999981</v>
      </c>
      <c r="K636" s="38">
        <f t="shared" si="208"/>
        <v>1894.9199999999983</v>
      </c>
      <c r="L636" s="38">
        <f t="shared" si="208"/>
        <v>1934.25</v>
      </c>
      <c r="M636" s="135"/>
      <c r="N636" s="135"/>
      <c r="O636" s="135"/>
      <c r="P636" s="135"/>
      <c r="Q636" s="135"/>
      <c r="R636" s="135"/>
      <c r="S636" s="135"/>
      <c r="T636" s="136"/>
      <c r="U636" s="135"/>
    </row>
    <row r="637" spans="1:25" x14ac:dyDescent="0.3">
      <c r="A637" s="154">
        <v>43373</v>
      </c>
      <c r="B637" s="129" t="s">
        <v>124</v>
      </c>
      <c r="C637" s="71" t="s">
        <v>88</v>
      </c>
      <c r="D637" s="56">
        <v>29049.13</v>
      </c>
      <c r="E637" s="56">
        <v>28946.42</v>
      </c>
      <c r="F637" s="56">
        <v>29061.82</v>
      </c>
      <c r="G637" s="56">
        <v>29001.51</v>
      </c>
      <c r="H637" s="56">
        <v>29080.720000000001</v>
      </c>
      <c r="I637" s="56">
        <v>29057.84</v>
      </c>
      <c r="J637" s="56">
        <v>28956.87</v>
      </c>
      <c r="K637" s="56">
        <v>28968.34</v>
      </c>
      <c r="L637" s="56">
        <v>29041.99</v>
      </c>
      <c r="M637" s="69">
        <f>IF((L638=""),"",MAX(D639:L639))</f>
        <v>1948.8400000000001</v>
      </c>
      <c r="N637" s="69">
        <f>IF(L638="","",MIN(D639:L639))</f>
        <v>1796.0499999999993</v>
      </c>
      <c r="O637" s="69">
        <f>IF((L639=""),"",AVERAGE(D639:L639))</f>
        <v>1875.905555555556</v>
      </c>
      <c r="P637" s="69">
        <v>1600</v>
      </c>
      <c r="Q637" s="69">
        <v>2000</v>
      </c>
      <c r="R637" s="69">
        <f>IF((L638=""),"",((M637-N637)/(M637+N637))*100)</f>
        <v>4.0799596249823331</v>
      </c>
      <c r="S637" s="69">
        <v>23</v>
      </c>
      <c r="T637" s="130" t="str">
        <f>IF(L638="","",IF(R638&lt;20,(IF(O637&gt;1730,IF(O637&lt;1970,"Pass","Fail"),"Fail"))))</f>
        <v>Pass</v>
      </c>
      <c r="U637" s="153">
        <v>1340</v>
      </c>
      <c r="W637" s="56">
        <v>1730</v>
      </c>
      <c r="X637" s="56">
        <v>1970</v>
      </c>
      <c r="Y637" s="56">
        <v>6.2</v>
      </c>
    </row>
    <row r="638" spans="1:25" x14ac:dyDescent="0.3">
      <c r="A638" s="155"/>
      <c r="B638" s="147"/>
      <c r="C638" s="71" t="s">
        <v>89</v>
      </c>
      <c r="D638" s="56">
        <v>27162.86</v>
      </c>
      <c r="E638" s="56">
        <v>27150.37</v>
      </c>
      <c r="F638" s="56">
        <v>27217.67</v>
      </c>
      <c r="G638" s="56">
        <v>27122.53</v>
      </c>
      <c r="H638" s="56">
        <v>27131.88</v>
      </c>
      <c r="I638" s="56">
        <v>27118.84</v>
      </c>
      <c r="J638" s="56">
        <v>27127.01</v>
      </c>
      <c r="K638" s="56">
        <v>27117.07</v>
      </c>
      <c r="L638" s="56">
        <v>27133.26</v>
      </c>
      <c r="M638" s="77"/>
      <c r="N638" s="77"/>
      <c r="O638" s="77"/>
      <c r="P638" s="77"/>
      <c r="Q638" s="77"/>
      <c r="R638" s="77"/>
      <c r="S638" s="77"/>
      <c r="T638" s="132"/>
      <c r="U638" s="77"/>
    </row>
    <row r="639" spans="1:25" ht="39.9" x14ac:dyDescent="0.3">
      <c r="A639" s="156"/>
      <c r="B639" s="149"/>
      <c r="C639" s="71" t="s">
        <v>123</v>
      </c>
      <c r="D639" s="38">
        <f t="shared" ref="D639:L639" si="209">IF(((D637="")*AND(D638="")),"",(D637-D638)*1)</f>
        <v>1886.2700000000004</v>
      </c>
      <c r="E639" s="38">
        <f t="shared" si="209"/>
        <v>1796.0499999999993</v>
      </c>
      <c r="F639" s="38">
        <f t="shared" si="209"/>
        <v>1844.1500000000015</v>
      </c>
      <c r="G639" s="38">
        <f t="shared" si="209"/>
        <v>1878.9799999999996</v>
      </c>
      <c r="H639" s="38">
        <f t="shared" si="209"/>
        <v>1948.8400000000001</v>
      </c>
      <c r="I639" s="38">
        <f t="shared" si="209"/>
        <v>1939</v>
      </c>
      <c r="J639" s="38">
        <f t="shared" si="209"/>
        <v>1829.8600000000006</v>
      </c>
      <c r="K639" s="38">
        <f t="shared" si="209"/>
        <v>1851.2700000000004</v>
      </c>
      <c r="L639" s="38">
        <f t="shared" si="209"/>
        <v>1908.7300000000032</v>
      </c>
      <c r="M639" s="135"/>
      <c r="N639" s="135"/>
      <c r="O639" s="135"/>
      <c r="P639" s="135"/>
      <c r="Q639" s="135"/>
      <c r="R639" s="135"/>
      <c r="S639" s="135"/>
      <c r="T639" s="136"/>
      <c r="U639" s="135"/>
    </row>
    <row r="640" spans="1:25" x14ac:dyDescent="0.3">
      <c r="A640" s="169">
        <v>43376</v>
      </c>
      <c r="B640" s="129" t="s">
        <v>124</v>
      </c>
      <c r="C640" s="71" t="s">
        <v>88</v>
      </c>
      <c r="D640" s="56">
        <v>29033.23</v>
      </c>
      <c r="E640" s="56">
        <v>28963</v>
      </c>
      <c r="F640" s="56">
        <v>28928.6</v>
      </c>
      <c r="G640" s="56">
        <v>28889.19</v>
      </c>
      <c r="H640" s="56">
        <v>29005.1</v>
      </c>
      <c r="I640" s="56">
        <v>29047.58</v>
      </c>
      <c r="J640" s="56">
        <v>28896.94</v>
      </c>
      <c r="K640" s="56">
        <v>28910.01</v>
      </c>
      <c r="L640" s="56">
        <v>28999.16</v>
      </c>
      <c r="M640" s="69">
        <f>IF((L641=""),"",MAX(D642:L642))</f>
        <v>1972.5099999999984</v>
      </c>
      <c r="N640" s="69">
        <f>IF(L641="","",MIN(D642:L642))</f>
        <v>1595.1699999999983</v>
      </c>
      <c r="O640" s="69">
        <f>IF((L642=""),"",AVERAGE(D642:L642))</f>
        <v>1874.4188888888884</v>
      </c>
      <c r="P640" s="69">
        <v>1600</v>
      </c>
      <c r="Q640" s="69">
        <v>2000</v>
      </c>
      <c r="R640" s="69">
        <f>IF((L641=""),"",((M640-N640)/(M640+N640))*100)</f>
        <v>10.576621221634241</v>
      </c>
      <c r="S640" s="69">
        <v>23</v>
      </c>
      <c r="T640" s="130" t="str">
        <f>IF(L641="","",IF(R641&lt;20,(IF(O640&gt;1730,IF(O640&lt;1970,"Pass","Fail"),"Fail"))))</f>
        <v>Pass</v>
      </c>
      <c r="U640" s="153">
        <v>121</v>
      </c>
      <c r="W640" s="56">
        <v>1730</v>
      </c>
      <c r="X640" s="56">
        <v>1970</v>
      </c>
      <c r="Y640" s="56">
        <v>6.2</v>
      </c>
    </row>
    <row r="641" spans="1:25" x14ac:dyDescent="0.3">
      <c r="A641" s="155"/>
      <c r="B641" s="147"/>
      <c r="C641" s="71" t="s">
        <v>89</v>
      </c>
      <c r="D641" s="56">
        <v>27129.599999999999</v>
      </c>
      <c r="E641" s="56">
        <v>27086.79</v>
      </c>
      <c r="F641" s="56">
        <v>27333.43</v>
      </c>
      <c r="G641" s="56">
        <v>26994.51</v>
      </c>
      <c r="H641" s="56">
        <v>27070.07</v>
      </c>
      <c r="I641" s="56">
        <v>27122.81</v>
      </c>
      <c r="J641" s="56">
        <v>27043.919999999998</v>
      </c>
      <c r="K641" s="56">
        <v>26995.26</v>
      </c>
      <c r="L641" s="56">
        <v>27026.65</v>
      </c>
      <c r="M641" s="77"/>
      <c r="N641" s="77"/>
      <c r="O641" s="77"/>
      <c r="P641" s="77"/>
      <c r="Q641" s="77"/>
      <c r="R641" s="77"/>
      <c r="S641" s="77"/>
      <c r="T641" s="132"/>
      <c r="U641" s="77"/>
    </row>
    <row r="642" spans="1:25" ht="39.9" x14ac:dyDescent="0.3">
      <c r="A642" s="156"/>
      <c r="B642" s="149"/>
      <c r="C642" s="71" t="s">
        <v>123</v>
      </c>
      <c r="D642" s="38">
        <f t="shared" ref="D642:L642" si="210">IF(((D640="")*AND(D641="")),"",(D640-D641)*1)</f>
        <v>1903.630000000001</v>
      </c>
      <c r="E642" s="38">
        <f t="shared" si="210"/>
        <v>1876.2099999999991</v>
      </c>
      <c r="F642" s="38">
        <f t="shared" si="210"/>
        <v>1595.1699999999983</v>
      </c>
      <c r="G642" s="38">
        <f t="shared" si="210"/>
        <v>1894.6800000000003</v>
      </c>
      <c r="H642" s="38">
        <f t="shared" si="210"/>
        <v>1935.0299999999988</v>
      </c>
      <c r="I642" s="38">
        <f t="shared" si="210"/>
        <v>1924.7700000000004</v>
      </c>
      <c r="J642" s="38">
        <f t="shared" si="210"/>
        <v>1853.0200000000004</v>
      </c>
      <c r="K642" s="38">
        <f t="shared" si="210"/>
        <v>1914.75</v>
      </c>
      <c r="L642" s="38">
        <f t="shared" si="210"/>
        <v>1972.5099999999984</v>
      </c>
      <c r="M642" s="135"/>
      <c r="N642" s="135"/>
      <c r="O642" s="135"/>
      <c r="P642" s="135"/>
      <c r="Q642" s="135"/>
      <c r="R642" s="135"/>
      <c r="S642" s="135"/>
      <c r="T642" s="136"/>
      <c r="U642" s="135"/>
    </row>
    <row r="643" spans="1:25" x14ac:dyDescent="0.3">
      <c r="A643" s="169">
        <v>43379</v>
      </c>
      <c r="B643" s="129" t="s">
        <v>124</v>
      </c>
      <c r="C643" s="71" t="s">
        <v>88</v>
      </c>
      <c r="D643" s="56">
        <v>29475.32</v>
      </c>
      <c r="E643" s="56">
        <v>29335.7</v>
      </c>
      <c r="F643" s="56">
        <v>29324.93</v>
      </c>
      <c r="G643" s="56">
        <v>29321.34</v>
      </c>
      <c r="H643" s="56">
        <v>29466.2</v>
      </c>
      <c r="I643" s="56">
        <v>29449.13</v>
      </c>
      <c r="J643" s="56">
        <v>29311.02</v>
      </c>
      <c r="K643" s="56">
        <v>29318.73</v>
      </c>
      <c r="L643" s="56">
        <v>29481.11</v>
      </c>
      <c r="M643" s="69">
        <f>IF((L644=""),"",MAX(D645:L645))</f>
        <v>1940.3500000000022</v>
      </c>
      <c r="N643" s="69">
        <f>IF(L644="","",MIN(D645:L645))</f>
        <v>1811.7400000000016</v>
      </c>
      <c r="O643" s="69">
        <f>IF((L645=""),"",AVERAGE(D645:L645))</f>
        <v>1883.9855555555562</v>
      </c>
      <c r="P643" s="69">
        <v>1600</v>
      </c>
      <c r="Q643" s="69">
        <v>2000</v>
      </c>
      <c r="R643" s="69">
        <f>IF((L644=""),"",((M643-N643)/(M643+N643))*100)</f>
        <v>3.4276896343104899</v>
      </c>
      <c r="S643" s="69">
        <v>23</v>
      </c>
      <c r="T643" s="130" t="str">
        <f>IF(L644="","",IF(R644&lt;20,(IF(O643&gt;1730,IF(O643&lt;1970,"Pass","Fail"),"Fail"))))</f>
        <v>Pass</v>
      </c>
      <c r="U643" s="153">
        <v>121</v>
      </c>
      <c r="V643" s="159" t="s">
        <v>131</v>
      </c>
      <c r="W643" s="56">
        <v>1730</v>
      </c>
      <c r="X643" s="56">
        <v>1970</v>
      </c>
      <c r="Y643" s="56">
        <v>6.2</v>
      </c>
    </row>
    <row r="644" spans="1:25" x14ac:dyDescent="0.3">
      <c r="A644" s="155"/>
      <c r="B644" s="147"/>
      <c r="C644" s="71" t="s">
        <v>89</v>
      </c>
      <c r="D644" s="56">
        <v>27572.94</v>
      </c>
      <c r="E644" s="56">
        <v>27485.56</v>
      </c>
      <c r="F644" s="56">
        <v>27513.19</v>
      </c>
      <c r="G644" s="56">
        <v>27451.25</v>
      </c>
      <c r="H644" s="56">
        <v>27529.82</v>
      </c>
      <c r="I644" s="56">
        <v>27508.78</v>
      </c>
      <c r="J644" s="56">
        <v>27453.27</v>
      </c>
      <c r="K644" s="56">
        <v>27453</v>
      </c>
      <c r="L644" s="56">
        <v>27559.8</v>
      </c>
      <c r="M644" s="77"/>
      <c r="N644" s="77"/>
      <c r="O644" s="77"/>
      <c r="P644" s="77"/>
      <c r="Q644" s="77"/>
      <c r="R644" s="77"/>
      <c r="S644" s="77"/>
      <c r="T644" s="132"/>
      <c r="U644" s="77"/>
      <c r="V644" s="159"/>
    </row>
    <row r="645" spans="1:25" ht="39.9" x14ac:dyDescent="0.3">
      <c r="A645" s="156"/>
      <c r="B645" s="149"/>
      <c r="C645" s="71" t="s">
        <v>123</v>
      </c>
      <c r="D645" s="38">
        <f t="shared" ref="D645:L645" si="211">IF(((D643="")*AND(D644="")),"",(D643-D644)*1)</f>
        <v>1902.380000000001</v>
      </c>
      <c r="E645" s="38">
        <f t="shared" si="211"/>
        <v>1850.1399999999994</v>
      </c>
      <c r="F645" s="38">
        <f t="shared" si="211"/>
        <v>1811.7400000000016</v>
      </c>
      <c r="G645" s="38">
        <f t="shared" si="211"/>
        <v>1870.0900000000001</v>
      </c>
      <c r="H645" s="38">
        <f t="shared" si="211"/>
        <v>1936.380000000001</v>
      </c>
      <c r="I645" s="38">
        <f t="shared" si="211"/>
        <v>1940.3500000000022</v>
      </c>
      <c r="J645" s="38">
        <f t="shared" si="211"/>
        <v>1857.75</v>
      </c>
      <c r="K645" s="38">
        <f t="shared" si="211"/>
        <v>1865.7299999999996</v>
      </c>
      <c r="L645" s="38">
        <f t="shared" si="211"/>
        <v>1921.3100000000013</v>
      </c>
      <c r="M645" s="135"/>
      <c r="N645" s="135"/>
      <c r="O645" s="135"/>
      <c r="P645" s="135"/>
      <c r="Q645" s="135"/>
      <c r="R645" s="135"/>
      <c r="S645" s="135"/>
      <c r="T645" s="136"/>
      <c r="U645" s="135"/>
      <c r="V645" s="159"/>
    </row>
    <row r="646" spans="1:25" x14ac:dyDescent="0.3">
      <c r="A646" s="169">
        <v>43382</v>
      </c>
      <c r="B646" s="129" t="s">
        <v>124</v>
      </c>
      <c r="C646" s="71" t="s">
        <v>88</v>
      </c>
      <c r="D646" s="56">
        <v>29259.48</v>
      </c>
      <c r="E646" s="56">
        <v>29181.7</v>
      </c>
      <c r="F646" s="56">
        <v>29100.6</v>
      </c>
      <c r="G646" s="56">
        <v>29173.22</v>
      </c>
      <c r="H646" s="56">
        <v>29235.89</v>
      </c>
      <c r="I646" s="56">
        <v>29219.42</v>
      </c>
      <c r="J646" s="56">
        <v>29153.47</v>
      </c>
      <c r="K646" s="56">
        <v>29172.62</v>
      </c>
      <c r="L646" s="56">
        <v>29268.09</v>
      </c>
      <c r="M646" s="69">
        <f>IF((L647=""),"",MAX(D648:L648))</f>
        <v>1961.4199999999983</v>
      </c>
      <c r="N646" s="69">
        <f>IF(L647="","",MIN(D648:L648))</f>
        <v>1741.9099999999999</v>
      </c>
      <c r="O646" s="69">
        <f>IF((L648=""),"",AVERAGE(D648:L648))</f>
        <v>1871.372222222222</v>
      </c>
      <c r="P646" s="69">
        <v>1600</v>
      </c>
      <c r="Q646" s="69">
        <v>2000</v>
      </c>
      <c r="R646" s="69">
        <f>IF((L647=""),"",((M646-N646)/(M646+N646))*100)</f>
        <v>5.9273680714383676</v>
      </c>
      <c r="S646" s="69">
        <v>23</v>
      </c>
      <c r="T646" s="130" t="str">
        <f>IF(L647="","",IF(R647&lt;20,(IF(O646&gt;1730,IF(O646&lt;1970,"Pass","Fail"),"Fail"))))</f>
        <v>Pass</v>
      </c>
      <c r="U646" s="153">
        <v>121</v>
      </c>
      <c r="V646" s="159" t="s">
        <v>132</v>
      </c>
      <c r="W646" s="56">
        <v>1730</v>
      </c>
      <c r="X646" s="56">
        <v>1970</v>
      </c>
      <c r="Y646" s="56">
        <v>6.2</v>
      </c>
    </row>
    <row r="647" spans="1:25" x14ac:dyDescent="0.3">
      <c r="A647" s="155"/>
      <c r="B647" s="147"/>
      <c r="C647" s="71" t="s">
        <v>89</v>
      </c>
      <c r="D647" s="56">
        <v>27393.61</v>
      </c>
      <c r="E647" s="56">
        <v>27317.61</v>
      </c>
      <c r="F647" s="56">
        <v>27358.69</v>
      </c>
      <c r="G647" s="56">
        <v>27307.25</v>
      </c>
      <c r="H647" s="56">
        <v>27274.47</v>
      </c>
      <c r="I647" s="56">
        <v>27313.919999999998</v>
      </c>
      <c r="J647" s="56">
        <v>27312.3</v>
      </c>
      <c r="K647" s="56">
        <v>27323.55</v>
      </c>
      <c r="L647" s="56">
        <v>27320.74</v>
      </c>
      <c r="M647" s="77"/>
      <c r="N647" s="77"/>
      <c r="O647" s="77"/>
      <c r="P647" s="77"/>
      <c r="Q647" s="77"/>
      <c r="R647" s="77"/>
      <c r="S647" s="77"/>
      <c r="T647" s="132"/>
      <c r="U647" s="77"/>
      <c r="V647" s="159"/>
    </row>
    <row r="648" spans="1:25" ht="39.9" x14ac:dyDescent="0.3">
      <c r="A648" s="156"/>
      <c r="B648" s="149"/>
      <c r="C648" s="71" t="s">
        <v>123</v>
      </c>
      <c r="D648" s="38">
        <f t="shared" ref="D648:L648" si="212">IF(((D646="")*AND(D647="")),"",(D646-D647)*1)</f>
        <v>1865.869999999999</v>
      </c>
      <c r="E648" s="38">
        <f t="shared" si="212"/>
        <v>1864.0900000000001</v>
      </c>
      <c r="F648" s="38">
        <f t="shared" si="212"/>
        <v>1741.9099999999999</v>
      </c>
      <c r="G648" s="38">
        <f t="shared" si="212"/>
        <v>1865.9700000000012</v>
      </c>
      <c r="H648" s="38">
        <f t="shared" si="212"/>
        <v>1961.4199999999983</v>
      </c>
      <c r="I648" s="38">
        <f t="shared" si="212"/>
        <v>1905.5</v>
      </c>
      <c r="J648" s="38">
        <f t="shared" si="212"/>
        <v>1841.1700000000019</v>
      </c>
      <c r="K648" s="38">
        <f t="shared" si="212"/>
        <v>1849.0699999999997</v>
      </c>
      <c r="L648" s="38">
        <f t="shared" si="212"/>
        <v>1947.3499999999985</v>
      </c>
      <c r="M648" s="135"/>
      <c r="N648" s="135"/>
      <c r="O648" s="135"/>
      <c r="P648" s="135"/>
      <c r="Q648" s="135"/>
      <c r="R648" s="135"/>
      <c r="S648" s="135"/>
      <c r="T648" s="136"/>
      <c r="U648" s="135"/>
      <c r="V648" s="159"/>
    </row>
    <row r="649" spans="1:25" x14ac:dyDescent="0.3">
      <c r="A649" s="169">
        <v>43385</v>
      </c>
      <c r="B649" s="129" t="s">
        <v>124</v>
      </c>
      <c r="C649" s="71" t="s">
        <v>88</v>
      </c>
      <c r="D649" s="56">
        <v>29293.98</v>
      </c>
      <c r="E649" s="56">
        <v>29150.23</v>
      </c>
      <c r="F649" s="56">
        <v>29225.56</v>
      </c>
      <c r="G649" s="56">
        <v>29188.75</v>
      </c>
      <c r="H649" s="56">
        <v>29240.63</v>
      </c>
      <c r="I649" s="56">
        <v>29241.35</v>
      </c>
      <c r="J649" s="56">
        <v>29157.02</v>
      </c>
      <c r="K649" s="56">
        <v>29180.14</v>
      </c>
      <c r="L649" s="56">
        <v>29228.68</v>
      </c>
      <c r="M649" s="69">
        <f>IF((L650=""),"",MAX(D651:L651))</f>
        <v>1925.0499999999993</v>
      </c>
      <c r="N649" s="69">
        <f>IF(L650="","",MIN(D651:L651))</f>
        <v>1790.2299999999996</v>
      </c>
      <c r="O649" s="69">
        <f>IF((L651=""),"",AVERAGE(D651:L651))</f>
        <v>1844.3222222222223</v>
      </c>
      <c r="P649" s="69">
        <v>1600</v>
      </c>
      <c r="Q649" s="69">
        <v>2000</v>
      </c>
      <c r="R649" s="69">
        <f>IF((L650=""),"",((M649-N649)/(M649+N649))*100)</f>
        <v>3.6287978295040957</v>
      </c>
      <c r="S649" s="69">
        <v>23</v>
      </c>
      <c r="T649" s="130" t="str">
        <f>IF(L650="","",IF(R650&lt;20,(IF(O649&gt;1730,IF(O649&lt;1970,"Pass","Fail"),"Fail"))))</f>
        <v>Pass</v>
      </c>
      <c r="U649" s="153">
        <v>121</v>
      </c>
      <c r="V649" s="159" t="s">
        <v>133</v>
      </c>
      <c r="W649" s="56">
        <v>1730</v>
      </c>
      <c r="X649" s="56">
        <v>1970</v>
      </c>
      <c r="Y649" s="56">
        <v>6.2</v>
      </c>
    </row>
    <row r="650" spans="1:25" x14ac:dyDescent="0.3">
      <c r="A650" s="155"/>
      <c r="B650" s="147"/>
      <c r="C650" s="71" t="s">
        <v>89</v>
      </c>
      <c r="D650" s="56">
        <v>27368.93</v>
      </c>
      <c r="E650" s="56">
        <v>27360</v>
      </c>
      <c r="F650" s="56">
        <v>27410.04</v>
      </c>
      <c r="G650" s="56">
        <v>27376.12</v>
      </c>
      <c r="H650" s="56">
        <v>27369.69</v>
      </c>
      <c r="I650" s="56">
        <v>27361.23</v>
      </c>
      <c r="J650" s="56">
        <v>27334.84</v>
      </c>
      <c r="K650" s="56">
        <v>27371.68</v>
      </c>
      <c r="L650" s="56">
        <v>27354.91</v>
      </c>
      <c r="M650" s="77"/>
      <c r="N650" s="77"/>
      <c r="O650" s="77"/>
      <c r="P650" s="77"/>
      <c r="Q650" s="77"/>
      <c r="R650" s="77"/>
      <c r="S650" s="77"/>
      <c r="T650" s="132"/>
      <c r="U650" s="77"/>
      <c r="V650" s="159"/>
    </row>
    <row r="651" spans="1:25" ht="39.9" x14ac:dyDescent="0.3">
      <c r="A651" s="156"/>
      <c r="B651" s="149"/>
      <c r="C651" s="71" t="s">
        <v>123</v>
      </c>
      <c r="D651" s="38">
        <f t="shared" ref="D651:L651" si="213">IF(((D649="")*AND(D650="")),"",(D649-D650)*1)</f>
        <v>1925.0499999999993</v>
      </c>
      <c r="E651" s="38">
        <f t="shared" si="213"/>
        <v>1790.2299999999996</v>
      </c>
      <c r="F651" s="38">
        <f t="shared" si="213"/>
        <v>1815.5200000000004</v>
      </c>
      <c r="G651" s="38">
        <f t="shared" si="213"/>
        <v>1812.630000000001</v>
      </c>
      <c r="H651" s="38">
        <f t="shared" si="213"/>
        <v>1870.9400000000023</v>
      </c>
      <c r="I651" s="38">
        <f t="shared" si="213"/>
        <v>1880.119999999999</v>
      </c>
      <c r="J651" s="38">
        <f t="shared" si="213"/>
        <v>1822.1800000000003</v>
      </c>
      <c r="K651" s="38">
        <f t="shared" si="213"/>
        <v>1808.4599999999991</v>
      </c>
      <c r="L651" s="38">
        <f t="shared" si="213"/>
        <v>1873.7700000000004</v>
      </c>
      <c r="M651" s="135"/>
      <c r="N651" s="135"/>
      <c r="O651" s="135"/>
      <c r="P651" s="135"/>
      <c r="Q651" s="135"/>
      <c r="R651" s="135"/>
      <c r="S651" s="135"/>
      <c r="T651" s="136"/>
      <c r="U651" s="135"/>
      <c r="V651" s="159"/>
    </row>
    <row r="652" spans="1:25" x14ac:dyDescent="0.3">
      <c r="A652" s="154">
        <v>43388</v>
      </c>
      <c r="B652" s="129" t="s">
        <v>124</v>
      </c>
      <c r="C652" s="71" t="s">
        <v>88</v>
      </c>
      <c r="D652" s="56">
        <v>29268.5</v>
      </c>
      <c r="E652" s="56">
        <v>29165.81</v>
      </c>
      <c r="F652" s="56">
        <v>29222.53</v>
      </c>
      <c r="G652" s="56">
        <v>29155.94</v>
      </c>
      <c r="H652" s="56">
        <v>29247.47</v>
      </c>
      <c r="I652" s="56">
        <v>29215.14</v>
      </c>
      <c r="J652" s="56">
        <v>29175.43</v>
      </c>
      <c r="K652" s="56">
        <v>29196.07</v>
      </c>
      <c r="L652" s="56">
        <v>29239.26</v>
      </c>
      <c r="M652" s="69">
        <f>IF((L653=""),"",MAX(D654:L654))</f>
        <v>1877.0699999999997</v>
      </c>
      <c r="N652" s="69">
        <f>IF(L653="","",MIN(D654:L654))</f>
        <v>1784.7800000000025</v>
      </c>
      <c r="O652" s="69">
        <f>IF((L654=""),"",AVERAGE(D654:L654))</f>
        <v>1836.895</v>
      </c>
      <c r="P652" s="69">
        <v>1600</v>
      </c>
      <c r="Q652" s="69">
        <v>2000</v>
      </c>
      <c r="R652" s="69">
        <f>IF((L653=""),"",((M652-N652)/(M652+N652))*100)</f>
        <v>2.5203107718775257</v>
      </c>
      <c r="S652" s="69">
        <v>23</v>
      </c>
      <c r="T652" s="130" t="str">
        <f>IF(L653="","",IF(R653&lt;20,(IF(O652&gt;1730,IF(O652&lt;1970,"Pass","Fail"),"Fail"))))</f>
        <v>Pass</v>
      </c>
      <c r="U652" s="153">
        <v>1340</v>
      </c>
      <c r="V652" s="159"/>
      <c r="W652" s="56">
        <v>1730</v>
      </c>
      <c r="X652" s="56">
        <v>1970</v>
      </c>
      <c r="Y652" s="56">
        <v>6.2</v>
      </c>
    </row>
    <row r="653" spans="1:25" x14ac:dyDescent="0.3">
      <c r="A653" s="155"/>
      <c r="B653" s="147"/>
      <c r="C653" s="71" t="s">
        <v>89</v>
      </c>
      <c r="D653" s="56">
        <v>27394.7</v>
      </c>
      <c r="E653" s="56">
        <v>27381.03</v>
      </c>
      <c r="F653" s="56">
        <v>27435.96</v>
      </c>
      <c r="G653" s="56">
        <v>27349.1</v>
      </c>
      <c r="H653" s="56">
        <v>27370.400000000001</v>
      </c>
      <c r="I653" s="56">
        <v>27364.02</v>
      </c>
      <c r="J653" s="56">
        <v>27358.71</v>
      </c>
      <c r="K653" s="56">
        <v>27366.53</v>
      </c>
      <c r="L653" s="56">
        <v>27363.7</v>
      </c>
      <c r="M653" s="77"/>
      <c r="N653" s="77"/>
      <c r="O653" s="77"/>
      <c r="P653" s="77"/>
      <c r="Q653" s="77"/>
      <c r="R653" s="77"/>
      <c r="S653" s="77"/>
      <c r="T653" s="132"/>
      <c r="U653" s="77"/>
      <c r="V653" s="159"/>
    </row>
    <row r="654" spans="1:25" ht="39.9" x14ac:dyDescent="0.3">
      <c r="A654" s="156"/>
      <c r="B654" s="149"/>
      <c r="C654" s="71" t="s">
        <v>123</v>
      </c>
      <c r="D654" s="38">
        <f t="shared" ref="D654:L654" si="214">IF(((D652="")*AND(D653="")),"",(D652-D653)*1)</f>
        <v>1873.7999999999993</v>
      </c>
      <c r="E654" s="38">
        <f t="shared" si="214"/>
        <v>1784.7800000000025</v>
      </c>
      <c r="F654" s="38">
        <f t="shared" si="214"/>
        <v>1786.5699999999997</v>
      </c>
      <c r="G654" s="38" t="s">
        <v>134</v>
      </c>
      <c r="H654" s="38">
        <f t="shared" si="214"/>
        <v>1877.0699999999997</v>
      </c>
      <c r="I654" s="38">
        <f t="shared" si="214"/>
        <v>1851.119999999999</v>
      </c>
      <c r="J654" s="38">
        <f t="shared" si="214"/>
        <v>1816.7200000000012</v>
      </c>
      <c r="K654" s="38">
        <f t="shared" si="214"/>
        <v>1829.5400000000009</v>
      </c>
      <c r="L654" s="38">
        <f t="shared" si="214"/>
        <v>1875.5599999999977</v>
      </c>
      <c r="M654" s="135"/>
      <c r="N654" s="135"/>
      <c r="O654" s="135"/>
      <c r="P654" s="135"/>
      <c r="Q654" s="135"/>
      <c r="R654" s="135"/>
      <c r="S654" s="135"/>
      <c r="T654" s="136"/>
      <c r="U654" s="135"/>
      <c r="V654" s="159"/>
    </row>
    <row r="655" spans="1:25" x14ac:dyDescent="0.3">
      <c r="A655" s="154">
        <v>43391</v>
      </c>
      <c r="B655" s="129" t="s">
        <v>124</v>
      </c>
      <c r="C655" s="71" t="s">
        <v>88</v>
      </c>
      <c r="D655" s="56">
        <v>29338.48</v>
      </c>
      <c r="E655" s="56">
        <v>29304.55</v>
      </c>
      <c r="F655" s="56">
        <v>29315.41</v>
      </c>
      <c r="G655" s="56">
        <v>29313.759999999998</v>
      </c>
      <c r="H655" s="56">
        <v>29377.71</v>
      </c>
      <c r="I655" s="56">
        <v>29412.53</v>
      </c>
      <c r="J655" s="56">
        <v>29303.49</v>
      </c>
      <c r="K655" s="56">
        <v>29292.83</v>
      </c>
      <c r="L655" s="56">
        <v>29352.66</v>
      </c>
      <c r="M655" s="69">
        <f>IF((L656=""),"",MAX(D657:L657))</f>
        <v>1924.739999999998</v>
      </c>
      <c r="N655" s="69">
        <f>IF(L656="","",MIN(D657:L657))</f>
        <v>1748.3499999999985</v>
      </c>
      <c r="O655" s="69">
        <f>IF((L657=""),"",AVERAGE(D657:L657))</f>
        <v>1844.8099999999988</v>
      </c>
      <c r="P655" s="69">
        <v>1600</v>
      </c>
      <c r="Q655" s="69">
        <v>2000</v>
      </c>
      <c r="R655" s="69">
        <f>IF((L656=""),"",((M655-N655)/(M655+N655))*100)</f>
        <v>4.8022237407741049</v>
      </c>
      <c r="S655" s="69">
        <v>23</v>
      </c>
      <c r="T655" s="130" t="str">
        <f>IF(L656="","",IF(R656&lt;20,(IF(O655&gt;1730,IF(O655&lt;1970,"Pass","Fail"),"Fail"))))</f>
        <v>Pass</v>
      </c>
      <c r="U655" s="153">
        <v>102</v>
      </c>
      <c r="V655" s="159" t="s">
        <v>135</v>
      </c>
      <c r="W655" s="56">
        <v>1730</v>
      </c>
      <c r="X655" s="56">
        <v>1970</v>
      </c>
      <c r="Y655" s="56">
        <v>6.2</v>
      </c>
    </row>
    <row r="656" spans="1:25" x14ac:dyDescent="0.3">
      <c r="A656" s="155"/>
      <c r="B656" s="147"/>
      <c r="C656" s="71" t="s">
        <v>89</v>
      </c>
      <c r="D656" s="56">
        <v>27459.33</v>
      </c>
      <c r="E656" s="56">
        <v>27459.33</v>
      </c>
      <c r="F656" s="56">
        <v>27567.06</v>
      </c>
      <c r="G656" s="56">
        <v>27498.52</v>
      </c>
      <c r="H656" s="56">
        <v>27500.95</v>
      </c>
      <c r="I656" s="56">
        <v>27487.79</v>
      </c>
      <c r="J656" s="56">
        <v>27477.4</v>
      </c>
      <c r="K656" s="56">
        <v>27466.12</v>
      </c>
      <c r="L656" s="56">
        <v>27491.63</v>
      </c>
      <c r="M656" s="77"/>
      <c r="N656" s="77"/>
      <c r="O656" s="77"/>
      <c r="P656" s="77"/>
      <c r="Q656" s="77"/>
      <c r="R656" s="77"/>
      <c r="S656" s="77"/>
      <c r="T656" s="132"/>
      <c r="U656" s="77"/>
      <c r="V656" s="159"/>
    </row>
    <row r="657" spans="1:25" ht="39.9" x14ac:dyDescent="0.3">
      <c r="A657" s="156"/>
      <c r="B657" s="149"/>
      <c r="C657" s="71" t="s">
        <v>123</v>
      </c>
      <c r="D657" s="38">
        <f t="shared" ref="D657:L657" si="215">IF(((D655="")*AND(D656="")),"",(D655-D656)*1)</f>
        <v>1879.1499999999978</v>
      </c>
      <c r="E657" s="38">
        <f t="shared" si="215"/>
        <v>1845.2199999999975</v>
      </c>
      <c r="F657" s="38">
        <f t="shared" si="215"/>
        <v>1748.3499999999985</v>
      </c>
      <c r="G657" s="38">
        <f t="shared" si="215"/>
        <v>1815.239999999998</v>
      </c>
      <c r="H657" s="38">
        <f t="shared" si="215"/>
        <v>1876.7599999999984</v>
      </c>
      <c r="I657" s="38">
        <f t="shared" si="215"/>
        <v>1924.739999999998</v>
      </c>
      <c r="J657" s="38">
        <f t="shared" si="215"/>
        <v>1826.0900000000001</v>
      </c>
      <c r="K657" s="38">
        <f t="shared" si="215"/>
        <v>1826.7100000000028</v>
      </c>
      <c r="L657" s="38">
        <f t="shared" si="215"/>
        <v>1861.0299999999988</v>
      </c>
      <c r="M657" s="135"/>
      <c r="N657" s="135"/>
      <c r="O657" s="135"/>
      <c r="P657" s="135"/>
      <c r="Q657" s="135"/>
      <c r="R657" s="135"/>
      <c r="S657" s="135"/>
      <c r="T657" s="136"/>
      <c r="U657" s="135"/>
      <c r="V657" s="159"/>
    </row>
    <row r="658" spans="1:25" x14ac:dyDescent="0.3">
      <c r="A658" s="170">
        <v>43394</v>
      </c>
      <c r="B658" s="129" t="s">
        <v>124</v>
      </c>
      <c r="C658" s="71" t="s">
        <v>88</v>
      </c>
      <c r="D658" s="56">
        <v>29306.44</v>
      </c>
      <c r="E658" s="56">
        <v>29248.21</v>
      </c>
      <c r="F658" s="56">
        <v>29264.82</v>
      </c>
      <c r="G658" s="56">
        <v>29240.2</v>
      </c>
      <c r="H658" s="56">
        <v>29311.88</v>
      </c>
      <c r="I658" s="56">
        <v>29304.83</v>
      </c>
      <c r="J658" s="56">
        <v>29249.7</v>
      </c>
      <c r="K658" s="56">
        <v>29227.66</v>
      </c>
      <c r="L658" s="56">
        <v>29305.85</v>
      </c>
      <c r="M658" s="69">
        <f>IF((L659=""),"",MAX(D660:L660))</f>
        <v>1886.8500000000022</v>
      </c>
      <c r="N658" s="69">
        <f>IF(L659="","",MIN(D660:L660))</f>
        <v>1762.8899999999994</v>
      </c>
      <c r="O658" s="69">
        <f>IF((L660=""),"",AVERAGE(D660:L660))</f>
        <v>1830.9266666666667</v>
      </c>
      <c r="P658" s="69">
        <v>1600</v>
      </c>
      <c r="Q658" s="69">
        <v>2000</v>
      </c>
      <c r="R658" s="69">
        <f>IF((L659=""),"",((M658-N658)/(M658+N658))*100)</f>
        <v>3.3964063193543295</v>
      </c>
      <c r="S658" s="69">
        <v>23</v>
      </c>
      <c r="T658" s="130" t="str">
        <f>IF(L659="","",IF(R659&lt;20,(IF(O658&gt;1730,IF(O658&lt;1970,"Pass","Fail"),"Fail"))))</f>
        <v>Pass</v>
      </c>
      <c r="U658" s="153">
        <v>121</v>
      </c>
      <c r="V658" s="159" t="s">
        <v>136</v>
      </c>
      <c r="W658" s="56">
        <v>1730</v>
      </c>
      <c r="X658" s="56">
        <v>1970</v>
      </c>
      <c r="Y658" s="56">
        <v>6.2</v>
      </c>
    </row>
    <row r="659" spans="1:25" x14ac:dyDescent="0.3">
      <c r="A659" s="155"/>
      <c r="B659" s="147"/>
      <c r="C659" s="71" t="s">
        <v>89</v>
      </c>
      <c r="D659" s="56">
        <v>27425.18</v>
      </c>
      <c r="E659" s="56">
        <v>27453.46</v>
      </c>
      <c r="F659" s="56">
        <v>27501.93</v>
      </c>
      <c r="G659" s="56">
        <v>27447.98</v>
      </c>
      <c r="H659" s="56">
        <v>27429.23</v>
      </c>
      <c r="I659" s="56">
        <v>27417.98</v>
      </c>
      <c r="J659" s="56">
        <v>27454.03</v>
      </c>
      <c r="K659" s="56">
        <v>27416.240000000002</v>
      </c>
      <c r="L659" s="56">
        <v>27435.22</v>
      </c>
      <c r="M659" s="77"/>
      <c r="N659" s="77"/>
      <c r="O659" s="77"/>
      <c r="P659" s="77"/>
      <c r="Q659" s="77"/>
      <c r="R659" s="77"/>
      <c r="S659" s="77"/>
      <c r="T659" s="132"/>
      <c r="U659" s="77"/>
      <c r="V659" s="159"/>
    </row>
    <row r="660" spans="1:25" ht="39.9" x14ac:dyDescent="0.3">
      <c r="A660" s="156"/>
      <c r="B660" s="149"/>
      <c r="C660" s="71" t="s">
        <v>123</v>
      </c>
      <c r="D660" s="38">
        <f t="shared" ref="D660:L660" si="216">IF(((D658="")*AND(D659="")),"",(D658-D659)*1)</f>
        <v>1881.2599999999984</v>
      </c>
      <c r="E660" s="38">
        <f t="shared" si="216"/>
        <v>1794.75</v>
      </c>
      <c r="F660" s="38">
        <f t="shared" si="216"/>
        <v>1762.8899999999994</v>
      </c>
      <c r="G660" s="38">
        <f t="shared" si="216"/>
        <v>1792.2200000000012</v>
      </c>
      <c r="H660" s="38">
        <f t="shared" si="216"/>
        <v>1882.6500000000015</v>
      </c>
      <c r="I660" s="38">
        <f t="shared" si="216"/>
        <v>1886.8500000000022</v>
      </c>
      <c r="J660" s="38">
        <f t="shared" si="216"/>
        <v>1795.6700000000019</v>
      </c>
      <c r="K660" s="38">
        <f t="shared" si="216"/>
        <v>1811.4199999999983</v>
      </c>
      <c r="L660" s="38">
        <f t="shared" si="216"/>
        <v>1870.6299999999974</v>
      </c>
      <c r="M660" s="135"/>
      <c r="N660" s="135"/>
      <c r="O660" s="135"/>
      <c r="P660" s="135"/>
      <c r="Q660" s="135"/>
      <c r="R660" s="135"/>
      <c r="S660" s="135"/>
      <c r="T660" s="136"/>
      <c r="U660" s="135"/>
      <c r="V660" s="159"/>
    </row>
    <row r="661" spans="1:25" x14ac:dyDescent="0.3">
      <c r="A661" s="170">
        <v>43397</v>
      </c>
      <c r="B661" s="129" t="s">
        <v>124</v>
      </c>
      <c r="C661" s="71" t="s">
        <v>88</v>
      </c>
      <c r="D661" s="56">
        <v>29245.02</v>
      </c>
      <c r="E661" s="56">
        <v>29165.66</v>
      </c>
      <c r="F661" s="56">
        <v>29171.57</v>
      </c>
      <c r="G661" s="56">
        <v>29180.52</v>
      </c>
      <c r="H661" s="56">
        <v>29274.240000000002</v>
      </c>
      <c r="I661" s="56">
        <v>29246.67</v>
      </c>
      <c r="J661" s="56">
        <v>29164.36</v>
      </c>
      <c r="K661" s="56">
        <v>29165.74</v>
      </c>
      <c r="L661" s="56">
        <v>29262.7</v>
      </c>
      <c r="M661" s="69">
        <f>IF((L662=""),"",MAX(D663:L663))</f>
        <v>1921.1700000000019</v>
      </c>
      <c r="N661" s="69">
        <f>IF(L662="","",MIN(D663:L663))</f>
        <v>1534.2999999999993</v>
      </c>
      <c r="O661" s="69">
        <f>IF((L663=""),"",AVERAGE(D663:L663))</f>
        <v>1827.351111111112</v>
      </c>
      <c r="P661" s="69">
        <v>1600</v>
      </c>
      <c r="Q661" s="69">
        <v>2000</v>
      </c>
      <c r="R661" s="69">
        <f>IF((L662=""),"",((M661-N661)/(M661+N661))*100)</f>
        <v>11.195872052137696</v>
      </c>
      <c r="S661" s="69">
        <v>23</v>
      </c>
      <c r="T661" s="130" t="str">
        <f>IF(L662="","",IF(R662&lt;20,(IF(O661&gt;1730,IF(O661&lt;1970,"Pass","Fail"),"Fail"))))</f>
        <v>Pass</v>
      </c>
      <c r="U661" s="153">
        <v>121</v>
      </c>
      <c r="V661" s="159" t="s">
        <v>137</v>
      </c>
      <c r="W661" s="56">
        <v>1730</v>
      </c>
      <c r="X661" s="56">
        <v>1970</v>
      </c>
      <c r="Y661" s="56">
        <v>6.2</v>
      </c>
    </row>
    <row r="662" spans="1:25" x14ac:dyDescent="0.3">
      <c r="A662" s="155"/>
      <c r="B662" s="147"/>
      <c r="C662" s="71" t="s">
        <v>89</v>
      </c>
      <c r="D662" s="56">
        <v>27381.05</v>
      </c>
      <c r="E662" s="56">
        <v>27359.23</v>
      </c>
      <c r="F662" s="56">
        <v>27637.27</v>
      </c>
      <c r="G662" s="56">
        <v>27326.06</v>
      </c>
      <c r="H662" s="56">
        <v>27353.07</v>
      </c>
      <c r="I662" s="56">
        <v>27368.34</v>
      </c>
      <c r="J662" s="56">
        <v>27320.78</v>
      </c>
      <c r="K662" s="56">
        <v>27310.26</v>
      </c>
      <c r="L662" s="56">
        <v>27374.26</v>
      </c>
      <c r="M662" s="77"/>
      <c r="N662" s="77"/>
      <c r="O662" s="77"/>
      <c r="P662" s="77"/>
      <c r="Q662" s="77"/>
      <c r="R662" s="77"/>
      <c r="S662" s="77"/>
      <c r="T662" s="132"/>
      <c r="U662" s="77"/>
      <c r="V662" s="159"/>
    </row>
    <row r="663" spans="1:25" ht="39.9" x14ac:dyDescent="0.3">
      <c r="A663" s="156"/>
      <c r="B663" s="149"/>
      <c r="C663" s="71" t="s">
        <v>123</v>
      </c>
      <c r="D663" s="38">
        <f t="shared" ref="D663:L663" si="217">IF(((D661="")*AND(D662="")),"",(D661-D662)*1)</f>
        <v>1863.9700000000012</v>
      </c>
      <c r="E663" s="38">
        <f t="shared" si="217"/>
        <v>1806.4300000000003</v>
      </c>
      <c r="F663" s="38">
        <f t="shared" si="217"/>
        <v>1534.2999999999993</v>
      </c>
      <c r="G663" s="38">
        <f t="shared" si="217"/>
        <v>1854.4599999999991</v>
      </c>
      <c r="H663" s="38">
        <f t="shared" si="217"/>
        <v>1921.1700000000019</v>
      </c>
      <c r="I663" s="38">
        <f t="shared" si="217"/>
        <v>1878.3299999999981</v>
      </c>
      <c r="J663" s="38">
        <f t="shared" si="217"/>
        <v>1843.5800000000017</v>
      </c>
      <c r="K663" s="38">
        <f t="shared" si="217"/>
        <v>1855.4800000000032</v>
      </c>
      <c r="L663" s="38">
        <f t="shared" si="217"/>
        <v>1888.4400000000023</v>
      </c>
      <c r="M663" s="135"/>
      <c r="N663" s="135"/>
      <c r="O663" s="135"/>
      <c r="P663" s="135"/>
      <c r="Q663" s="135"/>
      <c r="R663" s="135"/>
      <c r="S663" s="135"/>
      <c r="T663" s="136"/>
      <c r="U663" s="135"/>
      <c r="V663" s="159"/>
    </row>
    <row r="664" spans="1:25" x14ac:dyDescent="0.3">
      <c r="A664" s="170">
        <v>43401</v>
      </c>
      <c r="B664" s="129" t="s">
        <v>124</v>
      </c>
      <c r="C664" s="71" t="s">
        <v>88</v>
      </c>
      <c r="D664" s="56">
        <v>29257.81</v>
      </c>
      <c r="E664" s="56">
        <v>29211.21</v>
      </c>
      <c r="F664" s="56">
        <v>29235.38</v>
      </c>
      <c r="G664" s="56">
        <v>29182.77</v>
      </c>
      <c r="H664" s="56">
        <v>29271.89</v>
      </c>
      <c r="I664" s="56">
        <v>29238.25</v>
      </c>
      <c r="J664" s="56">
        <v>29188.03</v>
      </c>
      <c r="K664" s="56">
        <v>29189.79</v>
      </c>
      <c r="L664" s="56">
        <v>29267.94</v>
      </c>
      <c r="M664" s="69">
        <f>IF((L665=""),"",MAX(D666:L666))</f>
        <v>1938.7799999999988</v>
      </c>
      <c r="N664" s="69">
        <f>IF(L665="","",MIN(D666:L666))</f>
        <v>1824.6599999999999</v>
      </c>
      <c r="O664" s="69">
        <f>IF((L666=""),"",AVERAGE(D666:L666))</f>
        <v>1885.4044444444444</v>
      </c>
      <c r="P664" s="69">
        <v>1600</v>
      </c>
      <c r="Q664" s="69">
        <v>2000</v>
      </c>
      <c r="R664" s="69">
        <f>IF((L665=""),"",((M664-N664)/(M664+N664))*100)</f>
        <v>3.0323321216758874</v>
      </c>
      <c r="S664" s="69">
        <v>23</v>
      </c>
      <c r="T664" s="130" t="str">
        <f>IF(L665="","",IF(R665&lt;20,(IF(O664&gt;1730,IF(O664&lt;1970,"Pass","Fail"),"Fail"))))</f>
        <v>Pass</v>
      </c>
      <c r="U664" s="153">
        <v>1335</v>
      </c>
      <c r="V664" s="159" t="s">
        <v>138</v>
      </c>
      <c r="W664" s="56">
        <v>1730</v>
      </c>
      <c r="X664" s="56">
        <v>1970</v>
      </c>
      <c r="Y664" s="56">
        <v>6.2</v>
      </c>
    </row>
    <row r="665" spans="1:25" x14ac:dyDescent="0.3">
      <c r="A665" s="155"/>
      <c r="B665" s="147"/>
      <c r="C665" s="71" t="s">
        <v>89</v>
      </c>
      <c r="D665" s="56">
        <v>27347.05</v>
      </c>
      <c r="E665" s="56">
        <v>27359.37</v>
      </c>
      <c r="F665" s="56">
        <v>27410.720000000001</v>
      </c>
      <c r="G665" s="56">
        <v>27316.74</v>
      </c>
      <c r="H665" s="56">
        <v>27333.11</v>
      </c>
      <c r="I665" s="56">
        <v>27299.66</v>
      </c>
      <c r="J665" s="56">
        <v>27330.6</v>
      </c>
      <c r="K665" s="56">
        <v>27325.34</v>
      </c>
      <c r="L665" s="56">
        <v>27351.84</v>
      </c>
      <c r="M665" s="77"/>
      <c r="N665" s="77"/>
      <c r="O665" s="77"/>
      <c r="P665" s="77"/>
      <c r="Q665" s="77"/>
      <c r="R665" s="77"/>
      <c r="S665" s="77"/>
      <c r="T665" s="132"/>
      <c r="U665" s="77"/>
      <c r="V665" s="159"/>
    </row>
    <row r="666" spans="1:25" ht="39.9" x14ac:dyDescent="0.3">
      <c r="A666" s="156"/>
      <c r="B666" s="149"/>
      <c r="C666" s="71" t="s">
        <v>123</v>
      </c>
      <c r="D666" s="38">
        <f t="shared" ref="D666:L666" si="218">IF(((D664="")*AND(D665="")),"",(D664-D665)*1)</f>
        <v>1910.760000000002</v>
      </c>
      <c r="E666" s="38">
        <f t="shared" si="218"/>
        <v>1851.8400000000001</v>
      </c>
      <c r="F666" s="38">
        <f t="shared" si="218"/>
        <v>1824.6599999999999</v>
      </c>
      <c r="G666" s="38">
        <f t="shared" si="218"/>
        <v>1866.0299999999988</v>
      </c>
      <c r="H666" s="38">
        <f t="shared" si="218"/>
        <v>1938.7799999999988</v>
      </c>
      <c r="I666" s="38">
        <f t="shared" si="218"/>
        <v>1938.5900000000001</v>
      </c>
      <c r="J666" s="38">
        <f t="shared" si="218"/>
        <v>1857.4300000000003</v>
      </c>
      <c r="K666" s="38">
        <f t="shared" si="218"/>
        <v>1864.4500000000007</v>
      </c>
      <c r="L666" s="38">
        <f t="shared" si="218"/>
        <v>1916.0999999999985</v>
      </c>
      <c r="M666" s="135"/>
      <c r="N666" s="135"/>
      <c r="O666" s="135"/>
      <c r="P666" s="135"/>
      <c r="Q666" s="135"/>
      <c r="R666" s="135"/>
      <c r="S666" s="135"/>
      <c r="T666" s="136"/>
      <c r="U666" s="135"/>
      <c r="V666" s="159"/>
    </row>
    <row r="667" spans="1:25" x14ac:dyDescent="0.3">
      <c r="A667" s="170">
        <v>43404</v>
      </c>
      <c r="B667" s="129" t="s">
        <v>124</v>
      </c>
      <c r="C667" s="71" t="s">
        <v>88</v>
      </c>
      <c r="D667" s="56">
        <v>29327.74</v>
      </c>
      <c r="E667" s="56">
        <v>29290.07</v>
      </c>
      <c r="F667" s="56">
        <v>29287.64</v>
      </c>
      <c r="G667" s="56">
        <v>29278.66</v>
      </c>
      <c r="H667" s="56">
        <v>29350.880000000001</v>
      </c>
      <c r="I667" s="56">
        <v>29328.62</v>
      </c>
      <c r="J667" s="56">
        <v>29310.73</v>
      </c>
      <c r="K667" s="56">
        <v>29264.97</v>
      </c>
      <c r="L667" s="56">
        <v>29338.53</v>
      </c>
      <c r="M667" s="69">
        <f>IF((L668=""),"",MAX(D669:L669))</f>
        <v>1937.25</v>
      </c>
      <c r="N667" s="69">
        <f>IF(L668="","",MIN(D669:L669))</f>
        <v>1792.5499999999993</v>
      </c>
      <c r="O667" s="69">
        <f>IF((L669=""),"",AVERAGE(D669:L669))</f>
        <v>1870.8066666666664</v>
      </c>
      <c r="P667" s="69">
        <v>1600</v>
      </c>
      <c r="Q667" s="69">
        <v>2000</v>
      </c>
      <c r="R667" s="69">
        <f>IF((L668=""),"",((M667-N667)/(M667+N667))*100)</f>
        <v>3.8795645879135816</v>
      </c>
      <c r="S667" s="69">
        <v>23</v>
      </c>
      <c r="T667" s="130" t="str">
        <f>IF(L668="","",IF(R668&lt;20,(IF(O667&gt;1730,IF(O667&lt;1970,"Pass","Fail"),"Fail"))))</f>
        <v>Pass</v>
      </c>
      <c r="U667" s="153">
        <v>64</v>
      </c>
      <c r="V667" s="159" t="s">
        <v>139</v>
      </c>
      <c r="W667" s="56">
        <v>1730</v>
      </c>
      <c r="X667" s="56">
        <v>1970</v>
      </c>
      <c r="Y667" s="56">
        <v>6.2</v>
      </c>
    </row>
    <row r="668" spans="1:25" x14ac:dyDescent="0.3">
      <c r="A668" s="155"/>
      <c r="B668" s="147"/>
      <c r="C668" s="71" t="s">
        <v>89</v>
      </c>
      <c r="D668" s="56">
        <v>27451.16</v>
      </c>
      <c r="E668" s="56">
        <v>27443.15</v>
      </c>
      <c r="F668" s="56">
        <v>27495.09</v>
      </c>
      <c r="G668" s="56">
        <v>27419.93</v>
      </c>
      <c r="H668" s="56">
        <v>27413.63</v>
      </c>
      <c r="I668" s="56">
        <v>27427</v>
      </c>
      <c r="J668" s="56">
        <v>27440.92</v>
      </c>
      <c r="K668" s="56">
        <v>27407.07</v>
      </c>
      <c r="L668" s="56">
        <v>27442.63</v>
      </c>
      <c r="M668" s="77"/>
      <c r="N668" s="77"/>
      <c r="O668" s="77"/>
      <c r="P668" s="77"/>
      <c r="Q668" s="77"/>
      <c r="R668" s="77"/>
      <c r="S668" s="77"/>
      <c r="T668" s="132"/>
      <c r="U668" s="77"/>
      <c r="V668" s="159"/>
    </row>
    <row r="669" spans="1:25" ht="39.9" x14ac:dyDescent="0.3">
      <c r="A669" s="156"/>
      <c r="B669" s="149"/>
      <c r="C669" s="71" t="s">
        <v>123</v>
      </c>
      <c r="D669" s="38">
        <f t="shared" ref="D669:L669" si="219">IF(((D667="")*AND(D668="")),"",(D667-D668)*1)</f>
        <v>1876.5800000000017</v>
      </c>
      <c r="E669" s="38">
        <f t="shared" si="219"/>
        <v>1846.9199999999983</v>
      </c>
      <c r="F669" s="38">
        <f t="shared" si="219"/>
        <v>1792.5499999999993</v>
      </c>
      <c r="G669" s="38">
        <f t="shared" si="219"/>
        <v>1858.7299999999996</v>
      </c>
      <c r="H669" s="38">
        <f t="shared" si="219"/>
        <v>1937.25</v>
      </c>
      <c r="I669" s="38">
        <f t="shared" si="219"/>
        <v>1901.619999999999</v>
      </c>
      <c r="J669" s="38">
        <f t="shared" si="219"/>
        <v>1869.8100000000013</v>
      </c>
      <c r="K669" s="38">
        <f t="shared" si="219"/>
        <v>1857.9000000000015</v>
      </c>
      <c r="L669" s="38">
        <f t="shared" si="219"/>
        <v>1895.8999999999978</v>
      </c>
      <c r="M669" s="135"/>
      <c r="N669" s="135"/>
      <c r="O669" s="135"/>
      <c r="P669" s="135"/>
      <c r="Q669" s="135"/>
      <c r="R669" s="135"/>
      <c r="S669" s="135"/>
      <c r="T669" s="136"/>
      <c r="U669" s="135"/>
      <c r="V669" s="159"/>
    </row>
    <row r="670" spans="1:25" x14ac:dyDescent="0.3">
      <c r="A670" s="170">
        <v>43404</v>
      </c>
      <c r="B670" s="129" t="s">
        <v>124</v>
      </c>
      <c r="C670" s="71" t="s">
        <v>88</v>
      </c>
      <c r="D670" s="56">
        <v>29320.18</v>
      </c>
      <c r="E670" s="56">
        <v>29231.040000000001</v>
      </c>
      <c r="F670" s="56">
        <v>29240.47</v>
      </c>
      <c r="G670" s="56">
        <v>29262.37</v>
      </c>
      <c r="H670" s="56">
        <v>29358.82</v>
      </c>
      <c r="I670" s="56">
        <v>29310.43</v>
      </c>
      <c r="J670" s="56">
        <v>29229.040000000001</v>
      </c>
      <c r="K670" s="56">
        <v>29236.51</v>
      </c>
      <c r="L670" s="56">
        <v>29344.34</v>
      </c>
      <c r="M670" s="69">
        <f>IF((L671=""),"",MAX(D672:L672))</f>
        <v>1934.260000000002</v>
      </c>
      <c r="N670" s="69">
        <f>IF(L671="","",MIN(D672:L672))</f>
        <v>1819.2900000000009</v>
      </c>
      <c r="O670" s="69">
        <f>IF((L672=""),"",AVERAGE(D672:L672))</f>
        <v>1881.4333333333334</v>
      </c>
      <c r="P670" s="69">
        <v>1600</v>
      </c>
      <c r="Q670" s="69">
        <v>2000</v>
      </c>
      <c r="R670" s="69">
        <f>IF((L671=""),"",((M670-N670)/(M670+N670))*100)</f>
        <v>3.062967057851929</v>
      </c>
      <c r="S670" s="69">
        <v>23</v>
      </c>
      <c r="T670" s="130" t="str">
        <f>IF(L671="","",IF(R671&lt;20,(IF(O670&gt;1730,IF(O670&lt;1970,"Pass","Fail"),"Fail"))))</f>
        <v>Pass</v>
      </c>
      <c r="U670" s="153">
        <v>1335</v>
      </c>
      <c r="V670" s="159" t="s">
        <v>140</v>
      </c>
      <c r="W670" s="56">
        <v>1730</v>
      </c>
      <c r="X670" s="56">
        <v>1970</v>
      </c>
      <c r="Y670" s="56">
        <v>6.2</v>
      </c>
    </row>
    <row r="671" spans="1:25" x14ac:dyDescent="0.3">
      <c r="A671" s="155"/>
      <c r="B671" s="147"/>
      <c r="C671" s="71" t="s">
        <v>89</v>
      </c>
      <c r="D671" s="56">
        <v>27410.81</v>
      </c>
      <c r="E671" s="56">
        <v>27380.76</v>
      </c>
      <c r="F671" s="56">
        <v>27421.18</v>
      </c>
      <c r="G671" s="56">
        <v>27399.27</v>
      </c>
      <c r="H671" s="56">
        <v>27426.36</v>
      </c>
      <c r="I671" s="56">
        <v>27376.17</v>
      </c>
      <c r="J671" s="56">
        <v>27382.65</v>
      </c>
      <c r="K671" s="56">
        <v>27381.91</v>
      </c>
      <c r="L671" s="56">
        <v>27421.19</v>
      </c>
      <c r="M671" s="77"/>
      <c r="N671" s="77"/>
      <c r="O671" s="77"/>
      <c r="P671" s="77"/>
      <c r="Q671" s="77"/>
      <c r="R671" s="77"/>
      <c r="S671" s="77"/>
      <c r="T671" s="132"/>
      <c r="U671" s="77"/>
      <c r="V671" s="159"/>
    </row>
    <row r="672" spans="1:25" ht="39.9" x14ac:dyDescent="0.3">
      <c r="A672" s="156"/>
      <c r="B672" s="149"/>
      <c r="C672" s="71" t="s">
        <v>123</v>
      </c>
      <c r="D672" s="38">
        <f t="shared" ref="D672:L672" si="220">IF(((D670="")*AND(D671="")),"",(D670-D671)*1)</f>
        <v>1909.369999999999</v>
      </c>
      <c r="E672" s="38">
        <f t="shared" si="220"/>
        <v>1850.2800000000025</v>
      </c>
      <c r="F672" s="38">
        <f t="shared" si="220"/>
        <v>1819.2900000000009</v>
      </c>
      <c r="G672" s="38">
        <f t="shared" si="220"/>
        <v>1863.0999999999985</v>
      </c>
      <c r="H672" s="38">
        <f t="shared" si="220"/>
        <v>1932.4599999999991</v>
      </c>
      <c r="I672" s="38">
        <f t="shared" si="220"/>
        <v>1934.260000000002</v>
      </c>
      <c r="J672" s="38">
        <f t="shared" si="220"/>
        <v>1846.3899999999994</v>
      </c>
      <c r="K672" s="38">
        <f t="shared" si="220"/>
        <v>1854.5999999999985</v>
      </c>
      <c r="L672" s="38">
        <f t="shared" si="220"/>
        <v>1923.1500000000015</v>
      </c>
      <c r="M672" s="135"/>
      <c r="N672" s="135"/>
      <c r="O672" s="135"/>
      <c r="P672" s="135"/>
      <c r="Q672" s="135"/>
      <c r="R672" s="135"/>
      <c r="S672" s="135"/>
      <c r="T672" s="136"/>
      <c r="U672" s="135"/>
      <c r="V672" s="159"/>
    </row>
    <row r="673" spans="1:25" x14ac:dyDescent="0.3">
      <c r="A673" s="154">
        <v>43408</v>
      </c>
      <c r="B673" s="129" t="s">
        <v>124</v>
      </c>
      <c r="C673" s="71" t="s">
        <v>88</v>
      </c>
      <c r="D673" s="56">
        <v>29378.02</v>
      </c>
      <c r="E673" s="56">
        <v>29313.52</v>
      </c>
      <c r="F673" s="56">
        <v>29351.89</v>
      </c>
      <c r="G673" s="56">
        <v>29300.06</v>
      </c>
      <c r="H673" s="56">
        <v>29369.91</v>
      </c>
      <c r="I673" s="56">
        <v>29366.03</v>
      </c>
      <c r="J673" s="56">
        <v>29312.34</v>
      </c>
      <c r="K673" s="56">
        <v>29298.63</v>
      </c>
      <c r="L673" s="56">
        <v>29377.11</v>
      </c>
      <c r="M673" s="69">
        <f>IF((L674=""),"",MAX(D675:L675))</f>
        <v>1927.9799999999996</v>
      </c>
      <c r="N673" s="69">
        <f>IF(L674="","",MIN(D675:L675))</f>
        <v>1811.4099999999999</v>
      </c>
      <c r="O673" s="69">
        <f>IF((L675=""),"",AVERAGE(D675:L675))</f>
        <v>1870.3333333333337</v>
      </c>
      <c r="P673" s="69">
        <v>1600</v>
      </c>
      <c r="Q673" s="69">
        <v>2000</v>
      </c>
      <c r="R673" s="69">
        <f>IF((L674=""),"",((M673-N673)/(M673+N673))*100)</f>
        <v>3.1173533651210419</v>
      </c>
      <c r="S673" s="69">
        <v>23</v>
      </c>
      <c r="T673" s="130" t="str">
        <f>IF(L674="","",IF(R674&lt;20,(IF(O673&gt;1730,IF(O673&lt;1970,"Pass","Fail"),"Fail"))))</f>
        <v>Pass</v>
      </c>
      <c r="U673" s="153">
        <v>121</v>
      </c>
      <c r="V673" s="159" t="s">
        <v>141</v>
      </c>
      <c r="W673" s="56">
        <v>1730</v>
      </c>
      <c r="X673" s="56">
        <v>1970</v>
      </c>
      <c r="Y673" s="56">
        <v>6.2</v>
      </c>
    </row>
    <row r="674" spans="1:25" x14ac:dyDescent="0.3">
      <c r="A674" s="155"/>
      <c r="B674" s="147"/>
      <c r="C674" s="71" t="s">
        <v>89</v>
      </c>
      <c r="D674" s="56">
        <v>27490.94</v>
      </c>
      <c r="E674" s="56">
        <v>27478.5</v>
      </c>
      <c r="F674" s="56">
        <v>27540.48</v>
      </c>
      <c r="G674" s="56">
        <v>27458.05</v>
      </c>
      <c r="H674" s="56">
        <v>27446.39</v>
      </c>
      <c r="I674" s="56">
        <v>27438.05</v>
      </c>
      <c r="J674" s="56">
        <v>27456.720000000001</v>
      </c>
      <c r="K674" s="56">
        <v>27454.59</v>
      </c>
      <c r="L674" s="56">
        <v>27470.79</v>
      </c>
      <c r="M674" s="77"/>
      <c r="N674" s="77"/>
      <c r="O674" s="77"/>
      <c r="P674" s="77"/>
      <c r="Q674" s="77"/>
      <c r="R674" s="77"/>
      <c r="S674" s="77"/>
      <c r="T674" s="132"/>
      <c r="U674" s="77"/>
      <c r="V674" s="159"/>
    </row>
    <row r="675" spans="1:25" ht="39.9" x14ac:dyDescent="0.3">
      <c r="A675" s="156"/>
      <c r="B675" s="149"/>
      <c r="C675" s="71" t="s">
        <v>123</v>
      </c>
      <c r="D675" s="38">
        <f t="shared" ref="D675:L675" si="221">IF(((D673="")*AND(D674="")),"",(D673-D674)*1)</f>
        <v>1887.0800000000017</v>
      </c>
      <c r="E675" s="38">
        <f t="shared" si="221"/>
        <v>1835.0200000000004</v>
      </c>
      <c r="F675" s="38">
        <f t="shared" si="221"/>
        <v>1811.4099999999999</v>
      </c>
      <c r="G675" s="38">
        <f t="shared" si="221"/>
        <v>1842.010000000002</v>
      </c>
      <c r="H675" s="38">
        <f t="shared" si="221"/>
        <v>1923.5200000000004</v>
      </c>
      <c r="I675" s="38">
        <f t="shared" si="221"/>
        <v>1927.9799999999996</v>
      </c>
      <c r="J675" s="38">
        <f t="shared" si="221"/>
        <v>1855.619999999999</v>
      </c>
      <c r="K675" s="38">
        <f t="shared" si="221"/>
        <v>1844.0400000000009</v>
      </c>
      <c r="L675" s="38">
        <f t="shared" si="221"/>
        <v>1906.3199999999997</v>
      </c>
      <c r="M675" s="135"/>
      <c r="N675" s="135"/>
      <c r="O675" s="135"/>
      <c r="P675" s="135"/>
      <c r="Q675" s="135"/>
      <c r="R675" s="135"/>
      <c r="S675" s="135"/>
      <c r="T675" s="136"/>
      <c r="U675" s="135"/>
      <c r="V675" s="159"/>
    </row>
    <row r="676" spans="1:25" x14ac:dyDescent="0.3">
      <c r="A676" s="154">
        <v>43413</v>
      </c>
      <c r="B676" s="129" t="s">
        <v>124</v>
      </c>
      <c r="C676" s="71" t="s">
        <v>88</v>
      </c>
      <c r="D676" s="56">
        <v>29291.95</v>
      </c>
      <c r="E676" s="56">
        <v>29207.37</v>
      </c>
      <c r="F676" s="56">
        <v>29202.39</v>
      </c>
      <c r="G676" s="56">
        <v>29227.65</v>
      </c>
      <c r="H676" s="56">
        <v>29309.86</v>
      </c>
      <c r="I676" s="56">
        <v>29294.25</v>
      </c>
      <c r="J676" s="56">
        <v>29202.84</v>
      </c>
      <c r="K676" s="56">
        <v>29208.77</v>
      </c>
      <c r="L676" s="56">
        <v>29290.26</v>
      </c>
      <c r="M676" s="69">
        <f>IF((L677=""),"",MAX(D678:L678))</f>
        <v>1901.7200000000012</v>
      </c>
      <c r="N676" s="69">
        <f>IF(L677="","",MIN(D678:L678))</f>
        <v>1784.5299999999988</v>
      </c>
      <c r="O676" s="69">
        <f>IF((L678=""),"",AVERAGE(D678:L678))</f>
        <v>1843.6949999999997</v>
      </c>
      <c r="P676" s="69">
        <v>1600</v>
      </c>
      <c r="Q676" s="69">
        <v>2000</v>
      </c>
      <c r="R676" s="69">
        <f>IF((L677=""),"",((M676-N676)/(M676+N676))*100)</f>
        <v>3.1791115632418396</v>
      </c>
      <c r="S676" s="69">
        <v>23</v>
      </c>
      <c r="T676" s="130" t="str">
        <f>IF(L677="","",IF(R677&lt;20,(IF(O676&gt;1730,IF(O676&lt;1970,"Pass","Fail"),"Fail"))))</f>
        <v>Pass</v>
      </c>
      <c r="U676" s="153">
        <v>1335</v>
      </c>
      <c r="V676" s="159" t="s">
        <v>142</v>
      </c>
      <c r="W676" s="56">
        <v>1730</v>
      </c>
      <c r="X676" s="56">
        <v>1970</v>
      </c>
      <c r="Y676" s="56">
        <v>6.2</v>
      </c>
    </row>
    <row r="677" spans="1:25" x14ac:dyDescent="0.3">
      <c r="A677" s="155"/>
      <c r="B677" s="147"/>
      <c r="C677" s="71" t="s">
        <v>89</v>
      </c>
      <c r="D677" s="56">
        <v>27418.36</v>
      </c>
      <c r="E677" s="56">
        <v>27400.81</v>
      </c>
      <c r="F677" s="56">
        <v>27417.86</v>
      </c>
      <c r="G677" s="56">
        <v>27376.41</v>
      </c>
      <c r="H677" s="56">
        <v>27408.14</v>
      </c>
      <c r="I677" s="56">
        <v>27403.72</v>
      </c>
      <c r="J677" s="56">
        <v>27375.71</v>
      </c>
      <c r="K677" s="56">
        <v>27381.38</v>
      </c>
      <c r="L677" s="56">
        <v>27429.8</v>
      </c>
      <c r="M677" s="77"/>
      <c r="N677" s="77"/>
      <c r="O677" s="77"/>
      <c r="P677" s="77"/>
      <c r="Q677" s="77"/>
      <c r="R677" s="77"/>
      <c r="S677" s="77"/>
      <c r="T677" s="132"/>
      <c r="U677" s="77"/>
      <c r="V677" s="159"/>
    </row>
    <row r="678" spans="1:25" ht="39.9" x14ac:dyDescent="0.3">
      <c r="A678" s="156"/>
      <c r="B678" s="149"/>
      <c r="C678" s="71" t="s">
        <v>123</v>
      </c>
      <c r="E678" s="38">
        <f t="shared" ref="E678:L678" si="222">IF(((E676="")*AND(E677="")),"",(E676-E677)*1)</f>
        <v>1806.5599999999977</v>
      </c>
      <c r="F678" s="38">
        <f t="shared" si="222"/>
        <v>1784.5299999999988</v>
      </c>
      <c r="G678" s="38">
        <f t="shared" si="222"/>
        <v>1851.2400000000016</v>
      </c>
      <c r="H678" s="38">
        <f t="shared" si="222"/>
        <v>1901.7200000000012</v>
      </c>
      <c r="I678" s="38">
        <f t="shared" si="222"/>
        <v>1890.5299999999988</v>
      </c>
      <c r="J678" s="38">
        <f t="shared" si="222"/>
        <v>1827.130000000001</v>
      </c>
      <c r="K678" s="38">
        <f t="shared" si="222"/>
        <v>1827.3899999999994</v>
      </c>
      <c r="L678" s="38">
        <f t="shared" si="222"/>
        <v>1860.4599999999991</v>
      </c>
      <c r="M678" s="135"/>
      <c r="N678" s="135"/>
      <c r="O678" s="135"/>
      <c r="P678" s="135"/>
      <c r="Q678" s="135"/>
      <c r="R678" s="135"/>
      <c r="S678" s="135"/>
      <c r="T678" s="136"/>
      <c r="U678" s="135"/>
      <c r="V678" s="159"/>
    </row>
    <row r="679" spans="1:25" x14ac:dyDescent="0.3">
      <c r="A679" s="154">
        <v>43424</v>
      </c>
      <c r="B679" s="129" t="s">
        <v>124</v>
      </c>
      <c r="C679" s="71" t="s">
        <v>88</v>
      </c>
      <c r="D679" s="56">
        <v>29261.33</v>
      </c>
      <c r="E679" s="56">
        <v>29189.61</v>
      </c>
      <c r="F679" s="56">
        <v>29224.82</v>
      </c>
      <c r="G679" s="56">
        <v>29177.599999999999</v>
      </c>
      <c r="H679" s="56">
        <v>29235.32</v>
      </c>
      <c r="I679" s="56">
        <v>29246.49</v>
      </c>
      <c r="J679" s="56">
        <v>29174.12</v>
      </c>
      <c r="K679" s="56">
        <v>29164.77</v>
      </c>
      <c r="L679" s="56">
        <v>29233.06</v>
      </c>
      <c r="M679" s="69">
        <f>IF((L680=""),"",MAX(D681:L681))</f>
        <v>1916.8300000000017</v>
      </c>
      <c r="N679" s="69">
        <f>IF(L680="","",MIN(D681:L681))</f>
        <v>1790.5499999999993</v>
      </c>
      <c r="O679" s="69">
        <f>IF((L681=""),"",AVERAGE(D681:L681))</f>
        <v>1855.4012500000003</v>
      </c>
      <c r="P679" s="69">
        <v>1600</v>
      </c>
      <c r="Q679" s="69">
        <v>2000</v>
      </c>
      <c r="R679" s="69">
        <f>IF((L680=""),"",((M679-N679)/(M679+N679))*100)</f>
        <v>3.4061790266981653</v>
      </c>
      <c r="S679" s="69">
        <v>23</v>
      </c>
      <c r="T679" s="130" t="str">
        <f>IF(L680="","",IF(R680&lt;20,(IF(O679&gt;1730,IF(O679&lt;1970,"Pass","Fail"),"Fail"))))</f>
        <v>Pass</v>
      </c>
      <c r="U679" s="153">
        <v>1159</v>
      </c>
      <c r="V679" s="159" t="s">
        <v>143</v>
      </c>
      <c r="W679" s="56">
        <v>1730</v>
      </c>
      <c r="X679" s="56">
        <v>1970</v>
      </c>
      <c r="Y679" s="56">
        <v>6.2</v>
      </c>
    </row>
    <row r="680" spans="1:25" x14ac:dyDescent="0.3">
      <c r="A680" s="155"/>
      <c r="B680" s="147"/>
      <c r="C680" s="71" t="s">
        <v>89</v>
      </c>
      <c r="D680" s="56">
        <v>27376.9</v>
      </c>
      <c r="E680" s="56">
        <v>27358.42</v>
      </c>
      <c r="F680" s="56">
        <v>27434.27</v>
      </c>
      <c r="G680" s="56">
        <v>27327.31</v>
      </c>
      <c r="H680" s="56">
        <v>27333.18</v>
      </c>
      <c r="I680" s="56">
        <v>27329.66</v>
      </c>
      <c r="J680" s="56">
        <v>27344.16</v>
      </c>
      <c r="K680" s="56">
        <v>27324.69</v>
      </c>
      <c r="L680" s="56">
        <v>27350.89</v>
      </c>
      <c r="M680" s="77"/>
      <c r="N680" s="77"/>
      <c r="O680" s="77"/>
      <c r="P680" s="77"/>
      <c r="Q680" s="77"/>
      <c r="R680" s="77"/>
      <c r="S680" s="77"/>
      <c r="T680" s="132"/>
      <c r="U680" s="77"/>
      <c r="V680" s="159"/>
    </row>
    <row r="681" spans="1:25" ht="39.9" x14ac:dyDescent="0.3">
      <c r="A681" s="156"/>
      <c r="B681" s="149"/>
      <c r="C681" s="71" t="s">
        <v>123</v>
      </c>
      <c r="E681" s="38">
        <f t="shared" ref="E681:L681" si="223">IF(((E679="")*AND(E680="")),"",(E679-E680)*1)</f>
        <v>1831.1900000000023</v>
      </c>
      <c r="F681" s="38">
        <f t="shared" si="223"/>
        <v>1790.5499999999993</v>
      </c>
      <c r="G681" s="38">
        <f t="shared" si="223"/>
        <v>1850.2899999999972</v>
      </c>
      <c r="H681" s="38">
        <f t="shared" si="223"/>
        <v>1902.1399999999994</v>
      </c>
      <c r="I681" s="38">
        <f t="shared" si="223"/>
        <v>1916.8300000000017</v>
      </c>
      <c r="J681" s="38">
        <f t="shared" si="223"/>
        <v>1829.9599999999991</v>
      </c>
      <c r="K681" s="38">
        <f t="shared" si="223"/>
        <v>1840.0800000000017</v>
      </c>
      <c r="L681" s="38">
        <f t="shared" si="223"/>
        <v>1882.1700000000019</v>
      </c>
      <c r="M681" s="135"/>
      <c r="N681" s="135"/>
      <c r="O681" s="135"/>
      <c r="P681" s="135"/>
      <c r="Q681" s="135"/>
      <c r="R681" s="135"/>
      <c r="S681" s="135"/>
      <c r="T681" s="136"/>
      <c r="U681" s="135"/>
      <c r="V681" s="159"/>
    </row>
    <row r="682" spans="1:25" x14ac:dyDescent="0.3">
      <c r="A682" s="154">
        <v>43428</v>
      </c>
      <c r="B682" s="129" t="s">
        <v>124</v>
      </c>
      <c r="C682" s="71" t="s">
        <v>88</v>
      </c>
      <c r="D682" s="56">
        <v>29190.17</v>
      </c>
      <c r="E682" s="56">
        <v>29134.43</v>
      </c>
      <c r="F682" s="56">
        <v>29128.53</v>
      </c>
      <c r="G682" s="56">
        <v>29111.65</v>
      </c>
      <c r="H682" s="56">
        <v>29185.43</v>
      </c>
      <c r="I682" s="56">
        <v>29176.98</v>
      </c>
      <c r="J682" s="56">
        <v>29103.43</v>
      </c>
      <c r="K682" s="56">
        <v>29112.37</v>
      </c>
      <c r="L682" s="56">
        <v>29180.86</v>
      </c>
      <c r="M682" s="69">
        <f>IF((L683=""),"",MAX(D684:L684))</f>
        <v>1917.1100000000006</v>
      </c>
      <c r="N682" s="69">
        <f>IF(L683="","",MIN(D684:L684))</f>
        <v>1784.1699999999983</v>
      </c>
      <c r="O682" s="69">
        <f>IF((L684=""),"",AVERAGE(D684:L684))</f>
        <v>1851.9137499999997</v>
      </c>
      <c r="P682" s="69">
        <v>1600</v>
      </c>
      <c r="Q682" s="69">
        <v>2000</v>
      </c>
      <c r="R682" s="69">
        <f>IF((L683=""),"",((M682-N682)/(M682+N682))*100)</f>
        <v>3.5917304283924043</v>
      </c>
      <c r="S682" s="69">
        <v>23</v>
      </c>
      <c r="T682" s="130" t="str">
        <f>IF(L683="","",IF(R683&lt;20,(IF(O682&gt;1730,IF(O682&lt;1970,"Pass","Fail"),"Fail"))))</f>
        <v>Pass</v>
      </c>
      <c r="U682" s="153">
        <v>64</v>
      </c>
      <c r="V682" s="159" t="s">
        <v>69</v>
      </c>
      <c r="W682" s="56">
        <v>1730</v>
      </c>
      <c r="X682" s="56">
        <v>1970</v>
      </c>
      <c r="Y682" s="56">
        <v>6.2</v>
      </c>
    </row>
    <row r="683" spans="1:25" x14ac:dyDescent="0.3">
      <c r="A683" s="155"/>
      <c r="B683" s="147"/>
      <c r="C683" s="71" t="s">
        <v>89</v>
      </c>
      <c r="D683" s="56">
        <v>27289.18</v>
      </c>
      <c r="E683" s="56">
        <v>27295.08</v>
      </c>
      <c r="F683" s="56">
        <v>27344.36</v>
      </c>
      <c r="G683" s="56">
        <v>27278.99</v>
      </c>
      <c r="H683" s="56">
        <v>27281.43</v>
      </c>
      <c r="I683" s="56">
        <v>27259.87</v>
      </c>
      <c r="J683" s="56">
        <v>27276.92</v>
      </c>
      <c r="K683" s="56">
        <v>27292.31</v>
      </c>
      <c r="L683" s="56">
        <v>27289.41</v>
      </c>
      <c r="M683" s="77"/>
      <c r="N683" s="77"/>
      <c r="O683" s="77"/>
      <c r="P683" s="77"/>
      <c r="Q683" s="77"/>
      <c r="R683" s="77"/>
      <c r="S683" s="77"/>
      <c r="T683" s="132"/>
      <c r="U683" s="77"/>
      <c r="V683" s="159"/>
    </row>
    <row r="684" spans="1:25" ht="39.9" x14ac:dyDescent="0.3">
      <c r="A684" s="156"/>
      <c r="B684" s="149"/>
      <c r="C684" s="71" t="s">
        <v>123</v>
      </c>
      <c r="E684" s="38">
        <f t="shared" ref="E684:L684" si="224">IF(((E682="")*AND(E683="")),"",(E682-E683)*1)</f>
        <v>1839.3499999999985</v>
      </c>
      <c r="F684" s="38">
        <f t="shared" si="224"/>
        <v>1784.1699999999983</v>
      </c>
      <c r="G684" s="38">
        <f t="shared" si="224"/>
        <v>1832.6599999999999</v>
      </c>
      <c r="H684" s="38">
        <f t="shared" si="224"/>
        <v>1904</v>
      </c>
      <c r="I684" s="38">
        <f t="shared" si="224"/>
        <v>1917.1100000000006</v>
      </c>
      <c r="J684" s="38">
        <f t="shared" si="224"/>
        <v>1826.510000000002</v>
      </c>
      <c r="K684" s="38">
        <f t="shared" si="224"/>
        <v>1820.0599999999977</v>
      </c>
      <c r="L684" s="38">
        <f t="shared" si="224"/>
        <v>1891.4500000000007</v>
      </c>
      <c r="M684" s="135"/>
      <c r="N684" s="135"/>
      <c r="O684" s="135"/>
      <c r="P684" s="135"/>
      <c r="Q684" s="135"/>
      <c r="R684" s="135"/>
      <c r="S684" s="135"/>
      <c r="T684" s="136"/>
      <c r="U684" s="135"/>
      <c r="V684" s="159"/>
    </row>
    <row r="685" spans="1:25" x14ac:dyDescent="0.3">
      <c r="A685" s="154">
        <v>43438</v>
      </c>
      <c r="B685" s="129" t="s">
        <v>124</v>
      </c>
      <c r="C685" s="71" t="s">
        <v>88</v>
      </c>
      <c r="D685" s="56">
        <v>29288.5</v>
      </c>
      <c r="E685" s="56">
        <v>29195.49</v>
      </c>
      <c r="F685" s="56">
        <v>29186.59</v>
      </c>
      <c r="G685" s="56">
        <v>29189.89</v>
      </c>
      <c r="H685" s="56">
        <v>29264.22</v>
      </c>
      <c r="I685" s="56">
        <v>29288.52</v>
      </c>
      <c r="J685" s="56">
        <v>29188.86</v>
      </c>
      <c r="K685" s="56">
        <v>29182.87</v>
      </c>
      <c r="L685" s="56">
        <v>29273.78</v>
      </c>
      <c r="M685" s="69">
        <f>IF((L686=""),"",MAX(D687:L687))</f>
        <v>1930.5200000000004</v>
      </c>
      <c r="N685" s="69">
        <f>IF(L686="","",MIN(D687:L687))</f>
        <v>1816.2000000000007</v>
      </c>
      <c r="O685" s="69">
        <f>IF((L687=""),"",AVERAGE(D687:L687))</f>
        <v>1877.764444444445</v>
      </c>
      <c r="P685" s="69">
        <v>1600</v>
      </c>
      <c r="Q685" s="69">
        <v>2000</v>
      </c>
      <c r="R685" s="69">
        <f>IF((L686=""),"",((M685-N685)/(M685+N685))*100)</f>
        <v>3.0512021181193063</v>
      </c>
      <c r="S685" s="69">
        <v>23</v>
      </c>
      <c r="T685" s="130" t="str">
        <f>IF(L686="","",IF(R686&lt;20,(IF(O685&gt;1730,IF(O685&lt;1970,"Pass","Fail"),"Fail"))))</f>
        <v>Pass</v>
      </c>
      <c r="U685" s="153">
        <v>1159</v>
      </c>
      <c r="V685" s="159" t="s">
        <v>144</v>
      </c>
      <c r="W685" s="56">
        <v>1730</v>
      </c>
      <c r="X685" s="56">
        <v>1970</v>
      </c>
      <c r="Y685" s="56">
        <v>6.2</v>
      </c>
    </row>
    <row r="686" spans="1:25" x14ac:dyDescent="0.3">
      <c r="A686" s="155"/>
      <c r="B686" s="147"/>
      <c r="C686" s="71" t="s">
        <v>89</v>
      </c>
      <c r="D686" s="56">
        <v>27374.06</v>
      </c>
      <c r="E686" s="56">
        <v>27346.86</v>
      </c>
      <c r="F686" s="56">
        <v>27370.39</v>
      </c>
      <c r="G686" s="56">
        <v>27333.89</v>
      </c>
      <c r="H686" s="56">
        <v>27350.01</v>
      </c>
      <c r="I686" s="56">
        <v>27358</v>
      </c>
      <c r="J686" s="56">
        <v>27337.11</v>
      </c>
      <c r="K686" s="56">
        <v>27330.42</v>
      </c>
      <c r="L686" s="56">
        <v>27358.1</v>
      </c>
      <c r="M686" s="77"/>
      <c r="N686" s="77"/>
      <c r="O686" s="77"/>
      <c r="P686" s="77"/>
      <c r="Q686" s="77"/>
      <c r="R686" s="77"/>
      <c r="S686" s="77"/>
      <c r="T686" s="132"/>
      <c r="U686" s="77"/>
      <c r="V686" s="159"/>
    </row>
    <row r="687" spans="1:25" ht="39.9" x14ac:dyDescent="0.3">
      <c r="A687" s="156"/>
      <c r="B687" s="149"/>
      <c r="C687" s="71" t="s">
        <v>123</v>
      </c>
      <c r="D687" s="38">
        <f t="shared" ref="D687:L687" si="225">IF(((D685="")*AND(D686="")),"",(D685-D686)*1)</f>
        <v>1914.4399999999987</v>
      </c>
      <c r="E687" s="38">
        <f t="shared" si="225"/>
        <v>1848.630000000001</v>
      </c>
      <c r="F687" s="38">
        <f t="shared" si="225"/>
        <v>1816.2000000000007</v>
      </c>
      <c r="G687" s="38">
        <f t="shared" si="225"/>
        <v>1856</v>
      </c>
      <c r="H687" s="38">
        <f t="shared" si="225"/>
        <v>1914.2100000000028</v>
      </c>
      <c r="I687" s="38">
        <f t="shared" si="225"/>
        <v>1930.5200000000004</v>
      </c>
      <c r="J687" s="38">
        <f t="shared" si="225"/>
        <v>1851.75</v>
      </c>
      <c r="K687" s="38">
        <f t="shared" si="225"/>
        <v>1852.4500000000007</v>
      </c>
      <c r="L687" s="38">
        <f t="shared" si="225"/>
        <v>1915.6800000000003</v>
      </c>
      <c r="M687" s="135"/>
      <c r="N687" s="135"/>
      <c r="O687" s="135"/>
      <c r="P687" s="135"/>
      <c r="Q687" s="135"/>
      <c r="R687" s="135"/>
      <c r="S687" s="135"/>
      <c r="T687" s="136"/>
      <c r="U687" s="135"/>
      <c r="V687" s="159"/>
    </row>
    <row r="688" spans="1:25" x14ac:dyDescent="0.3">
      <c r="A688" s="154">
        <v>43452</v>
      </c>
      <c r="B688" s="129" t="s">
        <v>124</v>
      </c>
      <c r="C688" s="71" t="s">
        <v>88</v>
      </c>
      <c r="D688" s="56">
        <v>29195.63</v>
      </c>
      <c r="E688" s="56">
        <v>29144.79</v>
      </c>
      <c r="F688" s="56">
        <v>29167.06</v>
      </c>
      <c r="G688" s="56">
        <v>29161.119999999999</v>
      </c>
      <c r="H688" s="56">
        <v>29222.16</v>
      </c>
      <c r="I688" s="56">
        <v>29213.360000000001</v>
      </c>
      <c r="J688" s="56">
        <v>29147.37</v>
      </c>
      <c r="K688" s="56">
        <v>29130.17</v>
      </c>
      <c r="L688" s="56">
        <v>29196.41</v>
      </c>
      <c r="M688" s="69">
        <f>IF((L689=""),"",MAX(D690:L690))</f>
        <v>1860.4500000000007</v>
      </c>
      <c r="N688" s="69">
        <f>IF(L689="","",MIN(D690:L690))</f>
        <v>1719.6700000000019</v>
      </c>
      <c r="O688" s="69">
        <f>IF((L690=""),"",AVERAGE(D690:L690))</f>
        <v>1806.376666666667</v>
      </c>
      <c r="P688" s="69">
        <v>1600</v>
      </c>
      <c r="Q688" s="69">
        <v>2000</v>
      </c>
      <c r="R688" s="69">
        <f>IF((L689=""),"",((M688-N688)/(M688+N688))*100)</f>
        <v>3.9322704266895729</v>
      </c>
      <c r="S688" s="69">
        <v>23</v>
      </c>
      <c r="T688" s="130" t="str">
        <f>IF(L689="","",IF(R689&lt;20,(IF(O688&gt;1730,IF(O688&lt;1970,"Pass","Fail"),"Fail"))))</f>
        <v>Pass</v>
      </c>
      <c r="U688" s="153">
        <v>1428</v>
      </c>
      <c r="V688" s="159" t="s">
        <v>145</v>
      </c>
      <c r="W688" s="56">
        <v>1730</v>
      </c>
      <c r="X688" s="56">
        <v>1970</v>
      </c>
      <c r="Y688" s="56">
        <v>6.2</v>
      </c>
    </row>
    <row r="689" spans="1:25" x14ac:dyDescent="0.3">
      <c r="A689" s="155"/>
      <c r="B689" s="147"/>
      <c r="C689" s="71" t="s">
        <v>89</v>
      </c>
      <c r="D689" s="56">
        <v>27344.39</v>
      </c>
      <c r="E689" s="56">
        <v>27367.8</v>
      </c>
      <c r="F689" s="56">
        <v>27447.39</v>
      </c>
      <c r="G689" s="56">
        <v>27365.78</v>
      </c>
      <c r="H689" s="56">
        <v>27378.11</v>
      </c>
      <c r="I689" s="56">
        <v>27352.91</v>
      </c>
      <c r="J689" s="56">
        <v>27366.11</v>
      </c>
      <c r="K689" s="56">
        <v>27343.39</v>
      </c>
      <c r="L689" s="56">
        <v>27354.799999999999</v>
      </c>
      <c r="M689" s="77"/>
      <c r="N689" s="77"/>
      <c r="O689" s="77"/>
      <c r="P689" s="77"/>
      <c r="Q689" s="77"/>
      <c r="R689" s="77"/>
      <c r="S689" s="77"/>
      <c r="T689" s="132"/>
      <c r="U689" s="77"/>
      <c r="V689" s="159"/>
    </row>
    <row r="690" spans="1:25" ht="39.9" x14ac:dyDescent="0.3">
      <c r="A690" s="156"/>
      <c r="B690" s="149"/>
      <c r="C690" s="71" t="s">
        <v>123</v>
      </c>
      <c r="D690" s="38">
        <f t="shared" ref="D690:L690" si="226">IF(((D688="")*AND(D689="")),"",(D688-D689)*1)</f>
        <v>1851.2400000000016</v>
      </c>
      <c r="E690" s="38">
        <f t="shared" si="226"/>
        <v>1776.9900000000016</v>
      </c>
      <c r="F690" s="38">
        <f t="shared" si="226"/>
        <v>1719.6700000000019</v>
      </c>
      <c r="G690" s="38">
        <f t="shared" si="226"/>
        <v>1795.3400000000001</v>
      </c>
      <c r="H690" s="38">
        <f t="shared" si="226"/>
        <v>1844.0499999999993</v>
      </c>
      <c r="I690" s="38">
        <f t="shared" si="226"/>
        <v>1860.4500000000007</v>
      </c>
      <c r="J690" s="38">
        <f t="shared" si="226"/>
        <v>1781.2599999999984</v>
      </c>
      <c r="K690" s="38">
        <f t="shared" si="226"/>
        <v>1786.7799999999988</v>
      </c>
      <c r="L690" s="38">
        <f t="shared" si="226"/>
        <v>1841.6100000000006</v>
      </c>
      <c r="M690" s="135"/>
      <c r="N690" s="135"/>
      <c r="O690" s="135"/>
      <c r="P690" s="135"/>
      <c r="Q690" s="135"/>
      <c r="R690" s="135"/>
      <c r="S690" s="135"/>
      <c r="T690" s="136"/>
      <c r="U690" s="135"/>
      <c r="V690" s="159"/>
    </row>
    <row r="691" spans="1:25" x14ac:dyDescent="0.3">
      <c r="A691" s="154">
        <v>43460</v>
      </c>
      <c r="B691" s="129" t="s">
        <v>124</v>
      </c>
      <c r="C691" s="71" t="s">
        <v>88</v>
      </c>
      <c r="D691" s="56">
        <v>29292.84</v>
      </c>
      <c r="E691" s="56">
        <v>29228.46</v>
      </c>
      <c r="F691" s="56">
        <v>29223.96</v>
      </c>
      <c r="G691" s="56">
        <v>29237.759999999998</v>
      </c>
      <c r="H691" s="56">
        <v>29320.26</v>
      </c>
      <c r="I691" s="56">
        <v>29325.7</v>
      </c>
      <c r="J691" s="56">
        <v>29223.439999999999</v>
      </c>
      <c r="K691" s="56">
        <v>29208.93</v>
      </c>
      <c r="L691" s="56">
        <v>29284.81</v>
      </c>
      <c r="M691" s="69">
        <f>IF((L692=""),"",MAX(D693:L693))</f>
        <v>1878.6500000000015</v>
      </c>
      <c r="N691" s="69">
        <f>IF(L692="","",MIN(D693:L693))</f>
        <v>1744.1599999999999</v>
      </c>
      <c r="O691" s="69">
        <f>IF((L693=""),"",AVERAGE(D693:L693))</f>
        <v>1817.1688888888884</v>
      </c>
      <c r="P691" s="69">
        <v>1600</v>
      </c>
      <c r="Q691" s="69">
        <v>2000</v>
      </c>
      <c r="R691" s="69">
        <f>IF((L692=""),"",((M691-N691)/(M691+N691))*100)</f>
        <v>3.7123117138354358</v>
      </c>
      <c r="S691" s="69">
        <v>23</v>
      </c>
      <c r="T691" s="130" t="str">
        <f>IF(L692="","",IF(R692&lt;20,(IF(O691&gt;1730,IF(O691&lt;1970,"Pass","Fail"),"Fail"))))</f>
        <v>Pass</v>
      </c>
      <c r="U691" s="153">
        <v>102</v>
      </c>
      <c r="V691" s="159" t="s">
        <v>146</v>
      </c>
      <c r="W691" s="56">
        <v>1730</v>
      </c>
      <c r="X691" s="56">
        <v>1970</v>
      </c>
      <c r="Y691" s="56">
        <v>6.2</v>
      </c>
    </row>
    <row r="692" spans="1:25" x14ac:dyDescent="0.3">
      <c r="A692" s="155"/>
      <c r="B692" s="147"/>
      <c r="C692" s="71" t="s">
        <v>89</v>
      </c>
      <c r="D692" s="56">
        <v>27442.2</v>
      </c>
      <c r="E692" s="56">
        <v>27443.37</v>
      </c>
      <c r="F692" s="56">
        <v>27479.8</v>
      </c>
      <c r="G692" s="56">
        <v>27437.5</v>
      </c>
      <c r="H692" s="56">
        <v>27453.3</v>
      </c>
      <c r="I692" s="56">
        <v>27447.05</v>
      </c>
      <c r="J692" s="56">
        <v>27434.47</v>
      </c>
      <c r="K692" s="56">
        <v>27417.39</v>
      </c>
      <c r="L692" s="56">
        <v>27436.560000000001</v>
      </c>
      <c r="M692" s="77"/>
      <c r="N692" s="77"/>
      <c r="O692" s="77"/>
      <c r="P692" s="77"/>
      <c r="Q692" s="77"/>
      <c r="R692" s="77"/>
      <c r="S692" s="77"/>
      <c r="T692" s="132"/>
      <c r="U692" s="77"/>
      <c r="V692" s="159"/>
    </row>
    <row r="693" spans="1:25" ht="39.9" x14ac:dyDescent="0.3">
      <c r="A693" s="156"/>
      <c r="B693" s="149"/>
      <c r="C693" s="71" t="s">
        <v>123</v>
      </c>
      <c r="D693" s="38">
        <f t="shared" ref="D693:L693" si="227">IF(((D691="")*AND(D692="")),"",(D691-D692)*1)</f>
        <v>1850.6399999999994</v>
      </c>
      <c r="E693" s="38">
        <f t="shared" si="227"/>
        <v>1785.0900000000001</v>
      </c>
      <c r="F693" s="38">
        <f t="shared" si="227"/>
        <v>1744.1599999999999</v>
      </c>
      <c r="G693" s="38">
        <f t="shared" si="227"/>
        <v>1800.2599999999984</v>
      </c>
      <c r="H693" s="38">
        <f t="shared" si="227"/>
        <v>1866.9599999999991</v>
      </c>
      <c r="I693" s="38">
        <f t="shared" si="227"/>
        <v>1878.6500000000015</v>
      </c>
      <c r="J693" s="38">
        <f t="shared" si="227"/>
        <v>1788.9699999999975</v>
      </c>
      <c r="K693" s="38">
        <f t="shared" si="227"/>
        <v>1791.5400000000009</v>
      </c>
      <c r="L693" s="38">
        <f t="shared" si="227"/>
        <v>1848.25</v>
      </c>
      <c r="M693" s="135"/>
      <c r="N693" s="135"/>
      <c r="O693" s="135"/>
      <c r="P693" s="135"/>
      <c r="Q693" s="135"/>
      <c r="R693" s="135"/>
      <c r="S693" s="135"/>
      <c r="T693" s="136"/>
      <c r="U693" s="135"/>
      <c r="V693" s="159"/>
    </row>
    <row r="694" spans="1:25" x14ac:dyDescent="0.3">
      <c r="A694" s="154">
        <v>43465</v>
      </c>
      <c r="B694" s="129" t="s">
        <v>124</v>
      </c>
      <c r="C694" s="71" t="s">
        <v>88</v>
      </c>
      <c r="D694" s="160">
        <v>29149.24</v>
      </c>
      <c r="E694" s="160">
        <v>29096.47</v>
      </c>
      <c r="F694" s="160">
        <v>29111.200000000001</v>
      </c>
      <c r="G694" s="160">
        <v>29084.23</v>
      </c>
      <c r="H694" s="160">
        <v>29143.86</v>
      </c>
      <c r="I694" s="160">
        <v>29141.200000000001</v>
      </c>
      <c r="J694" s="160">
        <v>29072.34</v>
      </c>
      <c r="K694" s="160">
        <v>29088.46</v>
      </c>
      <c r="L694" s="160">
        <v>29167.43</v>
      </c>
      <c r="M694" s="69">
        <f>IF((L695=""),"",MAX(D696:L696))</f>
        <v>1895.4200000000019</v>
      </c>
      <c r="N694" s="69">
        <f>IF(L695="","",MIN(D696:L696))</f>
        <v>1522.2999999999993</v>
      </c>
      <c r="O694" s="69">
        <f>IF((L696=""),"",AVERAGE(D696:L696))</f>
        <v>1813.7177777777777</v>
      </c>
      <c r="P694" s="69">
        <v>1600</v>
      </c>
      <c r="Q694" s="69">
        <v>2000</v>
      </c>
      <c r="R694" s="69">
        <f>IF((L695=""),"",((M694-N694)/(M694+N694))*100)</f>
        <v>10.917219666912517</v>
      </c>
      <c r="S694" s="69">
        <v>23</v>
      </c>
      <c r="T694" s="130" t="str">
        <f>IF(L695="","",IF(R695&lt;20,(IF(O694&gt;1730,IF(O694&lt;1970,"Pass","Fail"),"Fail"))))</f>
        <v>Pass</v>
      </c>
      <c r="U694" s="153">
        <v>121</v>
      </c>
      <c r="V694" s="159" t="s">
        <v>147</v>
      </c>
      <c r="W694" s="56">
        <v>1730</v>
      </c>
      <c r="X694" s="56">
        <v>1970</v>
      </c>
      <c r="Y694" s="56">
        <v>6.2</v>
      </c>
    </row>
    <row r="695" spans="1:25" x14ac:dyDescent="0.3">
      <c r="A695" s="155"/>
      <c r="B695" s="147"/>
      <c r="C695" s="71" t="s">
        <v>89</v>
      </c>
      <c r="D695" s="161">
        <v>27281.91</v>
      </c>
      <c r="E695" s="161">
        <v>27289.97</v>
      </c>
      <c r="F695" s="161">
        <v>27588.9</v>
      </c>
      <c r="G695" s="161">
        <v>27256.95</v>
      </c>
      <c r="H695" s="161">
        <v>27248.44</v>
      </c>
      <c r="I695" s="161">
        <v>27270.55</v>
      </c>
      <c r="J695" s="161">
        <v>27245.08</v>
      </c>
      <c r="K695" s="161">
        <v>27255.68</v>
      </c>
      <c r="L695" s="161">
        <v>27293.49</v>
      </c>
      <c r="M695" s="77"/>
      <c r="N695" s="77"/>
      <c r="O695" s="77"/>
      <c r="P695" s="77"/>
      <c r="Q695" s="77"/>
      <c r="R695" s="77"/>
      <c r="S695" s="77"/>
      <c r="T695" s="132"/>
      <c r="U695" s="77"/>
      <c r="V695" s="159"/>
    </row>
    <row r="696" spans="1:25" ht="39.9" x14ac:dyDescent="0.3">
      <c r="A696" s="156"/>
      <c r="B696" s="149"/>
      <c r="C696" s="71" t="s">
        <v>123</v>
      </c>
      <c r="D696" s="38">
        <f t="shared" ref="D696:L696" si="228">IF(((D694="")*AND(D695="")),"",(D694-D695)*1)</f>
        <v>1867.3300000000017</v>
      </c>
      <c r="E696" s="38">
        <f t="shared" si="228"/>
        <v>1806.5</v>
      </c>
      <c r="F696" s="38">
        <f t="shared" si="228"/>
        <v>1522.2999999999993</v>
      </c>
      <c r="G696" s="38">
        <f t="shared" si="228"/>
        <v>1827.2799999999988</v>
      </c>
      <c r="H696" s="38">
        <f t="shared" si="228"/>
        <v>1895.4200000000019</v>
      </c>
      <c r="I696" s="38">
        <f t="shared" si="228"/>
        <v>1870.6500000000015</v>
      </c>
      <c r="J696" s="38">
        <f t="shared" si="228"/>
        <v>1827.2599999999984</v>
      </c>
      <c r="K696" s="38">
        <f t="shared" si="228"/>
        <v>1832.7799999999988</v>
      </c>
      <c r="L696" s="38">
        <f t="shared" si="228"/>
        <v>1873.9399999999987</v>
      </c>
      <c r="M696" s="135"/>
      <c r="N696" s="135"/>
      <c r="O696" s="135"/>
      <c r="P696" s="135"/>
      <c r="Q696" s="135"/>
      <c r="R696" s="135"/>
      <c r="S696" s="135"/>
      <c r="T696" s="136"/>
      <c r="U696" s="135"/>
      <c r="V696" s="159"/>
    </row>
    <row r="697" spans="1:25" x14ac:dyDescent="0.3">
      <c r="A697" s="154"/>
      <c r="B697" s="129" t="s">
        <v>124</v>
      </c>
      <c r="C697" s="71" t="s">
        <v>88</v>
      </c>
      <c r="M697" s="69" t="str">
        <f>IF((L698=""),"",MAX(D699:L699))</f>
        <v/>
      </c>
      <c r="N697" s="69" t="str">
        <f>IF(L698="","",MIN(D699:L699))</f>
        <v/>
      </c>
      <c r="O697" s="69" t="str">
        <f>IF((L699=""),"",AVERAGE(D699:L699))</f>
        <v/>
      </c>
      <c r="P697" s="69">
        <v>1600</v>
      </c>
      <c r="Q697" s="69">
        <v>2000</v>
      </c>
      <c r="R697" s="69" t="str">
        <f>IF((L698=""),"",((M697-N697)/(M697+N697))*100)</f>
        <v/>
      </c>
      <c r="S697" s="69">
        <v>23</v>
      </c>
      <c r="T697" s="130" t="str">
        <f>IF(L698="","",IF(R698&lt;20,(IF(O697&gt;1730,IF(O697&lt;1970,"Pass","Fail"),"Fail"))))</f>
        <v/>
      </c>
      <c r="U697" s="153"/>
      <c r="V697" s="159"/>
      <c r="W697" s="56">
        <v>1730</v>
      </c>
      <c r="X697" s="56">
        <v>1970</v>
      </c>
      <c r="Y697" s="56">
        <v>6.2</v>
      </c>
    </row>
    <row r="698" spans="1:25" x14ac:dyDescent="0.3">
      <c r="A698" s="155"/>
      <c r="B698" s="147"/>
      <c r="C698" s="71" t="s">
        <v>89</v>
      </c>
      <c r="M698" s="77"/>
      <c r="N698" s="77"/>
      <c r="O698" s="77"/>
      <c r="P698" s="77"/>
      <c r="Q698" s="77"/>
      <c r="R698" s="77"/>
      <c r="S698" s="77"/>
      <c r="T698" s="132"/>
      <c r="U698" s="77"/>
      <c r="V698" s="159"/>
    </row>
    <row r="699" spans="1:25" ht="39.9" x14ac:dyDescent="0.3">
      <c r="A699" s="156"/>
      <c r="B699" s="149"/>
      <c r="C699" s="71" t="s">
        <v>123</v>
      </c>
      <c r="D699" s="38" t="str">
        <f t="shared" ref="D699:L699" si="229">IF(((D697="")*AND(D698="")),"",(D697-D698)*1)</f>
        <v/>
      </c>
      <c r="E699" s="38" t="str">
        <f t="shared" si="229"/>
        <v/>
      </c>
      <c r="F699" s="38" t="str">
        <f t="shared" si="229"/>
        <v/>
      </c>
      <c r="G699" s="38" t="str">
        <f t="shared" si="229"/>
        <v/>
      </c>
      <c r="H699" s="38" t="str">
        <f t="shared" si="229"/>
        <v/>
      </c>
      <c r="I699" s="38" t="str">
        <f t="shared" si="229"/>
        <v/>
      </c>
      <c r="J699" s="38" t="str">
        <f t="shared" si="229"/>
        <v/>
      </c>
      <c r="K699" s="38" t="str">
        <f t="shared" si="229"/>
        <v/>
      </c>
      <c r="L699" s="38" t="str">
        <f t="shared" si="229"/>
        <v/>
      </c>
      <c r="M699" s="135"/>
      <c r="N699" s="135"/>
      <c r="O699" s="135"/>
      <c r="P699" s="135"/>
      <c r="Q699" s="135"/>
      <c r="R699" s="135"/>
      <c r="S699" s="135"/>
      <c r="T699" s="136"/>
      <c r="U699" s="135"/>
      <c r="V699" s="159"/>
    </row>
    <row r="700" spans="1:25" x14ac:dyDescent="0.3">
      <c r="A700" s="154"/>
      <c r="B700" s="129" t="s">
        <v>124</v>
      </c>
      <c r="C700" s="71" t="s">
        <v>88</v>
      </c>
      <c r="M700" s="69" t="str">
        <f>IF((L701=""),"",MAX(D702:L702))</f>
        <v/>
      </c>
      <c r="N700" s="69" t="str">
        <f>IF(L701="","",MIN(D702:L702))</f>
        <v/>
      </c>
      <c r="O700" s="69" t="str">
        <f>IF((L702=""),"",AVERAGE(D702:L702))</f>
        <v/>
      </c>
      <c r="P700" s="69">
        <v>1600</v>
      </c>
      <c r="Q700" s="69">
        <v>2000</v>
      </c>
      <c r="R700" s="69" t="str">
        <f>IF((L701=""),"",((M700-N700)/(M700+N700))*100)</f>
        <v/>
      </c>
      <c r="S700" s="69">
        <v>23</v>
      </c>
      <c r="T700" s="130" t="str">
        <f>IF(L701="","",IF(R701&lt;20,(IF(O700&gt;1730,IF(O700&lt;1970,"Pass","Fail"),"Fail"))))</f>
        <v/>
      </c>
      <c r="U700" s="153"/>
      <c r="V700" s="159"/>
      <c r="W700" s="56">
        <v>1730</v>
      </c>
      <c r="X700" s="56">
        <v>1970</v>
      </c>
      <c r="Y700" s="56">
        <v>6.2</v>
      </c>
    </row>
    <row r="701" spans="1:25" x14ac:dyDescent="0.3">
      <c r="A701" s="155"/>
      <c r="B701" s="147"/>
      <c r="C701" s="71" t="s">
        <v>89</v>
      </c>
      <c r="M701" s="77"/>
      <c r="N701" s="77"/>
      <c r="O701" s="77"/>
      <c r="P701" s="77"/>
      <c r="Q701" s="77"/>
      <c r="R701" s="77"/>
      <c r="S701" s="77"/>
      <c r="T701" s="132"/>
      <c r="U701" s="77"/>
      <c r="V701" s="159"/>
    </row>
    <row r="702" spans="1:25" ht="39.9" x14ac:dyDescent="0.3">
      <c r="A702" s="156"/>
      <c r="B702" s="149"/>
      <c r="C702" s="71" t="s">
        <v>123</v>
      </c>
      <c r="D702" s="38" t="str">
        <f t="shared" ref="D702:L702" si="230">IF(((D700="")*AND(D701="")),"",(D700-D701)*1)</f>
        <v/>
      </c>
      <c r="E702" s="38" t="str">
        <f t="shared" si="230"/>
        <v/>
      </c>
      <c r="F702" s="38" t="str">
        <f t="shared" si="230"/>
        <v/>
      </c>
      <c r="G702" s="38" t="str">
        <f t="shared" si="230"/>
        <v/>
      </c>
      <c r="H702" s="38" t="str">
        <f t="shared" si="230"/>
        <v/>
      </c>
      <c r="I702" s="38" t="str">
        <f t="shared" si="230"/>
        <v/>
      </c>
      <c r="J702" s="38" t="str">
        <f t="shared" si="230"/>
        <v/>
      </c>
      <c r="K702" s="38" t="str">
        <f t="shared" si="230"/>
        <v/>
      </c>
      <c r="L702" s="38" t="str">
        <f t="shared" si="230"/>
        <v/>
      </c>
      <c r="M702" s="135"/>
      <c r="N702" s="135"/>
      <c r="O702" s="135"/>
      <c r="P702" s="135"/>
      <c r="Q702" s="135"/>
      <c r="R702" s="135"/>
      <c r="S702" s="135"/>
      <c r="T702" s="136"/>
      <c r="U702" s="135"/>
      <c r="V702" s="159"/>
    </row>
    <row r="703" spans="1:25" x14ac:dyDescent="0.3">
      <c r="A703" s="154"/>
      <c r="B703" s="129" t="s">
        <v>124</v>
      </c>
      <c r="C703" s="71" t="s">
        <v>88</v>
      </c>
      <c r="M703" s="69" t="str">
        <f>IF((L704=""),"",MAX(D705:L705))</f>
        <v/>
      </c>
      <c r="N703" s="69" t="str">
        <f>IF(L704="","",MIN(D705:L705))</f>
        <v/>
      </c>
      <c r="O703" s="69" t="str">
        <f>IF((L705=""),"",AVERAGE(D705:L705))</f>
        <v/>
      </c>
      <c r="P703" s="69">
        <v>1600</v>
      </c>
      <c r="Q703" s="69">
        <v>2000</v>
      </c>
      <c r="R703" s="69" t="str">
        <f>IF((L704=""),"",((M703-N703)/(M703+N703))*100)</f>
        <v/>
      </c>
      <c r="S703" s="69">
        <v>23</v>
      </c>
      <c r="T703" s="130" t="str">
        <f>IF(L704="","",IF(R704&lt;20,(IF(O703&gt;1730,IF(O703&lt;1970,"Pass","Fail"),"Fail"))))</f>
        <v/>
      </c>
      <c r="U703" s="153"/>
      <c r="V703" s="159"/>
      <c r="W703" s="56">
        <v>1730</v>
      </c>
      <c r="X703" s="56">
        <v>1970</v>
      </c>
      <c r="Y703" s="56">
        <v>6.2</v>
      </c>
    </row>
    <row r="704" spans="1:25" x14ac:dyDescent="0.3">
      <c r="A704" s="155"/>
      <c r="B704" s="147"/>
      <c r="C704" s="71" t="s">
        <v>89</v>
      </c>
      <c r="M704" s="77"/>
      <c r="N704" s="77"/>
      <c r="O704" s="77"/>
      <c r="P704" s="77"/>
      <c r="Q704" s="77"/>
      <c r="R704" s="77"/>
      <c r="S704" s="77"/>
      <c r="T704" s="132"/>
      <c r="U704" s="77"/>
      <c r="V704" s="159"/>
    </row>
    <row r="705" spans="1:25" ht="39.9" x14ac:dyDescent="0.3">
      <c r="A705" s="156"/>
      <c r="B705" s="149"/>
      <c r="C705" s="71" t="s">
        <v>123</v>
      </c>
      <c r="D705" s="38" t="str">
        <f t="shared" ref="D705:L705" si="231">IF(((D703="")*AND(D704="")),"",(D703-D704)*1)</f>
        <v/>
      </c>
      <c r="E705" s="38" t="str">
        <f t="shared" si="231"/>
        <v/>
      </c>
      <c r="F705" s="38" t="str">
        <f t="shared" si="231"/>
        <v/>
      </c>
      <c r="G705" s="38" t="str">
        <f t="shared" si="231"/>
        <v/>
      </c>
      <c r="H705" s="38" t="str">
        <f t="shared" si="231"/>
        <v/>
      </c>
      <c r="I705" s="38" t="str">
        <f t="shared" si="231"/>
        <v/>
      </c>
      <c r="J705" s="38" t="str">
        <f t="shared" si="231"/>
        <v/>
      </c>
      <c r="K705" s="38" t="str">
        <f t="shared" si="231"/>
        <v/>
      </c>
      <c r="L705" s="38" t="str">
        <f t="shared" si="231"/>
        <v/>
      </c>
      <c r="M705" s="135"/>
      <c r="N705" s="135"/>
      <c r="O705" s="135"/>
      <c r="P705" s="135"/>
      <c r="Q705" s="135"/>
      <c r="R705" s="135"/>
      <c r="S705" s="135"/>
      <c r="T705" s="136"/>
      <c r="U705" s="135"/>
      <c r="V705" s="159"/>
    </row>
    <row r="706" spans="1:25" x14ac:dyDescent="0.3">
      <c r="A706" s="154"/>
      <c r="B706" s="129" t="s">
        <v>124</v>
      </c>
      <c r="C706" s="71" t="s">
        <v>88</v>
      </c>
      <c r="M706" s="69" t="str">
        <f>IF((L707=""),"",MAX(D708:L708))</f>
        <v/>
      </c>
      <c r="N706" s="69" t="str">
        <f>IF(L707="","",MIN(D708:L708))</f>
        <v/>
      </c>
      <c r="O706" s="69" t="str">
        <f>IF((L708=""),"",AVERAGE(D708:L708))</f>
        <v/>
      </c>
      <c r="P706" s="69">
        <v>1600</v>
      </c>
      <c r="Q706" s="69">
        <v>2000</v>
      </c>
      <c r="R706" s="69" t="str">
        <f>IF((L707=""),"",((M706-N706)/(M706+N706))*100)</f>
        <v/>
      </c>
      <c r="S706" s="69">
        <v>23</v>
      </c>
      <c r="T706" s="130" t="str">
        <f>IF(L707="","",IF(R707&lt;20,(IF(O706&gt;1730,IF(O706&lt;1970,"Pass","Fail"),"Fail"))))</f>
        <v/>
      </c>
      <c r="U706" s="153"/>
      <c r="V706" s="159"/>
      <c r="W706" s="56">
        <v>1730</v>
      </c>
      <c r="X706" s="56">
        <v>1970</v>
      </c>
      <c r="Y706" s="56">
        <v>6.2</v>
      </c>
    </row>
    <row r="707" spans="1:25" x14ac:dyDescent="0.3">
      <c r="A707" s="155"/>
      <c r="B707" s="147"/>
      <c r="C707" s="71" t="s">
        <v>89</v>
      </c>
      <c r="M707" s="77"/>
      <c r="N707" s="77"/>
      <c r="O707" s="77"/>
      <c r="P707" s="77"/>
      <c r="Q707" s="77"/>
      <c r="R707" s="77"/>
      <c r="S707" s="77"/>
      <c r="T707" s="132"/>
      <c r="U707" s="77"/>
      <c r="V707" s="159"/>
    </row>
    <row r="708" spans="1:25" ht="39.9" x14ac:dyDescent="0.3">
      <c r="A708" s="156"/>
      <c r="B708" s="149"/>
      <c r="C708" s="71" t="s">
        <v>123</v>
      </c>
      <c r="D708" s="38" t="str">
        <f t="shared" ref="D708:L708" si="232">IF(((D706="")*AND(D707="")),"",(D706-D707)*1)</f>
        <v/>
      </c>
      <c r="E708" s="38" t="str">
        <f t="shared" si="232"/>
        <v/>
      </c>
      <c r="F708" s="38" t="str">
        <f t="shared" si="232"/>
        <v/>
      </c>
      <c r="G708" s="38" t="str">
        <f t="shared" si="232"/>
        <v/>
      </c>
      <c r="H708" s="38" t="str">
        <f t="shared" si="232"/>
        <v/>
      </c>
      <c r="I708" s="38" t="str">
        <f t="shared" si="232"/>
        <v/>
      </c>
      <c r="J708" s="38" t="str">
        <f t="shared" si="232"/>
        <v/>
      </c>
      <c r="K708" s="38" t="str">
        <f t="shared" si="232"/>
        <v/>
      </c>
      <c r="L708" s="38" t="str">
        <f t="shared" si="232"/>
        <v/>
      </c>
      <c r="M708" s="135"/>
      <c r="N708" s="135"/>
      <c r="O708" s="135"/>
      <c r="P708" s="135"/>
      <c r="Q708" s="135"/>
      <c r="R708" s="135"/>
      <c r="S708" s="135"/>
      <c r="T708" s="136"/>
      <c r="U708" s="135"/>
      <c r="V708" s="159"/>
    </row>
    <row r="709" spans="1:25" x14ac:dyDescent="0.3">
      <c r="A709" s="154"/>
      <c r="B709" s="129" t="s">
        <v>124</v>
      </c>
      <c r="C709" s="71" t="s">
        <v>88</v>
      </c>
      <c r="M709" s="69" t="str">
        <f>IF((L710=""),"",MAX(D711:L711))</f>
        <v/>
      </c>
      <c r="N709" s="69" t="str">
        <f>IF(L710="","",MIN(D711:L711))</f>
        <v/>
      </c>
      <c r="O709" s="69" t="str">
        <f>IF((L711=""),"",AVERAGE(D711:L711))</f>
        <v/>
      </c>
      <c r="P709" s="69">
        <v>1600</v>
      </c>
      <c r="Q709" s="69">
        <v>2000</v>
      </c>
      <c r="R709" s="69" t="str">
        <f>IF((L710=""),"",((M709-N709)/(M709+N709))*100)</f>
        <v/>
      </c>
      <c r="S709" s="69">
        <v>23</v>
      </c>
      <c r="T709" s="130" t="str">
        <f>IF(L710="","",IF(R710&lt;20,(IF(O709&gt;1730,IF(O709&lt;1970,"Pass","Fail"),"Fail"))))</f>
        <v/>
      </c>
      <c r="U709" s="153"/>
      <c r="V709" s="159"/>
      <c r="W709" s="56">
        <v>1730</v>
      </c>
      <c r="X709" s="56">
        <v>1970</v>
      </c>
      <c r="Y709" s="56">
        <v>6.2</v>
      </c>
    </row>
    <row r="710" spans="1:25" x14ac:dyDescent="0.3">
      <c r="A710" s="155"/>
      <c r="B710" s="147"/>
      <c r="C710" s="71" t="s">
        <v>89</v>
      </c>
      <c r="M710" s="77"/>
      <c r="N710" s="77"/>
      <c r="O710" s="77"/>
      <c r="P710" s="77"/>
      <c r="Q710" s="77"/>
      <c r="R710" s="77"/>
      <c r="S710" s="77"/>
      <c r="T710" s="132"/>
      <c r="U710" s="77"/>
      <c r="V710" s="159"/>
    </row>
    <row r="711" spans="1:25" ht="39.9" x14ac:dyDescent="0.3">
      <c r="A711" s="156"/>
      <c r="B711" s="149"/>
      <c r="C711" s="71" t="s">
        <v>123</v>
      </c>
      <c r="D711" s="38" t="str">
        <f t="shared" ref="D711:L711" si="233">IF(((D709="")*AND(D710="")),"",(D709-D710)*1)</f>
        <v/>
      </c>
      <c r="E711" s="38" t="str">
        <f t="shared" si="233"/>
        <v/>
      </c>
      <c r="F711" s="38" t="str">
        <f t="shared" si="233"/>
        <v/>
      </c>
      <c r="G711" s="38" t="str">
        <f t="shared" si="233"/>
        <v/>
      </c>
      <c r="H711" s="38" t="str">
        <f t="shared" si="233"/>
        <v/>
      </c>
      <c r="I711" s="38" t="str">
        <f t="shared" si="233"/>
        <v/>
      </c>
      <c r="J711" s="38" t="str">
        <f t="shared" si="233"/>
        <v/>
      </c>
      <c r="K711" s="38" t="str">
        <f t="shared" si="233"/>
        <v/>
      </c>
      <c r="L711" s="38" t="str">
        <f t="shared" si="233"/>
        <v/>
      </c>
      <c r="M711" s="135"/>
      <c r="N711" s="135"/>
      <c r="O711" s="135"/>
      <c r="P711" s="135"/>
      <c r="Q711" s="135"/>
      <c r="R711" s="135"/>
      <c r="S711" s="135"/>
      <c r="T711" s="136"/>
      <c r="U711" s="135"/>
      <c r="V711" s="159"/>
    </row>
    <row r="712" spans="1:25" x14ac:dyDescent="0.3">
      <c r="A712" s="154"/>
      <c r="B712" s="129" t="s">
        <v>124</v>
      </c>
      <c r="C712" s="71" t="s">
        <v>88</v>
      </c>
      <c r="M712" s="69" t="str">
        <f>IF((L713=""),"",MAX(D714:L714))</f>
        <v/>
      </c>
      <c r="N712" s="69" t="str">
        <f>IF(L713="","",MIN(D714:L714))</f>
        <v/>
      </c>
      <c r="O712" s="69" t="str">
        <f>IF((L714=""),"",AVERAGE(D714:L714))</f>
        <v/>
      </c>
      <c r="P712" s="69">
        <v>1600</v>
      </c>
      <c r="Q712" s="69">
        <v>2000</v>
      </c>
      <c r="R712" s="69" t="str">
        <f>IF((L713=""),"",((M712-N712)/(M712+N712))*100)</f>
        <v/>
      </c>
      <c r="S712" s="69">
        <v>23</v>
      </c>
      <c r="T712" s="130" t="str">
        <f>IF(L713="","",IF(R713&lt;20,(IF(O712&gt;1730,IF(O712&lt;1970,"Pass","Fail"),"Fail"))))</f>
        <v/>
      </c>
      <c r="U712" s="153"/>
      <c r="V712" s="159"/>
      <c r="W712" s="56">
        <v>1730</v>
      </c>
      <c r="X712" s="56">
        <v>1970</v>
      </c>
      <c r="Y712" s="56">
        <v>6.2</v>
      </c>
    </row>
    <row r="713" spans="1:25" x14ac:dyDescent="0.3">
      <c r="A713" s="155"/>
      <c r="B713" s="147"/>
      <c r="C713" s="71" t="s">
        <v>89</v>
      </c>
      <c r="M713" s="77"/>
      <c r="N713" s="77"/>
      <c r="O713" s="77"/>
      <c r="P713" s="77"/>
      <c r="Q713" s="77"/>
      <c r="R713" s="77"/>
      <c r="S713" s="77"/>
      <c r="T713" s="132"/>
      <c r="U713" s="77"/>
      <c r="V713" s="159"/>
    </row>
    <row r="714" spans="1:25" ht="39.9" x14ac:dyDescent="0.3">
      <c r="A714" s="156"/>
      <c r="B714" s="149"/>
      <c r="C714" s="71" t="s">
        <v>123</v>
      </c>
      <c r="D714" s="38" t="str">
        <f t="shared" ref="D714:L714" si="234">IF(((D712="")*AND(D713="")),"",(D712-D713)*1)</f>
        <v/>
      </c>
      <c r="E714" s="38" t="str">
        <f t="shared" si="234"/>
        <v/>
      </c>
      <c r="F714" s="38" t="str">
        <f t="shared" si="234"/>
        <v/>
      </c>
      <c r="G714" s="38" t="str">
        <f t="shared" si="234"/>
        <v/>
      </c>
      <c r="H714" s="38" t="str">
        <f t="shared" si="234"/>
        <v/>
      </c>
      <c r="I714" s="38" t="str">
        <f t="shared" si="234"/>
        <v/>
      </c>
      <c r="J714" s="38" t="str">
        <f t="shared" si="234"/>
        <v/>
      </c>
      <c r="K714" s="38" t="str">
        <f t="shared" si="234"/>
        <v/>
      </c>
      <c r="L714" s="38" t="str">
        <f t="shared" si="234"/>
        <v/>
      </c>
      <c r="M714" s="135"/>
      <c r="N714" s="135"/>
      <c r="O714" s="135"/>
      <c r="P714" s="135"/>
      <c r="Q714" s="135"/>
      <c r="R714" s="135"/>
      <c r="S714" s="135"/>
      <c r="T714" s="136"/>
      <c r="U714" s="135"/>
      <c r="V714" s="159"/>
    </row>
    <row r="715" spans="1:25" x14ac:dyDescent="0.3">
      <c r="A715" s="154"/>
      <c r="B715" s="129" t="s">
        <v>124</v>
      </c>
      <c r="C715" s="71" t="s">
        <v>88</v>
      </c>
      <c r="M715" s="69" t="str">
        <f>IF((L716=""),"",MAX(D717:L717))</f>
        <v/>
      </c>
      <c r="N715" s="69" t="str">
        <f>IF(L716="","",MIN(D717:L717))</f>
        <v/>
      </c>
      <c r="O715" s="69" t="str">
        <f>IF((L717=""),"",AVERAGE(D717:L717))</f>
        <v/>
      </c>
      <c r="P715" s="69">
        <v>1600</v>
      </c>
      <c r="Q715" s="69">
        <v>2000</v>
      </c>
      <c r="R715" s="69" t="str">
        <f>IF((L716=""),"",((M715-N715)/(M715+N715))*100)</f>
        <v/>
      </c>
      <c r="S715" s="69">
        <v>23</v>
      </c>
      <c r="T715" s="130" t="str">
        <f>IF(L716="","",IF(R716&lt;20,(IF(O715&gt;1730,IF(O715&lt;1970,"Pass","Fail"),"Fail"))))</f>
        <v/>
      </c>
      <c r="U715" s="153"/>
      <c r="V715" s="159"/>
      <c r="W715" s="56">
        <v>1730</v>
      </c>
      <c r="X715" s="56">
        <v>1970</v>
      </c>
      <c r="Y715" s="56">
        <v>6.2</v>
      </c>
    </row>
    <row r="716" spans="1:25" x14ac:dyDescent="0.3">
      <c r="A716" s="155"/>
      <c r="B716" s="147"/>
      <c r="C716" s="71" t="s">
        <v>89</v>
      </c>
      <c r="M716" s="77"/>
      <c r="N716" s="77"/>
      <c r="O716" s="77"/>
      <c r="P716" s="77"/>
      <c r="Q716" s="77"/>
      <c r="R716" s="77"/>
      <c r="S716" s="77"/>
      <c r="T716" s="132"/>
      <c r="U716" s="77"/>
      <c r="V716" s="159"/>
    </row>
    <row r="717" spans="1:25" ht="39.9" x14ac:dyDescent="0.3">
      <c r="A717" s="156"/>
      <c r="B717" s="149"/>
      <c r="C717" s="71" t="s">
        <v>123</v>
      </c>
      <c r="D717" s="38" t="str">
        <f t="shared" ref="D717:L717" si="235">IF(((D715="")*AND(D716="")),"",(D715-D716)*1)</f>
        <v/>
      </c>
      <c r="E717" s="38" t="str">
        <f t="shared" si="235"/>
        <v/>
      </c>
      <c r="F717" s="38" t="str">
        <f t="shared" si="235"/>
        <v/>
      </c>
      <c r="G717" s="38" t="str">
        <f t="shared" si="235"/>
        <v/>
      </c>
      <c r="H717" s="38" t="str">
        <f t="shared" si="235"/>
        <v/>
      </c>
      <c r="I717" s="38" t="str">
        <f t="shared" si="235"/>
        <v/>
      </c>
      <c r="J717" s="38" t="str">
        <f t="shared" si="235"/>
        <v/>
      </c>
      <c r="K717" s="38" t="str">
        <f t="shared" si="235"/>
        <v/>
      </c>
      <c r="L717" s="38" t="str">
        <f t="shared" si="235"/>
        <v/>
      </c>
      <c r="M717" s="135"/>
      <c r="N717" s="135"/>
      <c r="O717" s="135"/>
      <c r="P717" s="135"/>
      <c r="Q717" s="135"/>
      <c r="R717" s="135"/>
      <c r="S717" s="135"/>
      <c r="T717" s="136"/>
      <c r="U717" s="135"/>
      <c r="V717" s="159"/>
    </row>
    <row r="718" spans="1:25" x14ac:dyDescent="0.3">
      <c r="A718" s="154"/>
      <c r="B718" s="129" t="s">
        <v>124</v>
      </c>
      <c r="C718" s="71" t="s">
        <v>88</v>
      </c>
      <c r="M718" s="69" t="str">
        <f>IF((L719=""),"",MAX(D720:L720))</f>
        <v/>
      </c>
      <c r="N718" s="69" t="str">
        <f>IF(L719="","",MIN(D720:L720))</f>
        <v/>
      </c>
      <c r="O718" s="69" t="str">
        <f>IF((L720=""),"",AVERAGE(D720:L720))</f>
        <v/>
      </c>
      <c r="P718" s="69">
        <v>1600</v>
      </c>
      <c r="Q718" s="69">
        <v>2000</v>
      </c>
      <c r="R718" s="69" t="str">
        <f>IF((L719=""),"",((M718-N718)/(M718+N718))*100)</f>
        <v/>
      </c>
      <c r="S718" s="69">
        <v>23</v>
      </c>
      <c r="T718" s="130" t="str">
        <f>IF(L719="","",IF(R719&lt;20,(IF(O718&gt;1730,IF(O718&lt;1970,"Pass","Fail"),"Fail"))))</f>
        <v/>
      </c>
      <c r="U718" s="153"/>
      <c r="V718" s="159"/>
      <c r="W718" s="56">
        <v>1730</v>
      </c>
      <c r="X718" s="56">
        <v>1970</v>
      </c>
      <c r="Y718" s="56">
        <v>6.2</v>
      </c>
    </row>
    <row r="719" spans="1:25" x14ac:dyDescent="0.3">
      <c r="A719" s="155"/>
      <c r="B719" s="147"/>
      <c r="C719" s="71" t="s">
        <v>89</v>
      </c>
      <c r="M719" s="77"/>
      <c r="N719" s="77"/>
      <c r="O719" s="77"/>
      <c r="P719" s="77"/>
      <c r="Q719" s="77"/>
      <c r="R719" s="77"/>
      <c r="S719" s="77"/>
      <c r="T719" s="132"/>
      <c r="U719" s="77"/>
      <c r="V719" s="159"/>
    </row>
    <row r="720" spans="1:25" ht="39.9" x14ac:dyDescent="0.3">
      <c r="A720" s="156"/>
      <c r="B720" s="149"/>
      <c r="C720" s="71" t="s">
        <v>123</v>
      </c>
      <c r="D720" s="38" t="str">
        <f t="shared" ref="D720:L720" si="236">IF(((D718="")*AND(D719="")),"",(D718-D719)*1)</f>
        <v/>
      </c>
      <c r="E720" s="38" t="str">
        <f t="shared" si="236"/>
        <v/>
      </c>
      <c r="F720" s="38" t="str">
        <f t="shared" si="236"/>
        <v/>
      </c>
      <c r="G720" s="38" t="str">
        <f t="shared" si="236"/>
        <v/>
      </c>
      <c r="H720" s="38" t="str">
        <f t="shared" si="236"/>
        <v/>
      </c>
      <c r="I720" s="38" t="str">
        <f t="shared" si="236"/>
        <v/>
      </c>
      <c r="J720" s="38" t="str">
        <f t="shared" si="236"/>
        <v/>
      </c>
      <c r="K720" s="38" t="str">
        <f t="shared" si="236"/>
        <v/>
      </c>
      <c r="L720" s="38" t="str">
        <f t="shared" si="236"/>
        <v/>
      </c>
      <c r="M720" s="135"/>
      <c r="N720" s="135"/>
      <c r="O720" s="135"/>
      <c r="P720" s="135"/>
      <c r="Q720" s="135"/>
      <c r="R720" s="135"/>
      <c r="S720" s="135"/>
      <c r="T720" s="136"/>
      <c r="U720" s="135"/>
      <c r="V720" s="159"/>
    </row>
    <row r="721" spans="1:25" x14ac:dyDescent="0.3">
      <c r="A721" s="154"/>
      <c r="B721" s="129" t="s">
        <v>124</v>
      </c>
      <c r="C721" s="71" t="s">
        <v>88</v>
      </c>
      <c r="M721" s="69" t="str">
        <f>IF((L722=""),"",MAX(D723:L723))</f>
        <v/>
      </c>
      <c r="N721" s="69" t="str">
        <f>IF(L722="","",MIN(D723:L723))</f>
        <v/>
      </c>
      <c r="O721" s="69" t="str">
        <f>IF((L723=""),"",AVERAGE(D723:L723))</f>
        <v/>
      </c>
      <c r="P721" s="69">
        <v>1600</v>
      </c>
      <c r="Q721" s="69">
        <v>2000</v>
      </c>
      <c r="R721" s="69" t="str">
        <f>IF((L722=""),"",((M721-N721)/(M721+N721))*100)</f>
        <v/>
      </c>
      <c r="S721" s="69">
        <v>23</v>
      </c>
      <c r="T721" s="130" t="str">
        <f>IF(L722="","",IF(R722&lt;20,(IF(O721&gt;1730,IF(O721&lt;1970,"Pass","Fail"),"Fail"))))</f>
        <v/>
      </c>
      <c r="U721" s="153"/>
      <c r="V721" s="159"/>
      <c r="W721" s="56">
        <v>1730</v>
      </c>
      <c r="X721" s="56">
        <v>1970</v>
      </c>
      <c r="Y721" s="56">
        <v>6.2</v>
      </c>
    </row>
    <row r="722" spans="1:25" x14ac:dyDescent="0.3">
      <c r="A722" s="155"/>
      <c r="B722" s="147"/>
      <c r="C722" s="71" t="s">
        <v>89</v>
      </c>
      <c r="M722" s="77"/>
      <c r="N722" s="77"/>
      <c r="O722" s="77"/>
      <c r="P722" s="77"/>
      <c r="Q722" s="77"/>
      <c r="R722" s="77"/>
      <c r="S722" s="77"/>
      <c r="T722" s="132"/>
      <c r="U722" s="77"/>
      <c r="V722" s="159"/>
    </row>
    <row r="723" spans="1:25" ht="39.9" x14ac:dyDescent="0.3">
      <c r="A723" s="156"/>
      <c r="B723" s="149"/>
      <c r="C723" s="71" t="s">
        <v>123</v>
      </c>
      <c r="D723" s="38" t="str">
        <f t="shared" ref="D723:L723" si="237">IF(((D721="")*AND(D722="")),"",(D721-D722)*1)</f>
        <v/>
      </c>
      <c r="E723" s="38" t="str">
        <f t="shared" si="237"/>
        <v/>
      </c>
      <c r="F723" s="38" t="str">
        <f t="shared" si="237"/>
        <v/>
      </c>
      <c r="G723" s="38" t="str">
        <f t="shared" si="237"/>
        <v/>
      </c>
      <c r="H723" s="38" t="str">
        <f t="shared" si="237"/>
        <v/>
      </c>
      <c r="I723" s="38" t="str">
        <f t="shared" si="237"/>
        <v/>
      </c>
      <c r="J723" s="38" t="str">
        <f t="shared" si="237"/>
        <v/>
      </c>
      <c r="K723" s="38" t="str">
        <f t="shared" si="237"/>
        <v/>
      </c>
      <c r="L723" s="38" t="str">
        <f t="shared" si="237"/>
        <v/>
      </c>
      <c r="M723" s="135"/>
      <c r="N723" s="135"/>
      <c r="O723" s="135"/>
      <c r="P723" s="135"/>
      <c r="Q723" s="135"/>
      <c r="R723" s="135"/>
      <c r="S723" s="135"/>
      <c r="T723" s="136"/>
      <c r="U723" s="135"/>
      <c r="V723" s="159"/>
    </row>
    <row r="724" spans="1:25" x14ac:dyDescent="0.3">
      <c r="A724" s="154"/>
      <c r="B724" s="129" t="s">
        <v>124</v>
      </c>
      <c r="C724" s="71" t="s">
        <v>88</v>
      </c>
      <c r="M724" s="69" t="str">
        <f>IF((L725=""),"",MAX(D726:L726))</f>
        <v/>
      </c>
      <c r="N724" s="69" t="str">
        <f>IF(L725="","",MIN(D726:L726))</f>
        <v/>
      </c>
      <c r="O724" s="69" t="str">
        <f>IF((L726=""),"",AVERAGE(D726:L726))</f>
        <v/>
      </c>
      <c r="P724" s="69">
        <v>1600</v>
      </c>
      <c r="Q724" s="69">
        <v>2000</v>
      </c>
      <c r="R724" s="69" t="str">
        <f>IF((L725=""),"",((M724-N724)/(M724+N724))*100)</f>
        <v/>
      </c>
      <c r="S724" s="69">
        <v>23</v>
      </c>
      <c r="T724" s="130" t="str">
        <f>IF(L725="","",IF(R725&lt;20,(IF(O724&gt;1730,IF(O724&lt;1970,"Pass","Fail"),"Fail"))))</f>
        <v/>
      </c>
      <c r="U724" s="153"/>
      <c r="V724" s="159"/>
      <c r="W724" s="56">
        <v>1730</v>
      </c>
      <c r="X724" s="56">
        <v>1970</v>
      </c>
      <c r="Y724" s="56">
        <v>6.2</v>
      </c>
    </row>
    <row r="725" spans="1:25" x14ac:dyDescent="0.3">
      <c r="A725" s="155"/>
      <c r="B725" s="147"/>
      <c r="C725" s="71" t="s">
        <v>89</v>
      </c>
      <c r="M725" s="77"/>
      <c r="N725" s="77"/>
      <c r="O725" s="77"/>
      <c r="P725" s="77"/>
      <c r="Q725" s="77"/>
      <c r="R725" s="77"/>
      <c r="S725" s="77"/>
      <c r="T725" s="132"/>
      <c r="U725" s="77"/>
      <c r="V725" s="159"/>
    </row>
    <row r="726" spans="1:25" ht="39.9" x14ac:dyDescent="0.3">
      <c r="A726" s="156"/>
      <c r="B726" s="149"/>
      <c r="C726" s="71" t="s">
        <v>123</v>
      </c>
      <c r="D726" s="38" t="str">
        <f t="shared" ref="D726:L726" si="238">IF(((D724="")*AND(D725="")),"",(D724-D725)*1)</f>
        <v/>
      </c>
      <c r="E726" s="38" t="str">
        <f t="shared" si="238"/>
        <v/>
      </c>
      <c r="F726" s="38" t="str">
        <f t="shared" si="238"/>
        <v/>
      </c>
      <c r="G726" s="38" t="str">
        <f t="shared" si="238"/>
        <v/>
      </c>
      <c r="H726" s="38" t="str">
        <f t="shared" si="238"/>
        <v/>
      </c>
      <c r="I726" s="38" t="str">
        <f t="shared" si="238"/>
        <v/>
      </c>
      <c r="J726" s="38" t="str">
        <f t="shared" si="238"/>
        <v/>
      </c>
      <c r="K726" s="38" t="str">
        <f t="shared" si="238"/>
        <v/>
      </c>
      <c r="L726" s="38" t="str">
        <f t="shared" si="238"/>
        <v/>
      </c>
      <c r="M726" s="135"/>
      <c r="N726" s="135"/>
      <c r="O726" s="135"/>
      <c r="P726" s="135"/>
      <c r="Q726" s="135"/>
      <c r="R726" s="135"/>
      <c r="S726" s="135"/>
      <c r="T726" s="136"/>
      <c r="U726" s="135"/>
      <c r="V726" s="159"/>
    </row>
    <row r="727" spans="1:25" x14ac:dyDescent="0.3">
      <c r="A727" s="154"/>
      <c r="B727" s="129" t="s">
        <v>124</v>
      </c>
      <c r="C727" s="71" t="s">
        <v>88</v>
      </c>
      <c r="M727" s="69" t="str">
        <f>IF((L728=""),"",MAX(D729:L729))</f>
        <v/>
      </c>
      <c r="N727" s="69" t="str">
        <f>IF(L728="","",MIN(D729:L729))</f>
        <v/>
      </c>
      <c r="O727" s="69" t="str">
        <f>IF((L729=""),"",AVERAGE(D729:L729))</f>
        <v/>
      </c>
      <c r="P727" s="69">
        <v>1600</v>
      </c>
      <c r="Q727" s="69">
        <v>2000</v>
      </c>
      <c r="R727" s="69" t="str">
        <f>IF((L728=""),"",((M727-N727)/(M727+N727))*100)</f>
        <v/>
      </c>
      <c r="S727" s="69">
        <v>23</v>
      </c>
      <c r="T727" s="130" t="str">
        <f>IF(L728="","",IF(R728&lt;20,(IF(O727&gt;1730,IF(O727&lt;1970,"Pass","Fail"),"Fail"))))</f>
        <v/>
      </c>
      <c r="U727" s="153"/>
      <c r="V727" s="159"/>
      <c r="W727" s="56">
        <v>1730</v>
      </c>
      <c r="X727" s="56">
        <v>1970</v>
      </c>
      <c r="Y727" s="56">
        <v>6.2</v>
      </c>
    </row>
    <row r="728" spans="1:25" x14ac:dyDescent="0.3">
      <c r="A728" s="155"/>
      <c r="B728" s="147"/>
      <c r="C728" s="71" t="s">
        <v>89</v>
      </c>
      <c r="M728" s="77"/>
      <c r="N728" s="77"/>
      <c r="O728" s="77"/>
      <c r="P728" s="77"/>
      <c r="Q728" s="77"/>
      <c r="R728" s="77"/>
      <c r="S728" s="77"/>
      <c r="T728" s="132"/>
      <c r="U728" s="77"/>
      <c r="V728" s="159"/>
    </row>
    <row r="729" spans="1:25" ht="39.9" x14ac:dyDescent="0.3">
      <c r="A729" s="156"/>
      <c r="B729" s="149"/>
      <c r="C729" s="71" t="s">
        <v>123</v>
      </c>
      <c r="D729" s="38" t="str">
        <f t="shared" ref="D729:L729" si="239">IF(((D727="")*AND(D728="")),"",(D727-D728)*1)</f>
        <v/>
      </c>
      <c r="E729" s="38" t="str">
        <f t="shared" si="239"/>
        <v/>
      </c>
      <c r="F729" s="38" t="str">
        <f t="shared" si="239"/>
        <v/>
      </c>
      <c r="G729" s="38" t="str">
        <f t="shared" si="239"/>
        <v/>
      </c>
      <c r="H729" s="38" t="str">
        <f t="shared" si="239"/>
        <v/>
      </c>
      <c r="I729" s="38" t="str">
        <f t="shared" si="239"/>
        <v/>
      </c>
      <c r="J729" s="38" t="str">
        <f t="shared" si="239"/>
        <v/>
      </c>
      <c r="K729" s="38" t="str">
        <f t="shared" si="239"/>
        <v/>
      </c>
      <c r="L729" s="38" t="str">
        <f t="shared" si="239"/>
        <v/>
      </c>
      <c r="M729" s="135"/>
      <c r="N729" s="135"/>
      <c r="O729" s="135"/>
      <c r="P729" s="135"/>
      <c r="Q729" s="135"/>
      <c r="R729" s="135"/>
      <c r="S729" s="135"/>
      <c r="T729" s="136"/>
      <c r="U729" s="135"/>
      <c r="V729" s="159"/>
    </row>
    <row r="730" spans="1:25" x14ac:dyDescent="0.3">
      <c r="A730" s="154"/>
      <c r="B730" s="129" t="s">
        <v>124</v>
      </c>
      <c r="C730" s="71" t="s">
        <v>88</v>
      </c>
      <c r="M730" s="69" t="str">
        <f>IF((L731=""),"",MAX(D732:L732))</f>
        <v/>
      </c>
      <c r="N730" s="69" t="str">
        <f>IF(L731="","",MIN(D732:L732))</f>
        <v/>
      </c>
      <c r="O730" s="69" t="str">
        <f>IF((L732=""),"",AVERAGE(D732:L732))</f>
        <v/>
      </c>
      <c r="P730" s="69">
        <v>1600</v>
      </c>
      <c r="Q730" s="69">
        <v>2000</v>
      </c>
      <c r="R730" s="69" t="str">
        <f>IF((L731=""),"",((M730-N730)/(M730+N730))*100)</f>
        <v/>
      </c>
      <c r="S730" s="69">
        <v>23</v>
      </c>
      <c r="T730" s="130" t="str">
        <f>IF(L731="","",IF(R731&lt;20,(IF(O730&gt;1730,IF(O730&lt;1970,"Pass","Fail"),"Fail"))))</f>
        <v/>
      </c>
      <c r="U730" s="153"/>
      <c r="V730" s="159"/>
      <c r="W730" s="56">
        <v>1730</v>
      </c>
      <c r="X730" s="56">
        <v>1970</v>
      </c>
      <c r="Y730" s="56">
        <v>6.2</v>
      </c>
    </row>
    <row r="731" spans="1:25" x14ac:dyDescent="0.3">
      <c r="A731" s="155"/>
      <c r="B731" s="147"/>
      <c r="C731" s="71" t="s">
        <v>89</v>
      </c>
      <c r="M731" s="77"/>
      <c r="N731" s="77"/>
      <c r="O731" s="77"/>
      <c r="P731" s="77"/>
      <c r="Q731" s="77"/>
      <c r="R731" s="77"/>
      <c r="S731" s="77"/>
      <c r="T731" s="132"/>
      <c r="U731" s="77"/>
      <c r="V731" s="159"/>
    </row>
    <row r="732" spans="1:25" ht="39.9" x14ac:dyDescent="0.3">
      <c r="A732" s="156"/>
      <c r="B732" s="149"/>
      <c r="C732" s="71" t="s">
        <v>123</v>
      </c>
      <c r="D732" s="38" t="str">
        <f t="shared" ref="D732:L732" si="240">IF(((D730="")*AND(D731="")),"",(D730-D731)*1)</f>
        <v/>
      </c>
      <c r="E732" s="38" t="str">
        <f t="shared" si="240"/>
        <v/>
      </c>
      <c r="F732" s="38" t="str">
        <f t="shared" si="240"/>
        <v/>
      </c>
      <c r="G732" s="38" t="str">
        <f t="shared" si="240"/>
        <v/>
      </c>
      <c r="H732" s="38" t="str">
        <f t="shared" si="240"/>
        <v/>
      </c>
      <c r="I732" s="38" t="str">
        <f t="shared" si="240"/>
        <v/>
      </c>
      <c r="J732" s="38" t="str">
        <f t="shared" si="240"/>
        <v/>
      </c>
      <c r="K732" s="38" t="str">
        <f t="shared" si="240"/>
        <v/>
      </c>
      <c r="L732" s="38" t="str">
        <f t="shared" si="240"/>
        <v/>
      </c>
      <c r="M732" s="135"/>
      <c r="N732" s="135"/>
      <c r="O732" s="135"/>
      <c r="P732" s="135"/>
      <c r="Q732" s="135"/>
      <c r="R732" s="135"/>
      <c r="S732" s="135"/>
      <c r="T732" s="136"/>
      <c r="U732" s="135"/>
      <c r="V732" s="159"/>
    </row>
    <row r="733" spans="1:25" x14ac:dyDescent="0.3">
      <c r="A733" s="154"/>
      <c r="B733" s="129" t="s">
        <v>124</v>
      </c>
      <c r="C733" s="71" t="s">
        <v>88</v>
      </c>
      <c r="M733" s="69" t="str">
        <f>IF((L734=""),"",MAX(D735:L735))</f>
        <v/>
      </c>
      <c r="N733" s="69" t="str">
        <f>IF(L734="","",MIN(D735:L735))</f>
        <v/>
      </c>
      <c r="O733" s="69" t="str">
        <f>IF((L735=""),"",AVERAGE(D735:L735))</f>
        <v/>
      </c>
      <c r="P733" s="69">
        <v>1600</v>
      </c>
      <c r="Q733" s="69">
        <v>2000</v>
      </c>
      <c r="R733" s="69" t="str">
        <f>IF((L734=""),"",((M733-N733)/(M733+N733))*100)</f>
        <v/>
      </c>
      <c r="S733" s="69">
        <v>23</v>
      </c>
      <c r="T733" s="130" t="str">
        <f>IF(L734="","",IF(R734&lt;20,(IF(O733&gt;1730,IF(O733&lt;1970,"Pass","Fail"),"Fail"))))</f>
        <v/>
      </c>
      <c r="U733" s="153"/>
      <c r="V733" s="159"/>
      <c r="W733" s="56">
        <v>1730</v>
      </c>
      <c r="X733" s="56">
        <v>1970</v>
      </c>
      <c r="Y733" s="56">
        <v>6.2</v>
      </c>
    </row>
    <row r="734" spans="1:25" x14ac:dyDescent="0.3">
      <c r="A734" s="155"/>
      <c r="B734" s="147"/>
      <c r="C734" s="71" t="s">
        <v>89</v>
      </c>
      <c r="M734" s="77"/>
      <c r="N734" s="77"/>
      <c r="O734" s="77"/>
      <c r="P734" s="77"/>
      <c r="Q734" s="77"/>
      <c r="R734" s="77"/>
      <c r="S734" s="77"/>
      <c r="T734" s="132"/>
      <c r="U734" s="77"/>
      <c r="V734" s="159"/>
    </row>
    <row r="735" spans="1:25" ht="39.9" x14ac:dyDescent="0.3">
      <c r="A735" s="156"/>
      <c r="B735" s="149"/>
      <c r="C735" s="71" t="s">
        <v>123</v>
      </c>
      <c r="D735" s="38" t="str">
        <f t="shared" ref="D735:L735" si="241">IF(((D733="")*AND(D734="")),"",(D733-D734)*1)</f>
        <v/>
      </c>
      <c r="E735" s="38" t="str">
        <f t="shared" si="241"/>
        <v/>
      </c>
      <c r="F735" s="38" t="str">
        <f t="shared" si="241"/>
        <v/>
      </c>
      <c r="G735" s="38" t="str">
        <f t="shared" si="241"/>
        <v/>
      </c>
      <c r="H735" s="38" t="str">
        <f t="shared" si="241"/>
        <v/>
      </c>
      <c r="I735" s="38" t="str">
        <f t="shared" si="241"/>
        <v/>
      </c>
      <c r="J735" s="38" t="str">
        <f t="shared" si="241"/>
        <v/>
      </c>
      <c r="K735" s="38" t="str">
        <f t="shared" si="241"/>
        <v/>
      </c>
      <c r="L735" s="38" t="str">
        <f t="shared" si="241"/>
        <v/>
      </c>
      <c r="M735" s="135"/>
      <c r="N735" s="135"/>
      <c r="O735" s="135"/>
      <c r="P735" s="135"/>
      <c r="Q735" s="135"/>
      <c r="R735" s="135"/>
      <c r="S735" s="135"/>
      <c r="T735" s="136"/>
      <c r="U735" s="135"/>
      <c r="V735" s="159"/>
    </row>
    <row r="736" spans="1:25" x14ac:dyDescent="0.3">
      <c r="A736" s="154"/>
      <c r="B736" s="129" t="s">
        <v>124</v>
      </c>
      <c r="C736" s="71" t="s">
        <v>88</v>
      </c>
      <c r="M736" s="69" t="str">
        <f>IF((L737=""),"",MAX(D738:L738))</f>
        <v/>
      </c>
      <c r="N736" s="69" t="str">
        <f>IF(L737="","",MIN(D738:L738))</f>
        <v/>
      </c>
      <c r="O736" s="69" t="str">
        <f>IF((L738=""),"",AVERAGE(D738:L738))</f>
        <v/>
      </c>
      <c r="P736" s="69">
        <v>1600</v>
      </c>
      <c r="Q736" s="69">
        <v>2000</v>
      </c>
      <c r="R736" s="69" t="str">
        <f>IF((L737=""),"",((M736-N736)/(M736+N736))*100)</f>
        <v/>
      </c>
      <c r="S736" s="69">
        <v>23</v>
      </c>
      <c r="T736" s="130" t="str">
        <f>IF(L737="","",IF(R737&lt;20,(IF(O736&gt;1730,IF(O736&lt;1970,"Pass","Fail"),"Fail"))))</f>
        <v/>
      </c>
      <c r="U736" s="153"/>
      <c r="V736" s="159"/>
      <c r="W736" s="56">
        <v>1730</v>
      </c>
      <c r="X736" s="56">
        <v>1970</v>
      </c>
      <c r="Y736" s="56">
        <v>6.2</v>
      </c>
    </row>
    <row r="737" spans="1:25" x14ac:dyDescent="0.3">
      <c r="A737" s="155"/>
      <c r="B737" s="147"/>
      <c r="C737" s="71" t="s">
        <v>89</v>
      </c>
      <c r="M737" s="77"/>
      <c r="N737" s="77"/>
      <c r="O737" s="77"/>
      <c r="P737" s="77"/>
      <c r="Q737" s="77"/>
      <c r="R737" s="77"/>
      <c r="S737" s="77"/>
      <c r="T737" s="132"/>
      <c r="U737" s="77"/>
      <c r="V737" s="159"/>
    </row>
    <row r="738" spans="1:25" ht="39.9" x14ac:dyDescent="0.3">
      <c r="A738" s="156"/>
      <c r="B738" s="149"/>
      <c r="C738" s="71" t="s">
        <v>123</v>
      </c>
      <c r="D738" s="38" t="str">
        <f t="shared" ref="D738:L738" si="242">IF(((D736="")*AND(D737="")),"",(D736-D737)*1)</f>
        <v/>
      </c>
      <c r="E738" s="38" t="str">
        <f t="shared" si="242"/>
        <v/>
      </c>
      <c r="F738" s="38" t="str">
        <f t="shared" si="242"/>
        <v/>
      </c>
      <c r="G738" s="38" t="str">
        <f t="shared" si="242"/>
        <v/>
      </c>
      <c r="H738" s="38" t="str">
        <f t="shared" si="242"/>
        <v/>
      </c>
      <c r="I738" s="38" t="str">
        <f t="shared" si="242"/>
        <v/>
      </c>
      <c r="J738" s="38" t="str">
        <f t="shared" si="242"/>
        <v/>
      </c>
      <c r="K738" s="38" t="str">
        <f t="shared" si="242"/>
        <v/>
      </c>
      <c r="L738" s="38" t="str">
        <f t="shared" si="242"/>
        <v/>
      </c>
      <c r="M738" s="135"/>
      <c r="N738" s="135"/>
      <c r="O738" s="135"/>
      <c r="P738" s="135"/>
      <c r="Q738" s="135"/>
      <c r="R738" s="135"/>
      <c r="S738" s="135"/>
      <c r="T738" s="136"/>
      <c r="U738" s="135"/>
      <c r="V738" s="159"/>
    </row>
    <row r="739" spans="1:25" x14ac:dyDescent="0.3">
      <c r="A739" s="154"/>
      <c r="B739" s="129" t="s">
        <v>124</v>
      </c>
      <c r="C739" s="71" t="s">
        <v>88</v>
      </c>
      <c r="M739" s="69" t="str">
        <f>IF((L740=""),"",MAX(D741:L741))</f>
        <v/>
      </c>
      <c r="N739" s="69" t="str">
        <f>IF(L740="","",MIN(D741:L741))</f>
        <v/>
      </c>
      <c r="O739" s="69" t="str">
        <f>IF((L741=""),"",AVERAGE(D741:L741))</f>
        <v/>
      </c>
      <c r="P739" s="69">
        <v>1600</v>
      </c>
      <c r="Q739" s="69">
        <v>2000</v>
      </c>
      <c r="R739" s="69" t="str">
        <f>IF((L740=""),"",((M739-N739)/(M739+N739))*100)</f>
        <v/>
      </c>
      <c r="S739" s="69">
        <v>23</v>
      </c>
      <c r="T739" s="130" t="str">
        <f>IF(L740="","",IF(R740&lt;20,(IF(O739&gt;1730,IF(O739&lt;1970,"Pass","Fail"),"Fail"))))</f>
        <v/>
      </c>
      <c r="U739" s="153"/>
      <c r="V739" s="159"/>
      <c r="W739" s="56">
        <v>1730</v>
      </c>
      <c r="X739" s="56">
        <v>1970</v>
      </c>
      <c r="Y739" s="56">
        <v>6.2</v>
      </c>
    </row>
    <row r="740" spans="1:25" x14ac:dyDescent="0.3">
      <c r="A740" s="155"/>
      <c r="B740" s="147"/>
      <c r="C740" s="71" t="s">
        <v>89</v>
      </c>
      <c r="M740" s="77"/>
      <c r="N740" s="77"/>
      <c r="O740" s="77"/>
      <c r="P740" s="77"/>
      <c r="Q740" s="77"/>
      <c r="R740" s="77"/>
      <c r="S740" s="77"/>
      <c r="T740" s="132"/>
      <c r="U740" s="77"/>
      <c r="V740" s="159"/>
    </row>
    <row r="741" spans="1:25" ht="39.9" x14ac:dyDescent="0.3">
      <c r="A741" s="156"/>
      <c r="B741" s="149"/>
      <c r="C741" s="71" t="s">
        <v>123</v>
      </c>
      <c r="D741" s="38" t="str">
        <f t="shared" ref="D741:L741" si="243">IF(((D739="")*AND(D740="")),"",(D739-D740)*1)</f>
        <v/>
      </c>
      <c r="E741" s="38" t="str">
        <f t="shared" si="243"/>
        <v/>
      </c>
      <c r="F741" s="38" t="str">
        <f t="shared" si="243"/>
        <v/>
      </c>
      <c r="G741" s="38" t="str">
        <f t="shared" si="243"/>
        <v/>
      </c>
      <c r="H741" s="38" t="str">
        <f t="shared" si="243"/>
        <v/>
      </c>
      <c r="I741" s="38" t="str">
        <f t="shared" si="243"/>
        <v/>
      </c>
      <c r="J741" s="38" t="str">
        <f t="shared" si="243"/>
        <v/>
      </c>
      <c r="K741" s="38" t="str">
        <f t="shared" si="243"/>
        <v/>
      </c>
      <c r="L741" s="38" t="str">
        <f t="shared" si="243"/>
        <v/>
      </c>
      <c r="M741" s="135"/>
      <c r="N741" s="135"/>
      <c r="O741" s="135"/>
      <c r="P741" s="135"/>
      <c r="Q741" s="135"/>
      <c r="R741" s="135"/>
      <c r="S741" s="135"/>
      <c r="T741" s="136"/>
      <c r="U741" s="135"/>
      <c r="V741" s="159"/>
    </row>
    <row r="742" spans="1:25" x14ac:dyDescent="0.3">
      <c r="A742" s="154"/>
      <c r="B742" s="129" t="s">
        <v>124</v>
      </c>
      <c r="C742" s="71" t="s">
        <v>88</v>
      </c>
      <c r="M742" s="69" t="str">
        <f>IF((L743=""),"",MAX(D744:L744))</f>
        <v/>
      </c>
      <c r="N742" s="69" t="str">
        <f>IF(L743="","",MIN(D744:L744))</f>
        <v/>
      </c>
      <c r="O742" s="69" t="str">
        <f>IF((L744=""),"",AVERAGE(D744:L744))</f>
        <v/>
      </c>
      <c r="P742" s="69">
        <v>1600</v>
      </c>
      <c r="Q742" s="69">
        <v>2000</v>
      </c>
      <c r="R742" s="69" t="str">
        <f>IF((L743=""),"",((M742-N742)/(M742+N742))*100)</f>
        <v/>
      </c>
      <c r="S742" s="69">
        <v>23</v>
      </c>
      <c r="T742" s="130" t="str">
        <f>IF(L743="","",IF(R743&lt;20,(IF(O742&gt;1730,IF(O742&lt;1970,"Pass","Fail"),"Fail"))))</f>
        <v/>
      </c>
      <c r="U742" s="153"/>
      <c r="V742" s="159"/>
      <c r="W742" s="56">
        <v>1730</v>
      </c>
      <c r="X742" s="56">
        <v>1970</v>
      </c>
      <c r="Y742" s="56">
        <v>6.2</v>
      </c>
    </row>
    <row r="743" spans="1:25" x14ac:dyDescent="0.3">
      <c r="A743" s="155"/>
      <c r="B743" s="147"/>
      <c r="C743" s="71" t="s">
        <v>89</v>
      </c>
      <c r="M743" s="77"/>
      <c r="N743" s="77"/>
      <c r="O743" s="77"/>
      <c r="P743" s="77"/>
      <c r="Q743" s="77"/>
      <c r="R743" s="77"/>
      <c r="S743" s="77"/>
      <c r="T743" s="132"/>
      <c r="U743" s="77"/>
      <c r="V743" s="159"/>
    </row>
    <row r="744" spans="1:25" ht="39.9" x14ac:dyDescent="0.3">
      <c r="A744" s="156"/>
      <c r="B744" s="149"/>
      <c r="C744" s="71" t="s">
        <v>123</v>
      </c>
      <c r="D744" s="38" t="str">
        <f t="shared" ref="D744:L744" si="244">IF(((D742="")*AND(D743="")),"",(D742-D743)*1)</f>
        <v/>
      </c>
      <c r="E744" s="38" t="str">
        <f t="shared" si="244"/>
        <v/>
      </c>
      <c r="F744" s="38" t="str">
        <f t="shared" si="244"/>
        <v/>
      </c>
      <c r="G744" s="38" t="str">
        <f t="shared" si="244"/>
        <v/>
      </c>
      <c r="H744" s="38" t="str">
        <f t="shared" si="244"/>
        <v/>
      </c>
      <c r="I744" s="38" t="str">
        <f t="shared" si="244"/>
        <v/>
      </c>
      <c r="J744" s="38" t="str">
        <f t="shared" si="244"/>
        <v/>
      </c>
      <c r="K744" s="38" t="str">
        <f t="shared" si="244"/>
        <v/>
      </c>
      <c r="L744" s="38" t="str">
        <f t="shared" si="244"/>
        <v/>
      </c>
      <c r="M744" s="135"/>
      <c r="N744" s="135"/>
      <c r="O744" s="135"/>
      <c r="P744" s="135"/>
      <c r="Q744" s="135"/>
      <c r="R744" s="135"/>
      <c r="S744" s="135"/>
      <c r="T744" s="136"/>
      <c r="U744" s="135"/>
      <c r="V744" s="159"/>
    </row>
    <row r="745" spans="1:25" x14ac:dyDescent="0.3">
      <c r="A745" s="154"/>
      <c r="B745" s="129" t="s">
        <v>124</v>
      </c>
      <c r="C745" s="71" t="s">
        <v>88</v>
      </c>
      <c r="M745" s="69" t="str">
        <f>IF((L746=""),"",MAX(D747:L747))</f>
        <v/>
      </c>
      <c r="N745" s="69" t="str">
        <f>IF(L746="","",MIN(D747:L747))</f>
        <v/>
      </c>
      <c r="O745" s="69" t="str">
        <f>IF((L747=""),"",AVERAGE(D747:L747))</f>
        <v/>
      </c>
      <c r="P745" s="69">
        <v>1600</v>
      </c>
      <c r="Q745" s="69">
        <v>2000</v>
      </c>
      <c r="R745" s="69" t="str">
        <f>IF((L746=""),"",((M745-N745)/(M745+N745))*100)</f>
        <v/>
      </c>
      <c r="S745" s="69">
        <v>23</v>
      </c>
      <c r="T745" s="130" t="str">
        <f>IF(L746="","",IF(R746&lt;20,(IF(O745&gt;1730,IF(O745&lt;1970,"Pass","Fail"),"Fail"))))</f>
        <v/>
      </c>
      <c r="U745" s="153"/>
      <c r="V745" s="159"/>
      <c r="W745" s="56">
        <v>1730</v>
      </c>
      <c r="X745" s="56">
        <v>1970</v>
      </c>
      <c r="Y745" s="56">
        <v>6.2</v>
      </c>
    </row>
    <row r="746" spans="1:25" x14ac:dyDescent="0.3">
      <c r="A746" s="155"/>
      <c r="B746" s="147"/>
      <c r="C746" s="71" t="s">
        <v>89</v>
      </c>
      <c r="M746" s="77"/>
      <c r="N746" s="77"/>
      <c r="O746" s="77"/>
      <c r="P746" s="77"/>
      <c r="Q746" s="77"/>
      <c r="R746" s="77"/>
      <c r="S746" s="77"/>
      <c r="T746" s="132"/>
      <c r="U746" s="77"/>
      <c r="V746" s="159"/>
    </row>
    <row r="747" spans="1:25" ht="39.9" x14ac:dyDescent="0.3">
      <c r="A747" s="156"/>
      <c r="B747" s="149"/>
      <c r="C747" s="71" t="s">
        <v>123</v>
      </c>
      <c r="D747" s="38" t="str">
        <f t="shared" ref="D747:L747" si="245">IF(((D745="")*AND(D746="")),"",(D745-D746)*1)</f>
        <v/>
      </c>
      <c r="E747" s="38" t="str">
        <f t="shared" si="245"/>
        <v/>
      </c>
      <c r="F747" s="38" t="str">
        <f t="shared" si="245"/>
        <v/>
      </c>
      <c r="G747" s="38" t="str">
        <f t="shared" si="245"/>
        <v/>
      </c>
      <c r="H747" s="38" t="str">
        <f t="shared" si="245"/>
        <v/>
      </c>
      <c r="I747" s="38" t="str">
        <f t="shared" si="245"/>
        <v/>
      </c>
      <c r="J747" s="38" t="str">
        <f t="shared" si="245"/>
        <v/>
      </c>
      <c r="K747" s="38" t="str">
        <f t="shared" si="245"/>
        <v/>
      </c>
      <c r="L747" s="38" t="str">
        <f t="shared" si="245"/>
        <v/>
      </c>
      <c r="M747" s="135"/>
      <c r="N747" s="135"/>
      <c r="O747" s="135"/>
      <c r="P747" s="135"/>
      <c r="Q747" s="135"/>
      <c r="R747" s="135"/>
      <c r="S747" s="135"/>
      <c r="T747" s="136"/>
      <c r="U747" s="135"/>
      <c r="V747" s="159"/>
    </row>
    <row r="748" spans="1:25" x14ac:dyDescent="0.3">
      <c r="A748" s="154"/>
      <c r="B748" s="129" t="s">
        <v>124</v>
      </c>
      <c r="C748" s="71" t="s">
        <v>88</v>
      </c>
      <c r="M748" s="69" t="str">
        <f>IF((L749=""),"",MAX(D750:L750))</f>
        <v/>
      </c>
      <c r="N748" s="69" t="str">
        <f>IF(L749="","",MIN(D750:L750))</f>
        <v/>
      </c>
      <c r="O748" s="69" t="str">
        <f>IF((L750=""),"",AVERAGE(D750:L750))</f>
        <v/>
      </c>
      <c r="P748" s="69">
        <v>1600</v>
      </c>
      <c r="Q748" s="69">
        <v>2000</v>
      </c>
      <c r="R748" s="69" t="str">
        <f>IF((L749=""),"",((M748-N748)/(M748+N748))*100)</f>
        <v/>
      </c>
      <c r="S748" s="69">
        <v>23</v>
      </c>
      <c r="T748" s="130" t="str">
        <f>IF(L749="","",IF(R749&lt;20,(IF(O748&gt;1730,IF(O748&lt;1970,"Pass","Fail"),"Fail"))))</f>
        <v/>
      </c>
      <c r="U748" s="153"/>
      <c r="V748" s="159"/>
      <c r="W748" s="56">
        <v>1730</v>
      </c>
      <c r="X748" s="56">
        <v>1970</v>
      </c>
      <c r="Y748" s="56">
        <v>6.2</v>
      </c>
    </row>
    <row r="749" spans="1:25" x14ac:dyDescent="0.3">
      <c r="A749" s="155"/>
      <c r="B749" s="147"/>
      <c r="C749" s="71" t="s">
        <v>89</v>
      </c>
      <c r="M749" s="77"/>
      <c r="N749" s="77"/>
      <c r="O749" s="77"/>
      <c r="P749" s="77"/>
      <c r="Q749" s="77"/>
      <c r="R749" s="77"/>
      <c r="S749" s="77"/>
      <c r="T749" s="132"/>
      <c r="U749" s="77"/>
      <c r="V749" s="159"/>
    </row>
    <row r="750" spans="1:25" ht="39.9" x14ac:dyDescent="0.3">
      <c r="A750" s="156"/>
      <c r="B750" s="149"/>
      <c r="C750" s="71" t="s">
        <v>123</v>
      </c>
      <c r="D750" s="38" t="str">
        <f t="shared" ref="D750:L750" si="246">IF(((D748="")*AND(D749="")),"",(D748-D749)*1)</f>
        <v/>
      </c>
      <c r="E750" s="38" t="str">
        <f t="shared" si="246"/>
        <v/>
      </c>
      <c r="F750" s="38" t="str">
        <f t="shared" si="246"/>
        <v/>
      </c>
      <c r="G750" s="38" t="str">
        <f t="shared" si="246"/>
        <v/>
      </c>
      <c r="H750" s="38" t="str">
        <f t="shared" si="246"/>
        <v/>
      </c>
      <c r="I750" s="38" t="str">
        <f t="shared" si="246"/>
        <v/>
      </c>
      <c r="J750" s="38" t="str">
        <f t="shared" si="246"/>
        <v/>
      </c>
      <c r="K750" s="38" t="str">
        <f t="shared" si="246"/>
        <v/>
      </c>
      <c r="L750" s="38" t="str">
        <f t="shared" si="246"/>
        <v/>
      </c>
      <c r="M750" s="135"/>
      <c r="N750" s="135"/>
      <c r="O750" s="135"/>
      <c r="P750" s="135"/>
      <c r="Q750" s="135"/>
      <c r="R750" s="135"/>
      <c r="S750" s="135"/>
      <c r="T750" s="136"/>
      <c r="U750" s="135"/>
      <c r="V750" s="159"/>
    </row>
    <row r="751" spans="1:25" x14ac:dyDescent="0.3">
      <c r="A751" s="154"/>
      <c r="B751" s="129" t="s">
        <v>124</v>
      </c>
      <c r="C751" s="71" t="s">
        <v>88</v>
      </c>
      <c r="M751" s="69" t="str">
        <f>IF((L752=""),"",MAX(D753:L753))</f>
        <v/>
      </c>
      <c r="N751" s="69" t="str">
        <f>IF(L752="","",MIN(D753:L753))</f>
        <v/>
      </c>
      <c r="O751" s="69" t="str">
        <f>IF((L753=""),"",AVERAGE(D753:L753))</f>
        <v/>
      </c>
      <c r="P751" s="69">
        <v>1600</v>
      </c>
      <c r="Q751" s="69">
        <v>2000</v>
      </c>
      <c r="R751" s="69" t="str">
        <f>IF((L752=""),"",((M751-N751)/(M751+N751))*100)</f>
        <v/>
      </c>
      <c r="S751" s="69">
        <v>23</v>
      </c>
      <c r="T751" s="130" t="str">
        <f>IF(L752="","",IF(R752&lt;20,(IF(O751&gt;1730,IF(O751&lt;1970,"Pass","Fail"),"Fail"))))</f>
        <v/>
      </c>
      <c r="U751" s="153"/>
      <c r="V751" s="159"/>
      <c r="W751" s="56">
        <v>1730</v>
      </c>
      <c r="X751" s="56">
        <v>1970</v>
      </c>
      <c r="Y751" s="56">
        <v>6.2</v>
      </c>
    </row>
    <row r="752" spans="1:25" x14ac:dyDescent="0.3">
      <c r="A752" s="155"/>
      <c r="B752" s="147"/>
      <c r="C752" s="71" t="s">
        <v>89</v>
      </c>
      <c r="M752" s="77"/>
      <c r="N752" s="77"/>
      <c r="O752" s="77"/>
      <c r="P752" s="77"/>
      <c r="Q752" s="77"/>
      <c r="R752" s="77"/>
      <c r="S752" s="77"/>
      <c r="T752" s="132"/>
      <c r="U752" s="77"/>
      <c r="V752" s="159"/>
    </row>
    <row r="753" spans="1:25" ht="39.9" x14ac:dyDescent="0.3">
      <c r="A753" s="156"/>
      <c r="B753" s="149"/>
      <c r="C753" s="71" t="s">
        <v>123</v>
      </c>
      <c r="D753" s="38" t="str">
        <f t="shared" ref="D753:L753" si="247">IF(((D751="")*AND(D752="")),"",(D751-D752)*1)</f>
        <v/>
      </c>
      <c r="E753" s="38" t="str">
        <f t="shared" si="247"/>
        <v/>
      </c>
      <c r="F753" s="38" t="str">
        <f t="shared" si="247"/>
        <v/>
      </c>
      <c r="G753" s="38" t="str">
        <f t="shared" si="247"/>
        <v/>
      </c>
      <c r="H753" s="38" t="str">
        <f t="shared" si="247"/>
        <v/>
      </c>
      <c r="I753" s="38" t="str">
        <f t="shared" si="247"/>
        <v/>
      </c>
      <c r="J753" s="38" t="str">
        <f t="shared" si="247"/>
        <v/>
      </c>
      <c r="K753" s="38" t="str">
        <f t="shared" si="247"/>
        <v/>
      </c>
      <c r="L753" s="38" t="str">
        <f t="shared" si="247"/>
        <v/>
      </c>
      <c r="M753" s="135"/>
      <c r="N753" s="135"/>
      <c r="O753" s="135"/>
      <c r="P753" s="135"/>
      <c r="Q753" s="135"/>
      <c r="R753" s="135"/>
      <c r="S753" s="135"/>
      <c r="T753" s="136"/>
      <c r="U753" s="135"/>
      <c r="V753" s="159"/>
    </row>
    <row r="754" spans="1:25" x14ac:dyDescent="0.3">
      <c r="A754" s="154"/>
      <c r="B754" s="129" t="s">
        <v>124</v>
      </c>
      <c r="C754" s="71" t="s">
        <v>88</v>
      </c>
      <c r="M754" s="69" t="str">
        <f>IF((L755=""),"",MAX(D756:L756))</f>
        <v/>
      </c>
      <c r="N754" s="69" t="str">
        <f>IF(L755="","",MIN(D756:L756))</f>
        <v/>
      </c>
      <c r="O754" s="69" t="str">
        <f>IF((L756=""),"",AVERAGE(D756:L756))</f>
        <v/>
      </c>
      <c r="P754" s="69">
        <v>1600</v>
      </c>
      <c r="Q754" s="69">
        <v>2000</v>
      </c>
      <c r="R754" s="69" t="str">
        <f>IF((L755=""),"",((M754-N754)/(M754+N754))*100)</f>
        <v/>
      </c>
      <c r="S754" s="69">
        <v>23</v>
      </c>
      <c r="T754" s="130" t="str">
        <f>IF(L755="","",IF(R755&lt;20,(IF(O754&gt;1730,IF(O754&lt;1970,"Pass","Fail"),"Fail"))))</f>
        <v/>
      </c>
      <c r="U754" s="153"/>
      <c r="V754" s="159"/>
      <c r="W754" s="56">
        <v>1730</v>
      </c>
      <c r="X754" s="56">
        <v>1970</v>
      </c>
      <c r="Y754" s="56">
        <v>6.2</v>
      </c>
    </row>
    <row r="755" spans="1:25" x14ac:dyDescent="0.3">
      <c r="A755" s="155"/>
      <c r="B755" s="147"/>
      <c r="C755" s="71" t="s">
        <v>89</v>
      </c>
      <c r="M755" s="77"/>
      <c r="N755" s="77"/>
      <c r="O755" s="77"/>
      <c r="P755" s="77"/>
      <c r="Q755" s="77"/>
      <c r="R755" s="77"/>
      <c r="S755" s="77"/>
      <c r="T755" s="132"/>
      <c r="U755" s="77"/>
      <c r="V755" s="159"/>
    </row>
    <row r="756" spans="1:25" ht="39.9" x14ac:dyDescent="0.3">
      <c r="A756" s="156"/>
      <c r="B756" s="149"/>
      <c r="C756" s="71" t="s">
        <v>123</v>
      </c>
      <c r="D756" s="38" t="str">
        <f t="shared" ref="D756:L756" si="248">IF(((D754="")*AND(D755="")),"",(D754-D755)*1)</f>
        <v/>
      </c>
      <c r="E756" s="38" t="str">
        <f t="shared" si="248"/>
        <v/>
      </c>
      <c r="F756" s="38" t="str">
        <f t="shared" si="248"/>
        <v/>
      </c>
      <c r="G756" s="38" t="str">
        <f t="shared" si="248"/>
        <v/>
      </c>
      <c r="H756" s="38" t="str">
        <f t="shared" si="248"/>
        <v/>
      </c>
      <c r="I756" s="38" t="str">
        <f t="shared" si="248"/>
        <v/>
      </c>
      <c r="J756" s="38" t="str">
        <f t="shared" si="248"/>
        <v/>
      </c>
      <c r="K756" s="38" t="str">
        <f t="shared" si="248"/>
        <v/>
      </c>
      <c r="L756" s="38" t="str">
        <f t="shared" si="248"/>
        <v/>
      </c>
      <c r="M756" s="135"/>
      <c r="N756" s="135"/>
      <c r="O756" s="135"/>
      <c r="P756" s="135"/>
      <c r="Q756" s="135"/>
      <c r="R756" s="135"/>
      <c r="S756" s="135"/>
      <c r="T756" s="136"/>
      <c r="U756" s="135"/>
      <c r="V756" s="159"/>
    </row>
    <row r="757" spans="1:25" x14ac:dyDescent="0.3">
      <c r="A757" s="154"/>
      <c r="B757" s="129" t="s">
        <v>124</v>
      </c>
      <c r="C757" s="71" t="s">
        <v>88</v>
      </c>
      <c r="M757" s="69" t="str">
        <f>IF((L758=""),"",MAX(D759:L759))</f>
        <v/>
      </c>
      <c r="N757" s="69" t="str">
        <f>IF(L758="","",MIN(D759:L759))</f>
        <v/>
      </c>
      <c r="O757" s="69" t="str">
        <f>IF((L759=""),"",AVERAGE(D759:L759))</f>
        <v/>
      </c>
      <c r="P757" s="69">
        <v>1600</v>
      </c>
      <c r="Q757" s="69">
        <v>2000</v>
      </c>
      <c r="R757" s="69" t="str">
        <f>IF((L758=""),"",((M757-N757)/(M757+N757))*100)</f>
        <v/>
      </c>
      <c r="S757" s="69">
        <v>23</v>
      </c>
      <c r="T757" s="130" t="str">
        <f>IF(L758="","",IF(R758&lt;20,(IF(O757&gt;1730,IF(O757&lt;1970,"Pass","Fail"),"Fail"))))</f>
        <v/>
      </c>
      <c r="U757" s="153"/>
      <c r="V757" s="159"/>
      <c r="W757" s="56">
        <v>1730</v>
      </c>
      <c r="X757" s="56">
        <v>1970</v>
      </c>
      <c r="Y757" s="56">
        <v>6.2</v>
      </c>
    </row>
    <row r="758" spans="1:25" x14ac:dyDescent="0.3">
      <c r="A758" s="155"/>
      <c r="B758" s="147"/>
      <c r="C758" s="71" t="s">
        <v>89</v>
      </c>
      <c r="M758" s="77"/>
      <c r="N758" s="77"/>
      <c r="O758" s="77"/>
      <c r="P758" s="77"/>
      <c r="Q758" s="77"/>
      <c r="R758" s="77"/>
      <c r="S758" s="77"/>
      <c r="T758" s="132"/>
      <c r="U758" s="77"/>
      <c r="V758" s="159"/>
    </row>
    <row r="759" spans="1:25" ht="39.9" x14ac:dyDescent="0.3">
      <c r="A759" s="156"/>
      <c r="B759" s="149"/>
      <c r="C759" s="71" t="s">
        <v>123</v>
      </c>
      <c r="D759" s="38" t="str">
        <f t="shared" ref="D759:L759" si="249">IF(((D757="")*AND(D758="")),"",(D757-D758)*1)</f>
        <v/>
      </c>
      <c r="E759" s="38" t="str">
        <f t="shared" si="249"/>
        <v/>
      </c>
      <c r="F759" s="38" t="str">
        <f t="shared" si="249"/>
        <v/>
      </c>
      <c r="G759" s="38" t="str">
        <f t="shared" si="249"/>
        <v/>
      </c>
      <c r="H759" s="38" t="str">
        <f t="shared" si="249"/>
        <v/>
      </c>
      <c r="I759" s="38" t="str">
        <f t="shared" si="249"/>
        <v/>
      </c>
      <c r="J759" s="38" t="str">
        <f t="shared" si="249"/>
        <v/>
      </c>
      <c r="K759" s="38" t="str">
        <f t="shared" si="249"/>
        <v/>
      </c>
      <c r="L759" s="38" t="str">
        <f t="shared" si="249"/>
        <v/>
      </c>
      <c r="M759" s="135"/>
      <c r="N759" s="135"/>
      <c r="O759" s="135"/>
      <c r="P759" s="135"/>
      <c r="Q759" s="135"/>
      <c r="R759" s="135"/>
      <c r="S759" s="135"/>
      <c r="T759" s="136"/>
      <c r="U759" s="135"/>
      <c r="V759" s="159"/>
    </row>
    <row r="760" spans="1:25" x14ac:dyDescent="0.3">
      <c r="A760" s="154"/>
      <c r="B760" s="129" t="s">
        <v>124</v>
      </c>
      <c r="C760" s="71" t="s">
        <v>88</v>
      </c>
      <c r="M760" s="69" t="str">
        <f>IF((L761=""),"",MAX(D762:L762))</f>
        <v/>
      </c>
      <c r="N760" s="69" t="str">
        <f>IF(L761="","",MIN(D762:L762))</f>
        <v/>
      </c>
      <c r="O760" s="69" t="str">
        <f>IF((L762=""),"",AVERAGE(D762:L762))</f>
        <v/>
      </c>
      <c r="P760" s="69">
        <v>1600</v>
      </c>
      <c r="Q760" s="69">
        <v>2000</v>
      </c>
      <c r="R760" s="69" t="str">
        <f>IF((L761=""),"",((M760-N760)/(M760+N760))*100)</f>
        <v/>
      </c>
      <c r="S760" s="69">
        <v>23</v>
      </c>
      <c r="T760" s="130" t="str">
        <f>IF(L761="","",IF(R761&lt;20,(IF(O760&gt;1730,IF(O760&lt;1970,"Pass","Fail"),"Fail"))))</f>
        <v/>
      </c>
      <c r="U760" s="153"/>
      <c r="V760" s="159"/>
      <c r="W760" s="56">
        <v>1730</v>
      </c>
      <c r="X760" s="56">
        <v>1970</v>
      </c>
      <c r="Y760" s="56">
        <v>6.2</v>
      </c>
    </row>
    <row r="761" spans="1:25" x14ac:dyDescent="0.3">
      <c r="A761" s="155"/>
      <c r="B761" s="147"/>
      <c r="C761" s="71" t="s">
        <v>89</v>
      </c>
      <c r="M761" s="77"/>
      <c r="N761" s="77"/>
      <c r="O761" s="77"/>
      <c r="P761" s="77"/>
      <c r="Q761" s="77"/>
      <c r="R761" s="77"/>
      <c r="S761" s="77"/>
      <c r="T761" s="132"/>
      <c r="U761" s="77"/>
      <c r="V761" s="159"/>
    </row>
    <row r="762" spans="1:25" ht="39.9" x14ac:dyDescent="0.3">
      <c r="A762" s="156"/>
      <c r="B762" s="149"/>
      <c r="C762" s="71" t="s">
        <v>123</v>
      </c>
      <c r="D762" s="38" t="str">
        <f t="shared" ref="D762:L762" si="250">IF(((D760="")*AND(D761="")),"",(D760-D761)*1)</f>
        <v/>
      </c>
      <c r="E762" s="38" t="str">
        <f t="shared" si="250"/>
        <v/>
      </c>
      <c r="F762" s="38" t="str">
        <f t="shared" si="250"/>
        <v/>
      </c>
      <c r="G762" s="38" t="str">
        <f t="shared" si="250"/>
        <v/>
      </c>
      <c r="H762" s="38" t="str">
        <f t="shared" si="250"/>
        <v/>
      </c>
      <c r="I762" s="38" t="str">
        <f t="shared" si="250"/>
        <v/>
      </c>
      <c r="J762" s="38" t="str">
        <f t="shared" si="250"/>
        <v/>
      </c>
      <c r="K762" s="38" t="str">
        <f t="shared" si="250"/>
        <v/>
      </c>
      <c r="L762" s="38" t="str">
        <f t="shared" si="250"/>
        <v/>
      </c>
      <c r="M762" s="135"/>
      <c r="N762" s="135"/>
      <c r="O762" s="135"/>
      <c r="P762" s="135"/>
      <c r="Q762" s="135"/>
      <c r="R762" s="135"/>
      <c r="S762" s="135"/>
      <c r="T762" s="136"/>
      <c r="U762" s="135"/>
      <c r="V762" s="159"/>
    </row>
    <row r="763" spans="1:25" x14ac:dyDescent="0.3">
      <c r="A763" s="154"/>
      <c r="B763" s="129" t="s">
        <v>124</v>
      </c>
      <c r="C763" s="71" t="s">
        <v>88</v>
      </c>
      <c r="M763" s="69" t="str">
        <f>IF((L764=""),"",MAX(D765:L765))</f>
        <v/>
      </c>
      <c r="N763" s="69" t="str">
        <f>IF(L764="","",MIN(D765:L765))</f>
        <v/>
      </c>
      <c r="O763" s="69" t="str">
        <f>IF((L765=""),"",AVERAGE(D765:L765))</f>
        <v/>
      </c>
      <c r="P763" s="69">
        <v>1600</v>
      </c>
      <c r="Q763" s="69">
        <v>2000</v>
      </c>
      <c r="R763" s="69" t="str">
        <f>IF((L764=""),"",((M763-N763)/(M763+N763))*100)</f>
        <v/>
      </c>
      <c r="S763" s="69">
        <v>23</v>
      </c>
      <c r="T763" s="130" t="str">
        <f>IF(L764="","",IF(R764&lt;20,(IF(O763&gt;1730,IF(O763&lt;1970,"Pass","Fail"),"Fail"))))</f>
        <v/>
      </c>
      <c r="U763" s="153"/>
      <c r="V763" s="159"/>
      <c r="W763" s="56">
        <v>1730</v>
      </c>
      <c r="X763" s="56">
        <v>1970</v>
      </c>
      <c r="Y763" s="56">
        <v>6.2</v>
      </c>
    </row>
    <row r="764" spans="1:25" x14ac:dyDescent="0.3">
      <c r="A764" s="155"/>
      <c r="B764" s="147"/>
      <c r="C764" s="71" t="s">
        <v>89</v>
      </c>
      <c r="M764" s="77"/>
      <c r="N764" s="77"/>
      <c r="O764" s="77"/>
      <c r="P764" s="77"/>
      <c r="Q764" s="77"/>
      <c r="R764" s="77"/>
      <c r="S764" s="77"/>
      <c r="T764" s="132"/>
      <c r="U764" s="77"/>
      <c r="V764" s="159"/>
    </row>
    <row r="765" spans="1:25" ht="39.9" x14ac:dyDescent="0.3">
      <c r="A765" s="156"/>
      <c r="B765" s="149"/>
      <c r="C765" s="71" t="s">
        <v>123</v>
      </c>
      <c r="D765" s="38" t="str">
        <f t="shared" ref="D765:L765" si="251">IF(((D763="")*AND(D764="")),"",(D763-D764)*1)</f>
        <v/>
      </c>
      <c r="E765" s="38" t="str">
        <f t="shared" si="251"/>
        <v/>
      </c>
      <c r="F765" s="38" t="str">
        <f t="shared" si="251"/>
        <v/>
      </c>
      <c r="G765" s="38" t="str">
        <f t="shared" si="251"/>
        <v/>
      </c>
      <c r="H765" s="38" t="str">
        <f t="shared" si="251"/>
        <v/>
      </c>
      <c r="I765" s="38" t="str">
        <f t="shared" si="251"/>
        <v/>
      </c>
      <c r="J765" s="38" t="str">
        <f t="shared" si="251"/>
        <v/>
      </c>
      <c r="K765" s="38" t="str">
        <f t="shared" si="251"/>
        <v/>
      </c>
      <c r="L765" s="38" t="str">
        <f t="shared" si="251"/>
        <v/>
      </c>
      <c r="M765" s="135"/>
      <c r="N765" s="135"/>
      <c r="O765" s="135"/>
      <c r="P765" s="135"/>
      <c r="Q765" s="135"/>
      <c r="R765" s="135"/>
      <c r="S765" s="135"/>
      <c r="T765" s="136"/>
      <c r="U765" s="135"/>
      <c r="V765" s="159"/>
    </row>
    <row r="766" spans="1:25" x14ac:dyDescent="0.3">
      <c r="A766" s="154"/>
      <c r="B766" s="129" t="s">
        <v>124</v>
      </c>
      <c r="C766" s="71" t="s">
        <v>88</v>
      </c>
      <c r="M766" s="69" t="str">
        <f>IF((L767=""),"",MAX(D768:L768))</f>
        <v/>
      </c>
      <c r="N766" s="69" t="str">
        <f>IF(L767="","",MIN(D768:L768))</f>
        <v/>
      </c>
      <c r="O766" s="69" t="str">
        <f>IF((L768=""),"",AVERAGE(D768:L768))</f>
        <v/>
      </c>
      <c r="P766" s="69">
        <v>1600</v>
      </c>
      <c r="Q766" s="69">
        <v>2000</v>
      </c>
      <c r="R766" s="69" t="str">
        <f>IF((L767=""),"",((M766-N766)/(M766+N766))*100)</f>
        <v/>
      </c>
      <c r="S766" s="69">
        <v>23</v>
      </c>
      <c r="T766" s="130" t="str">
        <f>IF(L767="","",IF(R767&lt;20,(IF(O766&gt;1730,IF(O766&lt;1970,"Pass","Fail"),"Fail"))))</f>
        <v/>
      </c>
      <c r="U766" s="153"/>
      <c r="V766" s="159"/>
      <c r="W766" s="56">
        <v>1730</v>
      </c>
      <c r="X766" s="56">
        <v>1970</v>
      </c>
      <c r="Y766" s="56">
        <v>6.2</v>
      </c>
    </row>
    <row r="767" spans="1:25" x14ac:dyDescent="0.3">
      <c r="A767" s="155"/>
      <c r="B767" s="147"/>
      <c r="C767" s="71" t="s">
        <v>89</v>
      </c>
      <c r="M767" s="77"/>
      <c r="N767" s="77"/>
      <c r="O767" s="77"/>
      <c r="P767" s="77"/>
      <c r="Q767" s="77"/>
      <c r="R767" s="77"/>
      <c r="S767" s="77"/>
      <c r="T767" s="132"/>
      <c r="U767" s="77"/>
      <c r="V767" s="159"/>
    </row>
    <row r="768" spans="1:25" ht="39.9" x14ac:dyDescent="0.3">
      <c r="A768" s="156"/>
      <c r="B768" s="149"/>
      <c r="C768" s="71" t="s">
        <v>123</v>
      </c>
      <c r="D768" s="38" t="str">
        <f t="shared" ref="D768:L768" si="252">IF(((D766="")*AND(D767="")),"",(D766-D767)*1)</f>
        <v/>
      </c>
      <c r="E768" s="38" t="str">
        <f t="shared" si="252"/>
        <v/>
      </c>
      <c r="F768" s="38" t="str">
        <f t="shared" si="252"/>
        <v/>
      </c>
      <c r="G768" s="38" t="str">
        <f t="shared" si="252"/>
        <v/>
      </c>
      <c r="H768" s="38" t="str">
        <f t="shared" si="252"/>
        <v/>
      </c>
      <c r="I768" s="38" t="str">
        <f t="shared" si="252"/>
        <v/>
      </c>
      <c r="J768" s="38" t="str">
        <f t="shared" si="252"/>
        <v/>
      </c>
      <c r="K768" s="38" t="str">
        <f t="shared" si="252"/>
        <v/>
      </c>
      <c r="L768" s="38" t="str">
        <f t="shared" si="252"/>
        <v/>
      </c>
      <c r="M768" s="135"/>
      <c r="N768" s="135"/>
      <c r="O768" s="135"/>
      <c r="P768" s="135"/>
      <c r="Q768" s="135"/>
      <c r="R768" s="135"/>
      <c r="S768" s="135"/>
      <c r="T768" s="136"/>
      <c r="U768" s="135"/>
      <c r="V768" s="159"/>
    </row>
    <row r="769" spans="1:25" x14ac:dyDescent="0.3">
      <c r="A769" s="154"/>
      <c r="B769" s="129" t="s">
        <v>124</v>
      </c>
      <c r="C769" s="71" t="s">
        <v>88</v>
      </c>
      <c r="M769" s="69" t="str">
        <f>IF((L770=""),"",MAX(D771:L771))</f>
        <v/>
      </c>
      <c r="N769" s="69" t="str">
        <f>IF(L770="","",MIN(D771:L771))</f>
        <v/>
      </c>
      <c r="O769" s="69" t="str">
        <f>IF((L771=""),"",AVERAGE(D771:L771))</f>
        <v/>
      </c>
      <c r="P769" s="69">
        <v>1600</v>
      </c>
      <c r="Q769" s="69">
        <v>2000</v>
      </c>
      <c r="R769" s="69" t="str">
        <f>IF((L770=""),"",((M769-N769)/(M769+N769))*100)</f>
        <v/>
      </c>
      <c r="S769" s="69">
        <v>23</v>
      </c>
      <c r="T769" s="130" t="str">
        <f>IF(L770="","",IF(R770&lt;20,(IF(O769&gt;1730,IF(O769&lt;1970,"Pass","Fail"),"Fail"))))</f>
        <v/>
      </c>
      <c r="U769" s="153"/>
      <c r="V769" s="159"/>
      <c r="W769" s="56">
        <v>1730</v>
      </c>
      <c r="X769" s="56">
        <v>1970</v>
      </c>
      <c r="Y769" s="56">
        <v>6.2</v>
      </c>
    </row>
    <row r="770" spans="1:25" x14ac:dyDescent="0.3">
      <c r="A770" s="155"/>
      <c r="B770" s="147"/>
      <c r="C770" s="71" t="s">
        <v>89</v>
      </c>
      <c r="M770" s="77"/>
      <c r="N770" s="77"/>
      <c r="O770" s="77"/>
      <c r="P770" s="77"/>
      <c r="Q770" s="77"/>
      <c r="R770" s="77"/>
      <c r="S770" s="77"/>
      <c r="T770" s="132"/>
      <c r="U770" s="77"/>
      <c r="V770" s="159"/>
    </row>
    <row r="771" spans="1:25" ht="39.9" x14ac:dyDescent="0.3">
      <c r="A771" s="156"/>
      <c r="B771" s="149"/>
      <c r="C771" s="71" t="s">
        <v>123</v>
      </c>
      <c r="D771" s="38" t="str">
        <f t="shared" ref="D771:L771" si="253">IF(((D769="")*AND(D770="")),"",(D769-D770)*1)</f>
        <v/>
      </c>
      <c r="E771" s="38" t="str">
        <f t="shared" si="253"/>
        <v/>
      </c>
      <c r="F771" s="38" t="str">
        <f t="shared" si="253"/>
        <v/>
      </c>
      <c r="G771" s="38" t="str">
        <f t="shared" si="253"/>
        <v/>
      </c>
      <c r="H771" s="38" t="str">
        <f t="shared" si="253"/>
        <v/>
      </c>
      <c r="I771" s="38" t="str">
        <f t="shared" si="253"/>
        <v/>
      </c>
      <c r="J771" s="38" t="str">
        <f t="shared" si="253"/>
        <v/>
      </c>
      <c r="K771" s="38" t="str">
        <f t="shared" si="253"/>
        <v/>
      </c>
      <c r="L771" s="38" t="str">
        <f t="shared" si="253"/>
        <v/>
      </c>
      <c r="M771" s="135"/>
      <c r="N771" s="135"/>
      <c r="O771" s="135"/>
      <c r="P771" s="135"/>
      <c r="Q771" s="135"/>
      <c r="R771" s="135"/>
      <c r="S771" s="135"/>
      <c r="T771" s="136"/>
      <c r="U771" s="135"/>
      <c r="V771" s="159"/>
    </row>
    <row r="772" spans="1:25" x14ac:dyDescent="0.3">
      <c r="A772" s="154"/>
      <c r="B772" s="129" t="s">
        <v>124</v>
      </c>
      <c r="C772" s="71" t="s">
        <v>88</v>
      </c>
      <c r="M772" s="69" t="str">
        <f>IF((L773=""),"",MAX(D774:L774))</f>
        <v/>
      </c>
      <c r="N772" s="69" t="str">
        <f>IF(L773="","",MIN(D774:L774))</f>
        <v/>
      </c>
      <c r="O772" s="69" t="str">
        <f>IF((L774=""),"",AVERAGE(D774:L774))</f>
        <v/>
      </c>
      <c r="P772" s="69">
        <v>1600</v>
      </c>
      <c r="Q772" s="69">
        <v>2000</v>
      </c>
      <c r="R772" s="69" t="str">
        <f>IF((L773=""),"",((M772-N772)/(M772+N772))*100)</f>
        <v/>
      </c>
      <c r="S772" s="69">
        <v>23</v>
      </c>
      <c r="T772" s="130" t="str">
        <f>IF(L773="","",IF(R773&lt;20,(IF(O772&gt;1730,IF(O772&lt;1970,"Pass","Fail"),"Fail"))))</f>
        <v/>
      </c>
      <c r="U772" s="153"/>
      <c r="V772" s="159"/>
      <c r="W772" s="56">
        <v>1730</v>
      </c>
      <c r="X772" s="56">
        <v>1970</v>
      </c>
      <c r="Y772" s="56">
        <v>6.2</v>
      </c>
    </row>
    <row r="773" spans="1:25" x14ac:dyDescent="0.3">
      <c r="A773" s="155"/>
      <c r="B773" s="147"/>
      <c r="C773" s="71" t="s">
        <v>89</v>
      </c>
      <c r="M773" s="77"/>
      <c r="N773" s="77"/>
      <c r="O773" s="77"/>
      <c r="P773" s="77"/>
      <c r="Q773" s="77"/>
      <c r="R773" s="77"/>
      <c r="S773" s="77"/>
      <c r="T773" s="132"/>
      <c r="U773" s="77"/>
      <c r="V773" s="159"/>
    </row>
    <row r="774" spans="1:25" ht="39.9" x14ac:dyDescent="0.3">
      <c r="A774" s="156"/>
      <c r="B774" s="149"/>
      <c r="C774" s="71" t="s">
        <v>123</v>
      </c>
      <c r="D774" s="38" t="str">
        <f t="shared" ref="D774:L774" si="254">IF(((D772="")*AND(D773="")),"",(D772-D773)*1)</f>
        <v/>
      </c>
      <c r="E774" s="38" t="str">
        <f t="shared" si="254"/>
        <v/>
      </c>
      <c r="F774" s="38" t="str">
        <f t="shared" si="254"/>
        <v/>
      </c>
      <c r="G774" s="38" t="str">
        <f t="shared" si="254"/>
        <v/>
      </c>
      <c r="H774" s="38" t="str">
        <f t="shared" si="254"/>
        <v/>
      </c>
      <c r="I774" s="38" t="str">
        <f t="shared" si="254"/>
        <v/>
      </c>
      <c r="J774" s="38" t="str">
        <f t="shared" si="254"/>
        <v/>
      </c>
      <c r="K774" s="38" t="str">
        <f t="shared" si="254"/>
        <v/>
      </c>
      <c r="L774" s="38" t="str">
        <f t="shared" si="254"/>
        <v/>
      </c>
      <c r="M774" s="135"/>
      <c r="N774" s="135"/>
      <c r="O774" s="135"/>
      <c r="P774" s="135"/>
      <c r="Q774" s="135"/>
      <c r="R774" s="135"/>
      <c r="S774" s="135"/>
      <c r="T774" s="136"/>
      <c r="U774" s="135"/>
      <c r="V774" s="159"/>
    </row>
    <row r="775" spans="1:25" x14ac:dyDescent="0.3">
      <c r="A775" s="154"/>
      <c r="B775" s="129" t="s">
        <v>124</v>
      </c>
      <c r="C775" s="71" t="s">
        <v>88</v>
      </c>
      <c r="M775" s="69" t="str">
        <f>IF((L776=""),"",MAX(D777:L777))</f>
        <v/>
      </c>
      <c r="N775" s="69" t="str">
        <f>IF(L776="","",MIN(D777:L777))</f>
        <v/>
      </c>
      <c r="O775" s="69" t="str">
        <f>IF((L777=""),"",AVERAGE(D777:L777))</f>
        <v/>
      </c>
      <c r="P775" s="69">
        <v>1600</v>
      </c>
      <c r="Q775" s="69">
        <v>2000</v>
      </c>
      <c r="R775" s="69" t="str">
        <f>IF((L776=""),"",((M775-N775)/(M775+N775))*100)</f>
        <v/>
      </c>
      <c r="S775" s="69">
        <v>23</v>
      </c>
      <c r="T775" s="130" t="str">
        <f>IF(L776="","",IF(R776&lt;20,(IF(O775&gt;1730,IF(O775&lt;1970,"Pass","Fail"),"Fail"))))</f>
        <v/>
      </c>
      <c r="U775" s="153"/>
      <c r="V775" s="159"/>
      <c r="W775" s="56">
        <v>1730</v>
      </c>
      <c r="X775" s="56">
        <v>1970</v>
      </c>
      <c r="Y775" s="56">
        <v>6.2</v>
      </c>
    </row>
    <row r="776" spans="1:25" x14ac:dyDescent="0.3">
      <c r="A776" s="155"/>
      <c r="B776" s="147"/>
      <c r="C776" s="71" t="s">
        <v>89</v>
      </c>
      <c r="M776" s="77"/>
      <c r="N776" s="77"/>
      <c r="O776" s="77"/>
      <c r="P776" s="77"/>
      <c r="Q776" s="77"/>
      <c r="R776" s="77"/>
      <c r="S776" s="77"/>
      <c r="T776" s="132"/>
      <c r="U776" s="77"/>
      <c r="V776" s="159"/>
    </row>
    <row r="777" spans="1:25" ht="39.9" x14ac:dyDescent="0.3">
      <c r="A777" s="156"/>
      <c r="B777" s="149"/>
      <c r="C777" s="71" t="s">
        <v>123</v>
      </c>
      <c r="D777" s="38" t="str">
        <f t="shared" ref="D777:L777" si="255">IF(((D775="")*AND(D776="")),"",(D775-D776)*1)</f>
        <v/>
      </c>
      <c r="E777" s="38" t="str">
        <f t="shared" si="255"/>
        <v/>
      </c>
      <c r="F777" s="38" t="str">
        <f t="shared" si="255"/>
        <v/>
      </c>
      <c r="G777" s="38" t="str">
        <f t="shared" si="255"/>
        <v/>
      </c>
      <c r="H777" s="38" t="str">
        <f t="shared" si="255"/>
        <v/>
      </c>
      <c r="I777" s="38" t="str">
        <f t="shared" si="255"/>
        <v/>
      </c>
      <c r="J777" s="38" t="str">
        <f t="shared" si="255"/>
        <v/>
      </c>
      <c r="K777" s="38" t="str">
        <f t="shared" si="255"/>
        <v/>
      </c>
      <c r="L777" s="38" t="str">
        <f t="shared" si="255"/>
        <v/>
      </c>
      <c r="M777" s="135"/>
      <c r="N777" s="135"/>
      <c r="O777" s="135"/>
      <c r="P777" s="135"/>
      <c r="Q777" s="135"/>
      <c r="R777" s="135"/>
      <c r="S777" s="135"/>
      <c r="T777" s="136"/>
      <c r="U777" s="135"/>
      <c r="V777" s="159"/>
    </row>
    <row r="778" spans="1:25" x14ac:dyDescent="0.3">
      <c r="A778" s="154"/>
      <c r="B778" s="129" t="s">
        <v>124</v>
      </c>
      <c r="C778" s="71" t="s">
        <v>88</v>
      </c>
      <c r="M778" s="69" t="str">
        <f>IF((L779=""),"",MAX(D780:L780))</f>
        <v/>
      </c>
      <c r="N778" s="69" t="str">
        <f>IF(L779="","",MIN(D780:L780))</f>
        <v/>
      </c>
      <c r="O778" s="69" t="str">
        <f>IF((L780=""),"",AVERAGE(D780:L780))</f>
        <v/>
      </c>
      <c r="P778" s="69">
        <v>1600</v>
      </c>
      <c r="Q778" s="69">
        <v>2000</v>
      </c>
      <c r="R778" s="69" t="str">
        <f>IF((L779=""),"",((M778-N778)/(M778+N778))*100)</f>
        <v/>
      </c>
      <c r="S778" s="69">
        <v>23</v>
      </c>
      <c r="T778" s="130" t="str">
        <f>IF(L779="","",IF(R779&lt;20,(IF(O778&gt;1730,IF(O778&lt;1970,"Pass","Fail"),"Fail"))))</f>
        <v/>
      </c>
      <c r="U778" s="153"/>
      <c r="V778" s="159"/>
      <c r="W778" s="56">
        <v>1730</v>
      </c>
      <c r="X778" s="56">
        <v>1970</v>
      </c>
      <c r="Y778" s="56">
        <v>6.2</v>
      </c>
    </row>
    <row r="779" spans="1:25" x14ac:dyDescent="0.3">
      <c r="A779" s="155"/>
      <c r="B779" s="147"/>
      <c r="C779" s="71" t="s">
        <v>89</v>
      </c>
      <c r="M779" s="77"/>
      <c r="N779" s="77"/>
      <c r="O779" s="77"/>
      <c r="P779" s="77"/>
      <c r="Q779" s="77"/>
      <c r="R779" s="77"/>
      <c r="S779" s="77"/>
      <c r="T779" s="132"/>
      <c r="U779" s="77"/>
      <c r="V779" s="159"/>
    </row>
    <row r="780" spans="1:25" ht="39.9" x14ac:dyDescent="0.3">
      <c r="A780" s="156"/>
      <c r="B780" s="149"/>
      <c r="C780" s="71" t="s">
        <v>123</v>
      </c>
      <c r="D780" s="38" t="str">
        <f t="shared" ref="D780:L780" si="256">IF(((D778="")*AND(D779="")),"",(D778-D779)*1)</f>
        <v/>
      </c>
      <c r="E780" s="38" t="str">
        <f t="shared" si="256"/>
        <v/>
      </c>
      <c r="F780" s="38" t="str">
        <f t="shared" si="256"/>
        <v/>
      </c>
      <c r="G780" s="38" t="str">
        <f t="shared" si="256"/>
        <v/>
      </c>
      <c r="H780" s="38" t="str">
        <f t="shared" si="256"/>
        <v/>
      </c>
      <c r="I780" s="38" t="str">
        <f t="shared" si="256"/>
        <v/>
      </c>
      <c r="J780" s="38" t="str">
        <f t="shared" si="256"/>
        <v/>
      </c>
      <c r="K780" s="38" t="str">
        <f t="shared" si="256"/>
        <v/>
      </c>
      <c r="L780" s="38" t="str">
        <f t="shared" si="256"/>
        <v/>
      </c>
      <c r="M780" s="135"/>
      <c r="N780" s="135"/>
      <c r="O780" s="135"/>
      <c r="P780" s="135"/>
      <c r="Q780" s="135"/>
      <c r="R780" s="135"/>
      <c r="S780" s="135"/>
      <c r="T780" s="136"/>
      <c r="U780" s="135"/>
      <c r="V780" s="159"/>
    </row>
    <row r="781" spans="1:25" x14ac:dyDescent="0.3">
      <c r="A781" s="154"/>
      <c r="B781" s="129" t="s">
        <v>124</v>
      </c>
      <c r="C781" s="71" t="s">
        <v>88</v>
      </c>
      <c r="M781" s="69" t="str">
        <f>IF((L782=""),"",MAX(D783:L783))</f>
        <v/>
      </c>
      <c r="N781" s="69" t="str">
        <f>IF(L782="","",MIN(D783:L783))</f>
        <v/>
      </c>
      <c r="O781" s="69" t="str">
        <f>IF((L783=""),"",AVERAGE(D783:L783))</f>
        <v/>
      </c>
      <c r="P781" s="69">
        <v>1600</v>
      </c>
      <c r="Q781" s="69">
        <v>2000</v>
      </c>
      <c r="R781" s="69" t="str">
        <f>IF((L782=""),"",((M781-N781)/(M781+N781))*100)</f>
        <v/>
      </c>
      <c r="S781" s="69">
        <v>23</v>
      </c>
      <c r="T781" s="130" t="str">
        <f>IF(L782="","",IF(R782&lt;20,(IF(O781&gt;1730,IF(O781&lt;1970,"Pass","Fail"),"Fail"))))</f>
        <v/>
      </c>
      <c r="U781" s="153"/>
      <c r="V781" s="159"/>
      <c r="W781" s="56">
        <v>1730</v>
      </c>
      <c r="X781" s="56">
        <v>1970</v>
      </c>
      <c r="Y781" s="56">
        <v>6.2</v>
      </c>
    </row>
    <row r="782" spans="1:25" x14ac:dyDescent="0.3">
      <c r="A782" s="155"/>
      <c r="B782" s="147"/>
      <c r="C782" s="71" t="s">
        <v>89</v>
      </c>
      <c r="M782" s="77"/>
      <c r="N782" s="77"/>
      <c r="O782" s="77"/>
      <c r="P782" s="77"/>
      <c r="Q782" s="77"/>
      <c r="R782" s="77"/>
      <c r="S782" s="77"/>
      <c r="T782" s="132"/>
      <c r="U782" s="77"/>
      <c r="V782" s="159"/>
    </row>
    <row r="783" spans="1:25" ht="39.9" x14ac:dyDescent="0.3">
      <c r="A783" s="156"/>
      <c r="B783" s="149"/>
      <c r="C783" s="71" t="s">
        <v>123</v>
      </c>
      <c r="D783" s="38" t="str">
        <f t="shared" ref="D783:L783" si="257">IF(((D781="")*AND(D782="")),"",(D781-D782)*1)</f>
        <v/>
      </c>
      <c r="E783" s="38" t="str">
        <f t="shared" si="257"/>
        <v/>
      </c>
      <c r="F783" s="38" t="str">
        <f t="shared" si="257"/>
        <v/>
      </c>
      <c r="G783" s="38" t="str">
        <f t="shared" si="257"/>
        <v/>
      </c>
      <c r="H783" s="38" t="str">
        <f t="shared" si="257"/>
        <v/>
      </c>
      <c r="I783" s="38" t="str">
        <f t="shared" si="257"/>
        <v/>
      </c>
      <c r="J783" s="38" t="str">
        <f t="shared" si="257"/>
        <v/>
      </c>
      <c r="K783" s="38" t="str">
        <f t="shared" si="257"/>
        <v/>
      </c>
      <c r="L783" s="38" t="str">
        <f t="shared" si="257"/>
        <v/>
      </c>
      <c r="M783" s="135"/>
      <c r="N783" s="135"/>
      <c r="O783" s="135"/>
      <c r="P783" s="135"/>
      <c r="Q783" s="135"/>
      <c r="R783" s="135"/>
      <c r="S783" s="135"/>
      <c r="T783" s="136"/>
      <c r="U783" s="135"/>
      <c r="V783" s="159"/>
    </row>
    <row r="784" spans="1:25" x14ac:dyDescent="0.3">
      <c r="A784" s="154"/>
      <c r="B784" s="129" t="s">
        <v>124</v>
      </c>
      <c r="C784" s="71" t="s">
        <v>88</v>
      </c>
      <c r="M784" s="69" t="str">
        <f>IF((L785=""),"",MAX(D786:L786))</f>
        <v/>
      </c>
      <c r="N784" s="69" t="str">
        <f>IF(L785="","",MIN(D786:L786))</f>
        <v/>
      </c>
      <c r="O784" s="69" t="str">
        <f>IF((L786=""),"",AVERAGE(D786:L786))</f>
        <v/>
      </c>
      <c r="P784" s="69">
        <v>1600</v>
      </c>
      <c r="Q784" s="69">
        <v>2000</v>
      </c>
      <c r="R784" s="69" t="str">
        <f>IF((L785=""),"",((M784-N784)/(M784+N784))*100)</f>
        <v/>
      </c>
      <c r="S784" s="69">
        <v>23</v>
      </c>
      <c r="T784" s="130" t="str">
        <f>IF(L785="","",IF(R785&lt;20,(IF(O784&gt;1730,IF(O784&lt;1970,"Pass","Fail"),"Fail"))))</f>
        <v/>
      </c>
      <c r="U784" s="153"/>
      <c r="V784" s="159"/>
      <c r="W784" s="56">
        <v>1730</v>
      </c>
      <c r="X784" s="56">
        <v>1970</v>
      </c>
      <c r="Y784" s="56">
        <v>6.2</v>
      </c>
    </row>
    <row r="785" spans="1:25" x14ac:dyDescent="0.3">
      <c r="A785" s="155"/>
      <c r="B785" s="147"/>
      <c r="C785" s="71" t="s">
        <v>89</v>
      </c>
      <c r="M785" s="77"/>
      <c r="N785" s="77"/>
      <c r="O785" s="77"/>
      <c r="P785" s="77"/>
      <c r="Q785" s="77"/>
      <c r="R785" s="77"/>
      <c r="S785" s="77"/>
      <c r="T785" s="132"/>
      <c r="U785" s="77"/>
      <c r="V785" s="159"/>
    </row>
    <row r="786" spans="1:25" ht="39.9" x14ac:dyDescent="0.3">
      <c r="A786" s="156"/>
      <c r="B786" s="149"/>
      <c r="C786" s="71" t="s">
        <v>123</v>
      </c>
      <c r="D786" s="38" t="str">
        <f t="shared" ref="D786:L786" si="258">IF(((D784="")*AND(D785="")),"",(D784-D785)*1)</f>
        <v/>
      </c>
      <c r="E786" s="38" t="str">
        <f t="shared" si="258"/>
        <v/>
      </c>
      <c r="F786" s="38" t="str">
        <f t="shared" si="258"/>
        <v/>
      </c>
      <c r="G786" s="38" t="str">
        <f t="shared" si="258"/>
        <v/>
      </c>
      <c r="H786" s="38" t="str">
        <f t="shared" si="258"/>
        <v/>
      </c>
      <c r="I786" s="38" t="str">
        <f t="shared" si="258"/>
        <v/>
      </c>
      <c r="J786" s="38" t="str">
        <f t="shared" si="258"/>
        <v/>
      </c>
      <c r="K786" s="38" t="str">
        <f t="shared" si="258"/>
        <v/>
      </c>
      <c r="L786" s="38" t="str">
        <f t="shared" si="258"/>
        <v/>
      </c>
      <c r="M786" s="135"/>
      <c r="N786" s="135"/>
      <c r="O786" s="135"/>
      <c r="P786" s="135"/>
      <c r="Q786" s="135"/>
      <c r="R786" s="135"/>
      <c r="S786" s="135"/>
      <c r="T786" s="136"/>
      <c r="U786" s="135"/>
      <c r="V786" s="159"/>
    </row>
    <row r="787" spans="1:25" x14ac:dyDescent="0.3">
      <c r="A787" s="154"/>
      <c r="B787" s="129" t="s">
        <v>124</v>
      </c>
      <c r="C787" s="71" t="s">
        <v>88</v>
      </c>
      <c r="M787" s="69" t="str">
        <f>IF((L788=""),"",MAX(D789:L789))</f>
        <v/>
      </c>
      <c r="N787" s="69" t="str">
        <f>IF(L788="","",MIN(D789:L789))</f>
        <v/>
      </c>
      <c r="O787" s="69" t="str">
        <f>IF((L789=""),"",AVERAGE(D789:L789))</f>
        <v/>
      </c>
      <c r="P787" s="69">
        <v>1600</v>
      </c>
      <c r="Q787" s="69">
        <v>2000</v>
      </c>
      <c r="R787" s="69" t="str">
        <f>IF((L788=""),"",((M787-N787)/(M787+N787))*100)</f>
        <v/>
      </c>
      <c r="S787" s="69">
        <v>23</v>
      </c>
      <c r="T787" s="130" t="str">
        <f>IF(L788="","",IF(R788&lt;20,(IF(O787&gt;1730,IF(O787&lt;1970,"Pass","Fail"),"Fail"))))</f>
        <v/>
      </c>
      <c r="U787" s="153"/>
      <c r="V787" s="159"/>
      <c r="W787" s="56">
        <v>1730</v>
      </c>
      <c r="X787" s="56">
        <v>1970</v>
      </c>
      <c r="Y787" s="56">
        <v>6.2</v>
      </c>
    </row>
    <row r="788" spans="1:25" x14ac:dyDescent="0.3">
      <c r="A788" s="155"/>
      <c r="B788" s="147"/>
      <c r="C788" s="71" t="s">
        <v>89</v>
      </c>
      <c r="M788" s="77"/>
      <c r="N788" s="77"/>
      <c r="O788" s="77"/>
      <c r="P788" s="77"/>
      <c r="Q788" s="77"/>
      <c r="R788" s="77"/>
      <c r="S788" s="77"/>
      <c r="T788" s="132"/>
      <c r="U788" s="77"/>
      <c r="V788" s="159"/>
    </row>
    <row r="789" spans="1:25" ht="39.9" x14ac:dyDescent="0.3">
      <c r="A789" s="156"/>
      <c r="B789" s="149"/>
      <c r="C789" s="71" t="s">
        <v>123</v>
      </c>
      <c r="D789" s="38" t="str">
        <f t="shared" ref="D789:L789" si="259">IF(((D787="")*AND(D788="")),"",(D787-D788)*1)</f>
        <v/>
      </c>
      <c r="E789" s="38" t="str">
        <f t="shared" si="259"/>
        <v/>
      </c>
      <c r="F789" s="38" t="str">
        <f t="shared" si="259"/>
        <v/>
      </c>
      <c r="G789" s="38" t="str">
        <f t="shared" si="259"/>
        <v/>
      </c>
      <c r="H789" s="38" t="str">
        <f t="shared" si="259"/>
        <v/>
      </c>
      <c r="I789" s="38" t="str">
        <f t="shared" si="259"/>
        <v/>
      </c>
      <c r="J789" s="38" t="str">
        <f t="shared" si="259"/>
        <v/>
      </c>
      <c r="K789" s="38" t="str">
        <f t="shared" si="259"/>
        <v/>
      </c>
      <c r="L789" s="38" t="str">
        <f t="shared" si="259"/>
        <v/>
      </c>
      <c r="M789" s="135"/>
      <c r="N789" s="135"/>
      <c r="O789" s="135"/>
      <c r="P789" s="135"/>
      <c r="Q789" s="135"/>
      <c r="R789" s="135"/>
      <c r="S789" s="135"/>
      <c r="T789" s="136"/>
      <c r="U789" s="135"/>
      <c r="V789" s="159"/>
    </row>
    <row r="790" spans="1:25" x14ac:dyDescent="0.3">
      <c r="A790" s="154"/>
      <c r="B790" s="129" t="s">
        <v>124</v>
      </c>
      <c r="C790" s="71" t="s">
        <v>88</v>
      </c>
      <c r="M790" s="69" t="str">
        <f>IF((L791=""),"",MAX(D792:L792))</f>
        <v/>
      </c>
      <c r="N790" s="69" t="str">
        <f>IF(L791="","",MIN(D792:L792))</f>
        <v/>
      </c>
      <c r="O790" s="69" t="str">
        <f>IF((L792=""),"",AVERAGE(D792:L792))</f>
        <v/>
      </c>
      <c r="P790" s="69">
        <v>1600</v>
      </c>
      <c r="Q790" s="69">
        <v>2000</v>
      </c>
      <c r="R790" s="69" t="str">
        <f>IF((L791=""),"",((M790-N790)/(M790+N790))*100)</f>
        <v/>
      </c>
      <c r="S790" s="69">
        <v>23</v>
      </c>
      <c r="T790" s="130" t="str">
        <f>IF(L791="","",IF(R791&lt;20,(IF(O790&gt;1730,IF(O790&lt;1970,"Pass","Fail"),"Fail"))))</f>
        <v/>
      </c>
      <c r="U790" s="153"/>
      <c r="V790" s="159"/>
      <c r="W790" s="56">
        <v>1730</v>
      </c>
      <c r="X790" s="56">
        <v>1970</v>
      </c>
      <c r="Y790" s="56">
        <v>6.2</v>
      </c>
    </row>
    <row r="791" spans="1:25" x14ac:dyDescent="0.3">
      <c r="A791" s="155"/>
      <c r="B791" s="147"/>
      <c r="C791" s="71" t="s">
        <v>89</v>
      </c>
      <c r="M791" s="77"/>
      <c r="N791" s="77"/>
      <c r="O791" s="77"/>
      <c r="P791" s="77"/>
      <c r="Q791" s="77"/>
      <c r="R791" s="77"/>
      <c r="S791" s="77"/>
      <c r="T791" s="132"/>
      <c r="U791" s="77"/>
      <c r="V791" s="159"/>
    </row>
    <row r="792" spans="1:25" ht="39.9" x14ac:dyDescent="0.3">
      <c r="A792" s="156"/>
      <c r="B792" s="149"/>
      <c r="C792" s="71" t="s">
        <v>123</v>
      </c>
      <c r="D792" s="38" t="str">
        <f t="shared" ref="D792:L792" si="260">IF(((D790="")*AND(D791="")),"",(D790-D791)*1)</f>
        <v/>
      </c>
      <c r="E792" s="38" t="str">
        <f t="shared" si="260"/>
        <v/>
      </c>
      <c r="F792" s="38" t="str">
        <f t="shared" si="260"/>
        <v/>
      </c>
      <c r="G792" s="38" t="str">
        <f t="shared" si="260"/>
        <v/>
      </c>
      <c r="H792" s="38" t="str">
        <f t="shared" si="260"/>
        <v/>
      </c>
      <c r="I792" s="38" t="str">
        <f t="shared" si="260"/>
        <v/>
      </c>
      <c r="J792" s="38" t="str">
        <f t="shared" si="260"/>
        <v/>
      </c>
      <c r="K792" s="38" t="str">
        <f t="shared" si="260"/>
        <v/>
      </c>
      <c r="L792" s="38" t="str">
        <f t="shared" si="260"/>
        <v/>
      </c>
      <c r="M792" s="135"/>
      <c r="N792" s="135"/>
      <c r="O792" s="135"/>
      <c r="P792" s="135"/>
      <c r="Q792" s="135"/>
      <c r="R792" s="135"/>
      <c r="S792" s="135"/>
      <c r="T792" s="136"/>
      <c r="U792" s="135"/>
      <c r="V792" s="159"/>
    </row>
    <row r="793" spans="1:25" x14ac:dyDescent="0.3">
      <c r="A793" s="154"/>
      <c r="B793" s="129" t="s">
        <v>124</v>
      </c>
      <c r="C793" s="71" t="s">
        <v>88</v>
      </c>
      <c r="M793" s="69" t="str">
        <f>IF((L794=""),"",MAX(D795:L795))</f>
        <v/>
      </c>
      <c r="N793" s="69" t="str">
        <f>IF(L794="","",MIN(D795:L795))</f>
        <v/>
      </c>
      <c r="O793" s="69" t="str">
        <f>IF((L795=""),"",AVERAGE(D795:L795))</f>
        <v/>
      </c>
      <c r="P793" s="69">
        <v>1600</v>
      </c>
      <c r="Q793" s="69">
        <v>2000</v>
      </c>
      <c r="R793" s="69" t="str">
        <f>IF((L794=""),"",((M793-N793)/(M793+N793))*100)</f>
        <v/>
      </c>
      <c r="S793" s="69">
        <v>23</v>
      </c>
      <c r="T793" s="130" t="str">
        <f>IF(L794="","",IF(R794&lt;20,(IF(O793&gt;1730,IF(O793&lt;1970,"Pass","Fail"),"Fail"))))</f>
        <v/>
      </c>
      <c r="U793" s="153"/>
      <c r="V793" s="159"/>
      <c r="W793" s="56">
        <v>1730</v>
      </c>
      <c r="X793" s="56">
        <v>1970</v>
      </c>
      <c r="Y793" s="56">
        <v>6.2</v>
      </c>
    </row>
    <row r="794" spans="1:25" x14ac:dyDescent="0.3">
      <c r="A794" s="155"/>
      <c r="B794" s="147"/>
      <c r="C794" s="71" t="s">
        <v>89</v>
      </c>
      <c r="M794" s="77"/>
      <c r="N794" s="77"/>
      <c r="O794" s="77"/>
      <c r="P794" s="77"/>
      <c r="Q794" s="77"/>
      <c r="R794" s="77"/>
      <c r="S794" s="77"/>
      <c r="T794" s="132"/>
      <c r="U794" s="77"/>
      <c r="V794" s="159"/>
    </row>
    <row r="795" spans="1:25" ht="39.9" x14ac:dyDescent="0.3">
      <c r="A795" s="156"/>
      <c r="B795" s="149"/>
      <c r="C795" s="71" t="s">
        <v>123</v>
      </c>
      <c r="D795" s="38" t="str">
        <f t="shared" ref="D795:L795" si="261">IF(((D793="")*AND(D794="")),"",(D793-D794)*1)</f>
        <v/>
      </c>
      <c r="E795" s="38" t="str">
        <f t="shared" si="261"/>
        <v/>
      </c>
      <c r="F795" s="38" t="str">
        <f t="shared" si="261"/>
        <v/>
      </c>
      <c r="G795" s="38" t="str">
        <f t="shared" si="261"/>
        <v/>
      </c>
      <c r="H795" s="38" t="str">
        <f t="shared" si="261"/>
        <v/>
      </c>
      <c r="I795" s="38" t="str">
        <f t="shared" si="261"/>
        <v/>
      </c>
      <c r="J795" s="38" t="str">
        <f t="shared" si="261"/>
        <v/>
      </c>
      <c r="K795" s="38" t="str">
        <f t="shared" si="261"/>
        <v/>
      </c>
      <c r="L795" s="38" t="str">
        <f t="shared" si="261"/>
        <v/>
      </c>
      <c r="M795" s="135"/>
      <c r="N795" s="135"/>
      <c r="O795" s="135"/>
      <c r="P795" s="135"/>
      <c r="Q795" s="135"/>
      <c r="R795" s="135"/>
      <c r="S795" s="135"/>
      <c r="T795" s="136"/>
      <c r="U795" s="135"/>
      <c r="V795" s="159"/>
    </row>
    <row r="796" spans="1:25" x14ac:dyDescent="0.3">
      <c r="A796" s="154"/>
      <c r="B796" s="129" t="s">
        <v>124</v>
      </c>
      <c r="C796" s="71" t="s">
        <v>88</v>
      </c>
      <c r="M796" s="69" t="str">
        <f>IF((L797=""),"",MAX(D798:L798))</f>
        <v/>
      </c>
      <c r="N796" s="69" t="str">
        <f>IF(L797="","",MIN(D798:L798))</f>
        <v/>
      </c>
      <c r="O796" s="69" t="str">
        <f>IF((L798=""),"",AVERAGE(D798:L798))</f>
        <v/>
      </c>
      <c r="P796" s="69">
        <v>1600</v>
      </c>
      <c r="Q796" s="69">
        <v>2000</v>
      </c>
      <c r="R796" s="69" t="str">
        <f>IF((L797=""),"",((M796-N796)/(M796+N796))*100)</f>
        <v/>
      </c>
      <c r="S796" s="69">
        <v>23</v>
      </c>
      <c r="T796" s="130" t="str">
        <f>IF(L797="","",IF(R797&lt;20,(IF(O796&gt;1730,IF(O796&lt;1970,"Pass","Fail"),"Fail"))))</f>
        <v/>
      </c>
      <c r="U796" s="153"/>
      <c r="V796" s="159"/>
      <c r="W796" s="56">
        <v>1730</v>
      </c>
      <c r="X796" s="56">
        <v>1970</v>
      </c>
      <c r="Y796" s="56">
        <v>6.2</v>
      </c>
    </row>
    <row r="797" spans="1:25" x14ac:dyDescent="0.3">
      <c r="A797" s="155"/>
      <c r="B797" s="147"/>
      <c r="C797" s="71" t="s">
        <v>89</v>
      </c>
      <c r="M797" s="77"/>
      <c r="N797" s="77"/>
      <c r="O797" s="77"/>
      <c r="P797" s="77"/>
      <c r="Q797" s="77"/>
      <c r="R797" s="77"/>
      <c r="S797" s="77"/>
      <c r="T797" s="132"/>
      <c r="U797" s="77"/>
      <c r="V797" s="159"/>
    </row>
    <row r="798" spans="1:25" ht="39.9" x14ac:dyDescent="0.3">
      <c r="A798" s="156"/>
      <c r="B798" s="149"/>
      <c r="C798" s="71" t="s">
        <v>123</v>
      </c>
      <c r="D798" s="38" t="str">
        <f t="shared" ref="D798:L798" si="262">IF(((D796="")*AND(D797="")),"",(D796-D797)*1)</f>
        <v/>
      </c>
      <c r="E798" s="38" t="str">
        <f t="shared" si="262"/>
        <v/>
      </c>
      <c r="F798" s="38" t="str">
        <f t="shared" si="262"/>
        <v/>
      </c>
      <c r="G798" s="38" t="str">
        <f t="shared" si="262"/>
        <v/>
      </c>
      <c r="H798" s="38" t="str">
        <f t="shared" si="262"/>
        <v/>
      </c>
      <c r="I798" s="38" t="str">
        <f t="shared" si="262"/>
        <v/>
      </c>
      <c r="J798" s="38" t="str">
        <f t="shared" si="262"/>
        <v/>
      </c>
      <c r="K798" s="38" t="str">
        <f t="shared" si="262"/>
        <v/>
      </c>
      <c r="L798" s="38" t="str">
        <f t="shared" si="262"/>
        <v/>
      </c>
      <c r="M798" s="135"/>
      <c r="N798" s="135"/>
      <c r="O798" s="135"/>
      <c r="P798" s="135"/>
      <c r="Q798" s="135"/>
      <c r="R798" s="135"/>
      <c r="S798" s="135"/>
      <c r="T798" s="136"/>
      <c r="U798" s="135"/>
      <c r="V798" s="159"/>
    </row>
    <row r="799" spans="1:25" x14ac:dyDescent="0.3">
      <c r="A799" s="154"/>
      <c r="B799" s="129" t="s">
        <v>124</v>
      </c>
      <c r="C799" s="71" t="s">
        <v>88</v>
      </c>
      <c r="M799" s="69" t="str">
        <f>IF((L800=""),"",MAX(D801:L801))</f>
        <v/>
      </c>
      <c r="N799" s="69" t="str">
        <f>IF(L800="","",MIN(D801:L801))</f>
        <v/>
      </c>
      <c r="O799" s="69" t="str">
        <f>IF((L801=""),"",AVERAGE(D801:L801))</f>
        <v/>
      </c>
      <c r="P799" s="69">
        <v>1600</v>
      </c>
      <c r="Q799" s="69">
        <v>2000</v>
      </c>
      <c r="R799" s="69" t="str">
        <f>IF((L800=""),"",((M799-N799)/(M799+N799))*100)</f>
        <v/>
      </c>
      <c r="S799" s="69">
        <v>23</v>
      </c>
      <c r="T799" s="130" t="str">
        <f>IF(L800="","",IF(R800&lt;20,(IF(O799&gt;1730,IF(O799&lt;1970,"Pass","Fail"),"Fail"))))</f>
        <v/>
      </c>
      <c r="U799" s="153"/>
      <c r="V799" s="159"/>
      <c r="W799" s="56">
        <v>1730</v>
      </c>
      <c r="X799" s="56">
        <v>1970</v>
      </c>
      <c r="Y799" s="56">
        <v>6.2</v>
      </c>
    </row>
    <row r="800" spans="1:25" x14ac:dyDescent="0.3">
      <c r="A800" s="155"/>
      <c r="B800" s="147"/>
      <c r="C800" s="71" t="s">
        <v>89</v>
      </c>
      <c r="M800" s="77"/>
      <c r="N800" s="77"/>
      <c r="O800" s="77"/>
      <c r="P800" s="77"/>
      <c r="Q800" s="77"/>
      <c r="R800" s="77"/>
      <c r="S800" s="77"/>
      <c r="T800" s="132"/>
      <c r="U800" s="77"/>
      <c r="V800" s="159"/>
    </row>
    <row r="801" spans="1:25" ht="39.9" x14ac:dyDescent="0.3">
      <c r="A801" s="156"/>
      <c r="B801" s="149"/>
      <c r="C801" s="71" t="s">
        <v>123</v>
      </c>
      <c r="D801" s="38" t="str">
        <f t="shared" ref="D801:L801" si="263">IF(((D799="")*AND(D800="")),"",(D799-D800)*1)</f>
        <v/>
      </c>
      <c r="E801" s="38" t="str">
        <f t="shared" si="263"/>
        <v/>
      </c>
      <c r="F801" s="38" t="str">
        <f t="shared" si="263"/>
        <v/>
      </c>
      <c r="G801" s="38" t="str">
        <f t="shared" si="263"/>
        <v/>
      </c>
      <c r="H801" s="38" t="str">
        <f t="shared" si="263"/>
        <v/>
      </c>
      <c r="I801" s="38" t="str">
        <f t="shared" si="263"/>
        <v/>
      </c>
      <c r="J801" s="38" t="str">
        <f t="shared" si="263"/>
        <v/>
      </c>
      <c r="K801" s="38" t="str">
        <f t="shared" si="263"/>
        <v/>
      </c>
      <c r="L801" s="38" t="str">
        <f t="shared" si="263"/>
        <v/>
      </c>
      <c r="M801" s="135"/>
      <c r="N801" s="135"/>
      <c r="O801" s="135"/>
      <c r="P801" s="135"/>
      <c r="Q801" s="135"/>
      <c r="R801" s="135"/>
      <c r="S801" s="135"/>
      <c r="T801" s="136"/>
      <c r="U801" s="135"/>
      <c r="V801" s="159"/>
    </row>
    <row r="802" spans="1:25" x14ac:dyDescent="0.3">
      <c r="A802" s="154"/>
      <c r="B802" s="129" t="s">
        <v>124</v>
      </c>
      <c r="C802" s="71" t="s">
        <v>88</v>
      </c>
      <c r="M802" s="69" t="str">
        <f>IF((L803=""),"",MAX(D804:L804))</f>
        <v/>
      </c>
      <c r="N802" s="69" t="str">
        <f>IF(L803="","",MIN(D804:L804))</f>
        <v/>
      </c>
      <c r="O802" s="69" t="str">
        <f>IF((L804=""),"",AVERAGE(D804:L804))</f>
        <v/>
      </c>
      <c r="P802" s="69">
        <v>1600</v>
      </c>
      <c r="Q802" s="69">
        <v>2000</v>
      </c>
      <c r="R802" s="69" t="str">
        <f>IF((L803=""),"",((M802-N802)/(M802+N802))*100)</f>
        <v/>
      </c>
      <c r="S802" s="69">
        <v>23</v>
      </c>
      <c r="T802" s="130" t="str">
        <f>IF(L803="","",IF(R803&lt;20,(IF(O802&gt;1730,IF(O802&lt;1970,"Pass","Fail"),"Fail"))))</f>
        <v/>
      </c>
      <c r="U802" s="153"/>
      <c r="V802" s="159"/>
      <c r="W802" s="56">
        <v>1730</v>
      </c>
      <c r="X802" s="56">
        <v>1970</v>
      </c>
      <c r="Y802" s="56">
        <v>6.2</v>
      </c>
    </row>
    <row r="803" spans="1:25" x14ac:dyDescent="0.3">
      <c r="A803" s="155"/>
      <c r="B803" s="147"/>
      <c r="C803" s="71" t="s">
        <v>89</v>
      </c>
      <c r="M803" s="77"/>
      <c r="N803" s="77"/>
      <c r="O803" s="77"/>
      <c r="P803" s="77"/>
      <c r="Q803" s="77"/>
      <c r="R803" s="77"/>
      <c r="S803" s="77"/>
      <c r="T803" s="132"/>
      <c r="U803" s="77"/>
      <c r="V803" s="159"/>
    </row>
    <row r="804" spans="1:25" ht="39.9" x14ac:dyDescent="0.3">
      <c r="A804" s="156"/>
      <c r="B804" s="149"/>
      <c r="C804" s="71" t="s">
        <v>123</v>
      </c>
      <c r="D804" s="38" t="str">
        <f t="shared" ref="D804:L804" si="264">IF(((D802="")*AND(D803="")),"",(D802-D803)*1)</f>
        <v/>
      </c>
      <c r="E804" s="38" t="str">
        <f t="shared" si="264"/>
        <v/>
      </c>
      <c r="F804" s="38" t="str">
        <f t="shared" si="264"/>
        <v/>
      </c>
      <c r="G804" s="38" t="str">
        <f t="shared" si="264"/>
        <v/>
      </c>
      <c r="H804" s="38" t="str">
        <f t="shared" si="264"/>
        <v/>
      </c>
      <c r="I804" s="38" t="str">
        <f t="shared" si="264"/>
        <v/>
      </c>
      <c r="J804" s="38" t="str">
        <f t="shared" si="264"/>
        <v/>
      </c>
      <c r="K804" s="38" t="str">
        <f t="shared" si="264"/>
        <v/>
      </c>
      <c r="L804" s="38" t="str">
        <f t="shared" si="264"/>
        <v/>
      </c>
      <c r="M804" s="135"/>
      <c r="N804" s="135"/>
      <c r="O804" s="135"/>
      <c r="P804" s="135"/>
      <c r="Q804" s="135"/>
      <c r="R804" s="135"/>
      <c r="S804" s="135"/>
      <c r="T804" s="136"/>
      <c r="U804" s="135"/>
      <c r="V804" s="159"/>
    </row>
    <row r="805" spans="1:25" x14ac:dyDescent="0.3">
      <c r="A805" s="154"/>
      <c r="B805" s="129" t="s">
        <v>124</v>
      </c>
      <c r="C805" s="71" t="s">
        <v>88</v>
      </c>
      <c r="M805" s="69" t="str">
        <f>IF((L806=""),"",MAX(D807:L807))</f>
        <v/>
      </c>
      <c r="N805" s="69" t="str">
        <f>IF(L806="","",MIN(D807:L807))</f>
        <v/>
      </c>
      <c r="O805" s="69" t="str">
        <f>IF((L807=""),"",AVERAGE(D807:L807))</f>
        <v/>
      </c>
      <c r="P805" s="69">
        <v>1600</v>
      </c>
      <c r="Q805" s="69">
        <v>2000</v>
      </c>
      <c r="R805" s="69" t="str">
        <f>IF((L806=""),"",((M805-N805)/(M805+N805))*100)</f>
        <v/>
      </c>
      <c r="S805" s="69">
        <v>23</v>
      </c>
      <c r="T805" s="130" t="str">
        <f>IF(L806="","",IF(R806&lt;20,(IF(O805&gt;1730,IF(O805&lt;1970,"Pass","Fail"),"Fail"))))</f>
        <v/>
      </c>
      <c r="U805" s="153"/>
      <c r="V805" s="159"/>
      <c r="W805" s="56">
        <v>1730</v>
      </c>
      <c r="X805" s="56">
        <v>1970</v>
      </c>
      <c r="Y805" s="56">
        <v>6.2</v>
      </c>
    </row>
    <row r="806" spans="1:25" x14ac:dyDescent="0.3">
      <c r="A806" s="155"/>
      <c r="B806" s="147"/>
      <c r="C806" s="71" t="s">
        <v>89</v>
      </c>
      <c r="M806" s="77"/>
      <c r="N806" s="77"/>
      <c r="O806" s="77"/>
      <c r="P806" s="77"/>
      <c r="Q806" s="77"/>
      <c r="R806" s="77"/>
      <c r="S806" s="77"/>
      <c r="T806" s="132"/>
      <c r="U806" s="77"/>
      <c r="V806" s="159"/>
    </row>
    <row r="807" spans="1:25" ht="39.9" x14ac:dyDescent="0.3">
      <c r="A807" s="156"/>
      <c r="B807" s="149"/>
      <c r="C807" s="71" t="s">
        <v>123</v>
      </c>
      <c r="D807" s="38" t="str">
        <f t="shared" ref="D807:L807" si="265">IF(((D805="")*AND(D806="")),"",(D805-D806)*1)</f>
        <v/>
      </c>
      <c r="E807" s="38" t="str">
        <f t="shared" si="265"/>
        <v/>
      </c>
      <c r="F807" s="38" t="str">
        <f t="shared" si="265"/>
        <v/>
      </c>
      <c r="G807" s="38" t="str">
        <f t="shared" si="265"/>
        <v/>
      </c>
      <c r="H807" s="38" t="str">
        <f t="shared" si="265"/>
        <v/>
      </c>
      <c r="I807" s="38" t="str">
        <f t="shared" si="265"/>
        <v/>
      </c>
      <c r="J807" s="38" t="str">
        <f t="shared" si="265"/>
        <v/>
      </c>
      <c r="K807" s="38" t="str">
        <f t="shared" si="265"/>
        <v/>
      </c>
      <c r="L807" s="38" t="str">
        <f t="shared" si="265"/>
        <v/>
      </c>
      <c r="M807" s="135"/>
      <c r="N807" s="135"/>
      <c r="O807" s="135"/>
      <c r="P807" s="135"/>
      <c r="Q807" s="135"/>
      <c r="R807" s="135"/>
      <c r="S807" s="135"/>
      <c r="T807" s="136"/>
      <c r="U807" s="135"/>
      <c r="V807" s="159"/>
    </row>
    <row r="808" spans="1:25" x14ac:dyDescent="0.3">
      <c r="A808" s="154"/>
      <c r="B808" s="129" t="s">
        <v>124</v>
      </c>
      <c r="C808" s="71" t="s">
        <v>88</v>
      </c>
      <c r="M808" s="69" t="str">
        <f>IF((L809=""),"",MAX(D810:L810))</f>
        <v/>
      </c>
      <c r="N808" s="69" t="str">
        <f>IF(L809="","",MIN(D810:L810))</f>
        <v/>
      </c>
      <c r="O808" s="69" t="str">
        <f>IF((L810=""),"",AVERAGE(D810:L810))</f>
        <v/>
      </c>
      <c r="P808" s="69">
        <v>1600</v>
      </c>
      <c r="Q808" s="69">
        <v>2000</v>
      </c>
      <c r="R808" s="69" t="str">
        <f>IF((L809=""),"",((M808-N808)/(M808+N808))*100)</f>
        <v/>
      </c>
      <c r="S808" s="69">
        <v>23</v>
      </c>
      <c r="T808" s="130" t="str">
        <f>IF(L809="","",IF(R809&lt;20,(IF(O808&gt;1730,IF(O808&lt;1970,"Pass","Fail"),"Fail"))))</f>
        <v/>
      </c>
      <c r="U808" s="153"/>
      <c r="V808" s="159"/>
      <c r="W808" s="56">
        <v>1730</v>
      </c>
      <c r="X808" s="56">
        <v>1970</v>
      </c>
      <c r="Y808" s="56">
        <v>6.2</v>
      </c>
    </row>
    <row r="809" spans="1:25" x14ac:dyDescent="0.3">
      <c r="A809" s="155"/>
      <c r="B809" s="147"/>
      <c r="C809" s="71" t="s">
        <v>89</v>
      </c>
      <c r="M809" s="77"/>
      <c r="N809" s="77"/>
      <c r="O809" s="77"/>
      <c r="P809" s="77"/>
      <c r="Q809" s="77"/>
      <c r="R809" s="77"/>
      <c r="S809" s="77"/>
      <c r="T809" s="132"/>
      <c r="U809" s="77"/>
      <c r="V809" s="159"/>
    </row>
    <row r="810" spans="1:25" ht="39.9" x14ac:dyDescent="0.3">
      <c r="A810" s="156"/>
      <c r="B810" s="149"/>
      <c r="C810" s="71" t="s">
        <v>123</v>
      </c>
      <c r="D810" s="38" t="str">
        <f t="shared" ref="D810:L810" si="266">IF(((D808="")*AND(D809="")),"",(D808-D809)*1)</f>
        <v/>
      </c>
      <c r="E810" s="38" t="str">
        <f t="shared" si="266"/>
        <v/>
      </c>
      <c r="F810" s="38" t="str">
        <f t="shared" si="266"/>
        <v/>
      </c>
      <c r="G810" s="38" t="str">
        <f t="shared" si="266"/>
        <v/>
      </c>
      <c r="H810" s="38" t="str">
        <f t="shared" si="266"/>
        <v/>
      </c>
      <c r="I810" s="38" t="str">
        <f t="shared" si="266"/>
        <v/>
      </c>
      <c r="J810" s="38" t="str">
        <f t="shared" si="266"/>
        <v/>
      </c>
      <c r="K810" s="38" t="str">
        <f t="shared" si="266"/>
        <v/>
      </c>
      <c r="L810" s="38" t="str">
        <f t="shared" si="266"/>
        <v/>
      </c>
      <c r="M810" s="135"/>
      <c r="N810" s="135"/>
      <c r="O810" s="135"/>
      <c r="P810" s="135"/>
      <c r="Q810" s="135"/>
      <c r="R810" s="135"/>
      <c r="S810" s="135"/>
      <c r="T810" s="136"/>
      <c r="U810" s="135"/>
      <c r="V810" s="159"/>
    </row>
    <row r="811" spans="1:25" x14ac:dyDescent="0.3">
      <c r="A811" s="154"/>
      <c r="B811" s="129" t="s">
        <v>124</v>
      </c>
      <c r="C811" s="71" t="s">
        <v>88</v>
      </c>
      <c r="M811" s="69" t="str">
        <f>IF((L812=""),"",MAX(D813:L813))</f>
        <v/>
      </c>
      <c r="N811" s="69" t="str">
        <f>IF(L812="","",MIN(D813:L813))</f>
        <v/>
      </c>
      <c r="O811" s="69" t="str">
        <f>IF((L813=""),"",AVERAGE(D813:L813))</f>
        <v/>
      </c>
      <c r="P811" s="69">
        <v>1600</v>
      </c>
      <c r="Q811" s="69">
        <v>2000</v>
      </c>
      <c r="R811" s="69" t="str">
        <f>IF((L812=""),"",((M811-N811)/(M811+N811))*100)</f>
        <v/>
      </c>
      <c r="S811" s="69">
        <v>23</v>
      </c>
      <c r="T811" s="130" t="str">
        <f>IF(L812="","",IF(R812&lt;20,(IF(O811&gt;1730,IF(O811&lt;1970,"Pass","Fail"),"Fail"))))</f>
        <v/>
      </c>
      <c r="U811" s="153"/>
      <c r="V811" s="159"/>
      <c r="W811" s="56">
        <v>1730</v>
      </c>
      <c r="X811" s="56">
        <v>1970</v>
      </c>
      <c r="Y811" s="56">
        <v>6.2</v>
      </c>
    </row>
    <row r="812" spans="1:25" x14ac:dyDescent="0.3">
      <c r="A812" s="155"/>
      <c r="B812" s="147"/>
      <c r="C812" s="71" t="s">
        <v>89</v>
      </c>
      <c r="M812" s="77"/>
      <c r="N812" s="77"/>
      <c r="O812" s="77"/>
      <c r="P812" s="77"/>
      <c r="Q812" s="77"/>
      <c r="R812" s="77"/>
      <c r="S812" s="77"/>
      <c r="T812" s="132"/>
      <c r="U812" s="77"/>
      <c r="V812" s="159"/>
    </row>
    <row r="813" spans="1:25" ht="39.9" x14ac:dyDescent="0.3">
      <c r="A813" s="156"/>
      <c r="B813" s="149"/>
      <c r="C813" s="71" t="s">
        <v>123</v>
      </c>
      <c r="D813" s="38" t="str">
        <f t="shared" ref="D813:L813" si="267">IF(((D811="")*AND(D812="")),"",(D811-D812)*1)</f>
        <v/>
      </c>
      <c r="E813" s="38" t="str">
        <f t="shared" si="267"/>
        <v/>
      </c>
      <c r="F813" s="38" t="str">
        <f t="shared" si="267"/>
        <v/>
      </c>
      <c r="G813" s="38" t="str">
        <f t="shared" si="267"/>
        <v/>
      </c>
      <c r="H813" s="38" t="str">
        <f t="shared" si="267"/>
        <v/>
      </c>
      <c r="I813" s="38" t="str">
        <f t="shared" si="267"/>
        <v/>
      </c>
      <c r="J813" s="38" t="str">
        <f t="shared" si="267"/>
        <v/>
      </c>
      <c r="K813" s="38" t="str">
        <f t="shared" si="267"/>
        <v/>
      </c>
      <c r="L813" s="38" t="str">
        <f t="shared" si="267"/>
        <v/>
      </c>
      <c r="M813" s="135"/>
      <c r="N813" s="135"/>
      <c r="O813" s="135"/>
      <c r="P813" s="135"/>
      <c r="Q813" s="135"/>
      <c r="R813" s="135"/>
      <c r="S813" s="135"/>
      <c r="T813" s="136"/>
      <c r="U813" s="135"/>
      <c r="V813" s="159"/>
    </row>
    <row r="814" spans="1:25" x14ac:dyDescent="0.3">
      <c r="A814" s="154"/>
      <c r="B814" s="129" t="s">
        <v>124</v>
      </c>
      <c r="C814" s="71" t="s">
        <v>88</v>
      </c>
      <c r="M814" s="69" t="str">
        <f>IF((L815=""),"",MAX(D816:L816))</f>
        <v/>
      </c>
      <c r="N814" s="69" t="str">
        <f>IF(L815="","",MIN(D816:L816))</f>
        <v/>
      </c>
      <c r="O814" s="69" t="str">
        <f>IF((L816=""),"",AVERAGE(D816:L816))</f>
        <v/>
      </c>
      <c r="P814" s="69">
        <v>1600</v>
      </c>
      <c r="Q814" s="69">
        <v>2000</v>
      </c>
      <c r="R814" s="69" t="str">
        <f>IF((L815=""),"",((M814-N814)/(M814+N814))*100)</f>
        <v/>
      </c>
      <c r="S814" s="69">
        <v>23</v>
      </c>
      <c r="T814" s="130" t="str">
        <f>IF(L815="","",IF(R815&lt;20,(IF(O814&gt;1730,IF(O814&lt;1970,"Pass","Fail"),"Fail"))))</f>
        <v/>
      </c>
      <c r="U814" s="153"/>
      <c r="V814" s="159"/>
      <c r="W814" s="56">
        <v>1730</v>
      </c>
      <c r="X814" s="56">
        <v>1970</v>
      </c>
      <c r="Y814" s="56">
        <v>6.2</v>
      </c>
    </row>
    <row r="815" spans="1:25" x14ac:dyDescent="0.3">
      <c r="A815" s="155"/>
      <c r="B815" s="147"/>
      <c r="C815" s="71" t="s">
        <v>89</v>
      </c>
      <c r="M815" s="77"/>
      <c r="N815" s="77"/>
      <c r="O815" s="77"/>
      <c r="P815" s="77"/>
      <c r="Q815" s="77"/>
      <c r="R815" s="77"/>
      <c r="S815" s="77"/>
      <c r="T815" s="132"/>
      <c r="U815" s="77"/>
      <c r="V815" s="159"/>
    </row>
    <row r="816" spans="1:25" ht="39.9" x14ac:dyDescent="0.3">
      <c r="A816" s="156"/>
      <c r="B816" s="149"/>
      <c r="C816" s="71" t="s">
        <v>123</v>
      </c>
      <c r="D816" s="38" t="str">
        <f t="shared" ref="D816:L816" si="268">IF(((D814="")*AND(D815="")),"",(D814-D815)*1)</f>
        <v/>
      </c>
      <c r="E816" s="38" t="str">
        <f t="shared" si="268"/>
        <v/>
      </c>
      <c r="F816" s="38" t="str">
        <f t="shared" si="268"/>
        <v/>
      </c>
      <c r="G816" s="38" t="str">
        <f t="shared" si="268"/>
        <v/>
      </c>
      <c r="H816" s="38" t="str">
        <f t="shared" si="268"/>
        <v/>
      </c>
      <c r="I816" s="38" t="str">
        <f t="shared" si="268"/>
        <v/>
      </c>
      <c r="J816" s="38" t="str">
        <f t="shared" si="268"/>
        <v/>
      </c>
      <c r="K816" s="38" t="str">
        <f t="shared" si="268"/>
        <v/>
      </c>
      <c r="L816" s="38" t="str">
        <f t="shared" si="268"/>
        <v/>
      </c>
      <c r="M816" s="135"/>
      <c r="N816" s="135"/>
      <c r="O816" s="135"/>
      <c r="P816" s="135"/>
      <c r="Q816" s="135"/>
      <c r="R816" s="135"/>
      <c r="S816" s="135"/>
      <c r="T816" s="136"/>
      <c r="U816" s="135"/>
      <c r="V816" s="159"/>
    </row>
    <row r="817" spans="1:25" x14ac:dyDescent="0.3">
      <c r="A817" s="154"/>
      <c r="B817" s="129" t="s">
        <v>124</v>
      </c>
      <c r="C817" s="71" t="s">
        <v>88</v>
      </c>
      <c r="M817" s="69" t="str">
        <f>IF((L818=""),"",MAX(D819:L819))</f>
        <v/>
      </c>
      <c r="N817" s="69" t="str">
        <f>IF(L818="","",MIN(D819:L819))</f>
        <v/>
      </c>
      <c r="O817" s="69" t="str">
        <f>IF((L819=""),"",AVERAGE(D819:L819))</f>
        <v/>
      </c>
      <c r="P817" s="69">
        <v>1600</v>
      </c>
      <c r="Q817" s="69">
        <v>2000</v>
      </c>
      <c r="R817" s="69" t="str">
        <f>IF((L818=""),"",((M817-N817)/(M817+N817))*100)</f>
        <v/>
      </c>
      <c r="S817" s="69">
        <v>23</v>
      </c>
      <c r="T817" s="130" t="str">
        <f>IF(L818="","",IF(R818&lt;20,(IF(O817&gt;1730,IF(O817&lt;1970,"Pass","Fail"),"Fail"))))</f>
        <v/>
      </c>
      <c r="U817" s="153"/>
      <c r="V817" s="159"/>
      <c r="W817" s="56">
        <v>1730</v>
      </c>
      <c r="X817" s="56">
        <v>1970</v>
      </c>
      <c r="Y817" s="56">
        <v>6.2</v>
      </c>
    </row>
    <row r="818" spans="1:25" x14ac:dyDescent="0.3">
      <c r="A818" s="155"/>
      <c r="B818" s="147"/>
      <c r="C818" s="71" t="s">
        <v>89</v>
      </c>
      <c r="M818" s="77"/>
      <c r="N818" s="77"/>
      <c r="O818" s="77"/>
      <c r="P818" s="77"/>
      <c r="Q818" s="77"/>
      <c r="R818" s="77"/>
      <c r="S818" s="77"/>
      <c r="T818" s="132"/>
      <c r="U818" s="77"/>
      <c r="V818" s="159"/>
    </row>
    <row r="819" spans="1:25" ht="39.9" x14ac:dyDescent="0.3">
      <c r="A819" s="156"/>
      <c r="B819" s="149"/>
      <c r="C819" s="71" t="s">
        <v>123</v>
      </c>
      <c r="D819" s="38" t="str">
        <f t="shared" ref="D819:L819" si="269">IF(((D817="")*AND(D818="")),"",(D817-D818)*1)</f>
        <v/>
      </c>
      <c r="E819" s="38" t="str">
        <f t="shared" si="269"/>
        <v/>
      </c>
      <c r="F819" s="38" t="str">
        <f t="shared" si="269"/>
        <v/>
      </c>
      <c r="G819" s="38" t="str">
        <f t="shared" si="269"/>
        <v/>
      </c>
      <c r="H819" s="38" t="str">
        <f t="shared" si="269"/>
        <v/>
      </c>
      <c r="I819" s="38" t="str">
        <f t="shared" si="269"/>
        <v/>
      </c>
      <c r="J819" s="38" t="str">
        <f t="shared" si="269"/>
        <v/>
      </c>
      <c r="K819" s="38" t="str">
        <f t="shared" si="269"/>
        <v/>
      </c>
      <c r="L819" s="38" t="str">
        <f t="shared" si="269"/>
        <v/>
      </c>
      <c r="M819" s="135"/>
      <c r="N819" s="135"/>
      <c r="O819" s="135"/>
      <c r="P819" s="135"/>
      <c r="Q819" s="135"/>
      <c r="R819" s="135"/>
      <c r="S819" s="135"/>
      <c r="T819" s="136"/>
      <c r="U819" s="135"/>
      <c r="V819" s="159"/>
    </row>
    <row r="820" spans="1:25" x14ac:dyDescent="0.3">
      <c r="A820" s="154"/>
      <c r="B820" s="129" t="s">
        <v>124</v>
      </c>
      <c r="C820" s="71" t="s">
        <v>88</v>
      </c>
      <c r="M820" s="69" t="str">
        <f>IF((L821=""),"",MAX(D822:L822))</f>
        <v/>
      </c>
      <c r="N820" s="69" t="str">
        <f>IF(L821="","",MIN(D822:L822))</f>
        <v/>
      </c>
      <c r="O820" s="69" t="str">
        <f>IF((L822=""),"",AVERAGE(D822:L822))</f>
        <v/>
      </c>
      <c r="P820" s="69">
        <v>1600</v>
      </c>
      <c r="Q820" s="69">
        <v>2000</v>
      </c>
      <c r="R820" s="69" t="str">
        <f>IF((L821=""),"",((M820-N820)/(M820+N820))*100)</f>
        <v/>
      </c>
      <c r="S820" s="69">
        <v>23</v>
      </c>
      <c r="T820" s="130" t="str">
        <f>IF(L821="","",IF(R821&lt;20,(IF(O820&gt;1730,IF(O820&lt;1970,"Pass","Fail"),"Fail"))))</f>
        <v/>
      </c>
      <c r="U820" s="153"/>
      <c r="V820" s="159"/>
      <c r="W820" s="56">
        <v>1730</v>
      </c>
      <c r="X820" s="56">
        <v>1970</v>
      </c>
      <c r="Y820" s="56">
        <v>6.2</v>
      </c>
    </row>
    <row r="821" spans="1:25" x14ac:dyDescent="0.3">
      <c r="A821" s="155"/>
      <c r="B821" s="147"/>
      <c r="C821" s="71" t="s">
        <v>89</v>
      </c>
      <c r="M821" s="77"/>
      <c r="N821" s="77"/>
      <c r="O821" s="77"/>
      <c r="P821" s="77"/>
      <c r="Q821" s="77"/>
      <c r="R821" s="77"/>
      <c r="S821" s="77"/>
      <c r="T821" s="132"/>
      <c r="U821" s="77"/>
      <c r="V821" s="159"/>
    </row>
    <row r="822" spans="1:25" ht="39.9" x14ac:dyDescent="0.3">
      <c r="A822" s="156"/>
      <c r="B822" s="149"/>
      <c r="C822" s="71" t="s">
        <v>123</v>
      </c>
      <c r="D822" s="38" t="str">
        <f t="shared" ref="D822:L822" si="270">IF(((D820="")*AND(D821="")),"",(D820-D821)*1)</f>
        <v/>
      </c>
      <c r="E822" s="38" t="str">
        <f t="shared" si="270"/>
        <v/>
      </c>
      <c r="F822" s="38" t="str">
        <f t="shared" si="270"/>
        <v/>
      </c>
      <c r="G822" s="38" t="str">
        <f t="shared" si="270"/>
        <v/>
      </c>
      <c r="H822" s="38" t="str">
        <f t="shared" si="270"/>
        <v/>
      </c>
      <c r="I822" s="38" t="str">
        <f t="shared" si="270"/>
        <v/>
      </c>
      <c r="J822" s="38" t="str">
        <f t="shared" si="270"/>
        <v/>
      </c>
      <c r="K822" s="38" t="str">
        <f t="shared" si="270"/>
        <v/>
      </c>
      <c r="L822" s="38" t="str">
        <f t="shared" si="270"/>
        <v/>
      </c>
      <c r="M822" s="135"/>
      <c r="N822" s="135"/>
      <c r="O822" s="135"/>
      <c r="P822" s="135"/>
      <c r="Q822" s="135"/>
      <c r="R822" s="135"/>
      <c r="S822" s="135"/>
      <c r="T822" s="136"/>
      <c r="U822" s="135"/>
      <c r="V822" s="159"/>
    </row>
    <row r="823" spans="1:25" x14ac:dyDescent="0.3">
      <c r="A823" s="154"/>
      <c r="B823" s="129" t="s">
        <v>124</v>
      </c>
      <c r="C823" s="71" t="s">
        <v>88</v>
      </c>
      <c r="M823" s="69" t="str">
        <f>IF((L824=""),"",MAX(D825:L825))</f>
        <v/>
      </c>
      <c r="N823" s="69" t="str">
        <f>IF(L824="","",MIN(D825:L825))</f>
        <v/>
      </c>
      <c r="O823" s="69" t="str">
        <f>IF((L825=""),"",AVERAGE(D825:L825))</f>
        <v/>
      </c>
      <c r="P823" s="69">
        <v>1600</v>
      </c>
      <c r="Q823" s="69">
        <v>2000</v>
      </c>
      <c r="R823" s="69" t="str">
        <f>IF((L824=""),"",((M823-N823)/(M823+N823))*100)</f>
        <v/>
      </c>
      <c r="S823" s="69">
        <v>23</v>
      </c>
      <c r="T823" s="130" t="str">
        <f>IF(L824="","",IF(R824&lt;20,(IF(O823&gt;1730,IF(O823&lt;1970,"Pass","Fail"),"Fail"))))</f>
        <v/>
      </c>
      <c r="U823" s="153"/>
      <c r="V823" s="159"/>
      <c r="W823" s="56">
        <v>1730</v>
      </c>
      <c r="X823" s="56">
        <v>1970</v>
      </c>
      <c r="Y823" s="56">
        <v>6.2</v>
      </c>
    </row>
    <row r="824" spans="1:25" x14ac:dyDescent="0.3">
      <c r="A824" s="155"/>
      <c r="B824" s="147"/>
      <c r="C824" s="71" t="s">
        <v>89</v>
      </c>
      <c r="M824" s="77"/>
      <c r="N824" s="77"/>
      <c r="O824" s="77"/>
      <c r="P824" s="77"/>
      <c r="Q824" s="77"/>
      <c r="R824" s="77"/>
      <c r="S824" s="77"/>
      <c r="T824" s="132"/>
      <c r="U824" s="77"/>
      <c r="V824" s="159"/>
    </row>
    <row r="825" spans="1:25" ht="39.9" x14ac:dyDescent="0.3">
      <c r="A825" s="156"/>
      <c r="B825" s="149"/>
      <c r="C825" s="71" t="s">
        <v>123</v>
      </c>
      <c r="D825" s="38" t="str">
        <f t="shared" ref="D825:L825" si="271">IF(((D823="")*AND(D824="")),"",(D823-D824)*1)</f>
        <v/>
      </c>
      <c r="E825" s="38" t="str">
        <f t="shared" si="271"/>
        <v/>
      </c>
      <c r="F825" s="38" t="str">
        <f t="shared" si="271"/>
        <v/>
      </c>
      <c r="G825" s="38" t="str">
        <f t="shared" si="271"/>
        <v/>
      </c>
      <c r="H825" s="38" t="str">
        <f t="shared" si="271"/>
        <v/>
      </c>
      <c r="I825" s="38" t="str">
        <f t="shared" si="271"/>
        <v/>
      </c>
      <c r="J825" s="38" t="str">
        <f t="shared" si="271"/>
        <v/>
      </c>
      <c r="K825" s="38" t="str">
        <f t="shared" si="271"/>
        <v/>
      </c>
      <c r="L825" s="38" t="str">
        <f t="shared" si="271"/>
        <v/>
      </c>
      <c r="M825" s="135"/>
      <c r="N825" s="135"/>
      <c r="O825" s="135"/>
      <c r="P825" s="135"/>
      <c r="Q825" s="135"/>
      <c r="R825" s="135"/>
      <c r="S825" s="135"/>
      <c r="T825" s="136"/>
      <c r="U825" s="135"/>
      <c r="V825" s="159"/>
    </row>
    <row r="826" spans="1:25" x14ac:dyDescent="0.3">
      <c r="A826" s="154"/>
      <c r="B826" s="129" t="s">
        <v>124</v>
      </c>
      <c r="C826" s="71" t="s">
        <v>88</v>
      </c>
      <c r="M826" s="69" t="str">
        <f>IF((L827=""),"",MAX(D828:L828))</f>
        <v/>
      </c>
      <c r="N826" s="69" t="str">
        <f>IF(L827="","",MIN(D828:L828))</f>
        <v/>
      </c>
      <c r="O826" s="69" t="str">
        <f>IF((L828=""),"",AVERAGE(D828:L828))</f>
        <v/>
      </c>
      <c r="P826" s="69">
        <v>1600</v>
      </c>
      <c r="Q826" s="69">
        <v>2000</v>
      </c>
      <c r="R826" s="69" t="str">
        <f>IF((L827=""),"",((M826-N826)/(M826+N826))*100)</f>
        <v/>
      </c>
      <c r="S826" s="69">
        <v>23</v>
      </c>
      <c r="T826" s="130" t="str">
        <f>IF(L827="","",IF(R827&lt;20,(IF(O826&gt;1730,IF(O826&lt;1970,"Pass","Fail"),"Fail"))))</f>
        <v/>
      </c>
      <c r="U826" s="153"/>
      <c r="V826" s="159"/>
      <c r="W826" s="56">
        <v>1730</v>
      </c>
      <c r="X826" s="56">
        <v>1970</v>
      </c>
      <c r="Y826" s="56">
        <v>6.2</v>
      </c>
    </row>
    <row r="827" spans="1:25" x14ac:dyDescent="0.3">
      <c r="A827" s="155"/>
      <c r="B827" s="147"/>
      <c r="C827" s="71" t="s">
        <v>89</v>
      </c>
      <c r="M827" s="77"/>
      <c r="N827" s="77"/>
      <c r="O827" s="77"/>
      <c r="P827" s="77"/>
      <c r="Q827" s="77"/>
      <c r="R827" s="77"/>
      <c r="S827" s="77"/>
      <c r="T827" s="132"/>
      <c r="U827" s="77"/>
      <c r="V827" s="159"/>
    </row>
    <row r="828" spans="1:25" ht="39.9" x14ac:dyDescent="0.3">
      <c r="A828" s="156"/>
      <c r="B828" s="149"/>
      <c r="C828" s="71" t="s">
        <v>123</v>
      </c>
      <c r="D828" s="38" t="str">
        <f t="shared" ref="D828:L828" si="272">IF(((D826="")*AND(D827="")),"",(D826-D827)*1)</f>
        <v/>
      </c>
      <c r="E828" s="38" t="str">
        <f t="shared" si="272"/>
        <v/>
      </c>
      <c r="F828" s="38" t="str">
        <f t="shared" si="272"/>
        <v/>
      </c>
      <c r="G828" s="38" t="str">
        <f t="shared" si="272"/>
        <v/>
      </c>
      <c r="H828" s="38" t="str">
        <f t="shared" si="272"/>
        <v/>
      </c>
      <c r="I828" s="38" t="str">
        <f t="shared" si="272"/>
        <v/>
      </c>
      <c r="J828" s="38" t="str">
        <f t="shared" si="272"/>
        <v/>
      </c>
      <c r="K828" s="38" t="str">
        <f t="shared" si="272"/>
        <v/>
      </c>
      <c r="L828" s="38" t="str">
        <f t="shared" si="272"/>
        <v/>
      </c>
      <c r="M828" s="135"/>
      <c r="N828" s="135"/>
      <c r="O828" s="135"/>
      <c r="P828" s="135"/>
      <c r="Q828" s="135"/>
      <c r="R828" s="135"/>
      <c r="S828" s="135"/>
      <c r="T828" s="136"/>
      <c r="U828" s="135"/>
      <c r="V828" s="159"/>
    </row>
    <row r="829" spans="1:25" x14ac:dyDescent="0.3">
      <c r="A829" s="154"/>
      <c r="B829" s="129" t="s">
        <v>124</v>
      </c>
      <c r="C829" s="71" t="s">
        <v>88</v>
      </c>
      <c r="M829" s="69" t="str">
        <f>IF((L830=""),"",MAX(D831:L831))</f>
        <v/>
      </c>
      <c r="N829" s="69" t="str">
        <f>IF(L830="","",MIN(D831:L831))</f>
        <v/>
      </c>
      <c r="O829" s="69" t="str">
        <f>IF((L831=""),"",AVERAGE(D831:L831))</f>
        <v/>
      </c>
      <c r="P829" s="69">
        <v>1600</v>
      </c>
      <c r="Q829" s="69">
        <v>2000</v>
      </c>
      <c r="R829" s="69" t="str">
        <f>IF((L830=""),"",((M829-N829)/(M829+N829))*100)</f>
        <v/>
      </c>
      <c r="S829" s="69">
        <v>23</v>
      </c>
      <c r="T829" s="130" t="str">
        <f>IF(L830="","",IF(R830&lt;20,(IF(O829&gt;1730,IF(O829&lt;1970,"Pass","Fail"),"Fail"))))</f>
        <v/>
      </c>
      <c r="U829" s="153"/>
      <c r="V829" s="159"/>
      <c r="W829" s="56">
        <v>1730</v>
      </c>
      <c r="X829" s="56">
        <v>1970</v>
      </c>
      <c r="Y829" s="56">
        <v>6.2</v>
      </c>
    </row>
    <row r="830" spans="1:25" x14ac:dyDescent="0.3">
      <c r="A830" s="155"/>
      <c r="B830" s="147"/>
      <c r="C830" s="71" t="s">
        <v>89</v>
      </c>
      <c r="M830" s="77"/>
      <c r="N830" s="77"/>
      <c r="O830" s="77"/>
      <c r="P830" s="77"/>
      <c r="Q830" s="77"/>
      <c r="R830" s="77"/>
      <c r="S830" s="77"/>
      <c r="T830" s="132"/>
      <c r="U830" s="77"/>
      <c r="V830" s="159"/>
    </row>
    <row r="831" spans="1:25" ht="39.9" x14ac:dyDescent="0.3">
      <c r="A831" s="156"/>
      <c r="B831" s="149"/>
      <c r="C831" s="71" t="s">
        <v>123</v>
      </c>
      <c r="D831" s="38" t="str">
        <f t="shared" ref="D831:L831" si="273">IF(((D829="")*AND(D830="")),"",(D829-D830)*1)</f>
        <v/>
      </c>
      <c r="E831" s="38" t="str">
        <f t="shared" si="273"/>
        <v/>
      </c>
      <c r="F831" s="38" t="str">
        <f t="shared" si="273"/>
        <v/>
      </c>
      <c r="G831" s="38" t="str">
        <f t="shared" si="273"/>
        <v/>
      </c>
      <c r="H831" s="38" t="str">
        <f t="shared" si="273"/>
        <v/>
      </c>
      <c r="I831" s="38" t="str">
        <f t="shared" si="273"/>
        <v/>
      </c>
      <c r="J831" s="38" t="str">
        <f t="shared" si="273"/>
        <v/>
      </c>
      <c r="K831" s="38" t="str">
        <f t="shared" si="273"/>
        <v/>
      </c>
      <c r="L831" s="38" t="str">
        <f t="shared" si="273"/>
        <v/>
      </c>
      <c r="M831" s="135"/>
      <c r="N831" s="135"/>
      <c r="O831" s="135"/>
      <c r="P831" s="135"/>
      <c r="Q831" s="135"/>
      <c r="R831" s="135"/>
      <c r="S831" s="135"/>
      <c r="T831" s="136"/>
      <c r="U831" s="135"/>
      <c r="V831" s="159"/>
    </row>
    <row r="832" spans="1:25" x14ac:dyDescent="0.3">
      <c r="A832" s="154"/>
      <c r="B832" s="129" t="s">
        <v>124</v>
      </c>
      <c r="C832" s="71" t="s">
        <v>88</v>
      </c>
      <c r="M832" s="69" t="str">
        <f>IF((L833=""),"",MAX(D834:L834))</f>
        <v/>
      </c>
      <c r="N832" s="69" t="str">
        <f>IF(L833="","",MIN(D834:L834))</f>
        <v/>
      </c>
      <c r="O832" s="69" t="str">
        <f>IF((L834=""),"",AVERAGE(D834:L834))</f>
        <v/>
      </c>
      <c r="P832" s="69">
        <v>1600</v>
      </c>
      <c r="Q832" s="69">
        <v>2000</v>
      </c>
      <c r="R832" s="69" t="str">
        <f>IF((L833=""),"",((M832-N832)/(M832+N832))*100)</f>
        <v/>
      </c>
      <c r="S832" s="69">
        <v>23</v>
      </c>
      <c r="T832" s="130" t="str">
        <f>IF(L833="","",IF(R833&lt;20,(IF(O832&gt;1730,IF(O832&lt;1970,"Pass","Fail"),"Fail"))))</f>
        <v/>
      </c>
      <c r="U832" s="153"/>
      <c r="V832" s="159"/>
      <c r="W832" s="56">
        <v>1730</v>
      </c>
      <c r="X832" s="56">
        <v>1970</v>
      </c>
      <c r="Y832" s="56">
        <v>6.2</v>
      </c>
    </row>
    <row r="833" spans="1:25" x14ac:dyDescent="0.3">
      <c r="A833" s="155"/>
      <c r="B833" s="147"/>
      <c r="C833" s="71" t="s">
        <v>89</v>
      </c>
      <c r="M833" s="77"/>
      <c r="N833" s="77"/>
      <c r="O833" s="77"/>
      <c r="P833" s="77"/>
      <c r="Q833" s="77"/>
      <c r="R833" s="77"/>
      <c r="S833" s="77"/>
      <c r="T833" s="132"/>
      <c r="U833" s="77"/>
      <c r="V833" s="159"/>
    </row>
    <row r="834" spans="1:25" ht="39.9" x14ac:dyDescent="0.3">
      <c r="A834" s="156"/>
      <c r="B834" s="149"/>
      <c r="C834" s="71" t="s">
        <v>123</v>
      </c>
      <c r="D834" s="38" t="str">
        <f t="shared" ref="D834:L834" si="274">IF(((D832="")*AND(D833="")),"",(D832-D833)*1)</f>
        <v/>
      </c>
      <c r="E834" s="38" t="str">
        <f t="shared" si="274"/>
        <v/>
      </c>
      <c r="F834" s="38" t="str">
        <f t="shared" si="274"/>
        <v/>
      </c>
      <c r="G834" s="38" t="str">
        <f t="shared" si="274"/>
        <v/>
      </c>
      <c r="H834" s="38" t="str">
        <f t="shared" si="274"/>
        <v/>
      </c>
      <c r="I834" s="38" t="str">
        <f t="shared" si="274"/>
        <v/>
      </c>
      <c r="J834" s="38" t="str">
        <f t="shared" si="274"/>
        <v/>
      </c>
      <c r="K834" s="38" t="str">
        <f t="shared" si="274"/>
        <v/>
      </c>
      <c r="L834" s="38" t="str">
        <f t="shared" si="274"/>
        <v/>
      </c>
      <c r="M834" s="135"/>
      <c r="N834" s="135"/>
      <c r="O834" s="135"/>
      <c r="P834" s="135"/>
      <c r="Q834" s="135"/>
      <c r="R834" s="135"/>
      <c r="S834" s="135"/>
      <c r="T834" s="136"/>
      <c r="U834" s="135"/>
      <c r="V834" s="159"/>
    </row>
    <row r="835" spans="1:25" x14ac:dyDescent="0.3">
      <c r="A835" s="154"/>
      <c r="B835" s="129" t="s">
        <v>124</v>
      </c>
      <c r="C835" s="71" t="s">
        <v>88</v>
      </c>
      <c r="M835" s="69" t="str">
        <f>IF((L836=""),"",MAX(D837:L837))</f>
        <v/>
      </c>
      <c r="N835" s="69" t="str">
        <f>IF(L836="","",MIN(D837:L837))</f>
        <v/>
      </c>
      <c r="O835" s="69" t="str">
        <f>IF((L837=""),"",AVERAGE(D837:L837))</f>
        <v/>
      </c>
      <c r="P835" s="69">
        <v>1600</v>
      </c>
      <c r="Q835" s="69">
        <v>2000</v>
      </c>
      <c r="R835" s="69" t="str">
        <f>IF((L836=""),"",((M835-N835)/(M835+N835))*100)</f>
        <v/>
      </c>
      <c r="S835" s="69">
        <v>23</v>
      </c>
      <c r="T835" s="130" t="str">
        <f>IF(L836="","",IF(R836&lt;20,(IF(O835&gt;1730,IF(O835&lt;1970,"Pass","Fail"),"Fail"))))</f>
        <v/>
      </c>
      <c r="U835" s="153"/>
      <c r="V835" s="159"/>
      <c r="W835" s="56">
        <v>1730</v>
      </c>
      <c r="X835" s="56">
        <v>1970</v>
      </c>
      <c r="Y835" s="56">
        <v>6.2</v>
      </c>
    </row>
    <row r="836" spans="1:25" x14ac:dyDescent="0.3">
      <c r="A836" s="155"/>
      <c r="B836" s="147"/>
      <c r="C836" s="71" t="s">
        <v>89</v>
      </c>
      <c r="M836" s="77"/>
      <c r="N836" s="77"/>
      <c r="O836" s="77"/>
      <c r="P836" s="77"/>
      <c r="Q836" s="77"/>
      <c r="R836" s="77"/>
      <c r="S836" s="77"/>
      <c r="T836" s="132"/>
      <c r="U836" s="77"/>
      <c r="V836" s="159"/>
    </row>
    <row r="837" spans="1:25" ht="39.9" x14ac:dyDescent="0.3">
      <c r="A837" s="156"/>
      <c r="B837" s="149"/>
      <c r="C837" s="71" t="s">
        <v>123</v>
      </c>
      <c r="D837" s="38" t="str">
        <f t="shared" ref="D837:L837" si="275">IF(((D835="")*AND(D836="")),"",(D835-D836)*1)</f>
        <v/>
      </c>
      <c r="E837" s="38" t="str">
        <f t="shared" si="275"/>
        <v/>
      </c>
      <c r="F837" s="38" t="str">
        <f t="shared" si="275"/>
        <v/>
      </c>
      <c r="G837" s="38" t="str">
        <f t="shared" si="275"/>
        <v/>
      </c>
      <c r="H837" s="38" t="str">
        <f t="shared" si="275"/>
        <v/>
      </c>
      <c r="I837" s="38" t="str">
        <f t="shared" si="275"/>
        <v/>
      </c>
      <c r="J837" s="38" t="str">
        <f t="shared" si="275"/>
        <v/>
      </c>
      <c r="K837" s="38" t="str">
        <f t="shared" si="275"/>
        <v/>
      </c>
      <c r="L837" s="38" t="str">
        <f t="shared" si="275"/>
        <v/>
      </c>
      <c r="M837" s="135"/>
      <c r="N837" s="135"/>
      <c r="O837" s="135"/>
      <c r="P837" s="135"/>
      <c r="Q837" s="135"/>
      <c r="R837" s="135"/>
      <c r="S837" s="135"/>
      <c r="T837" s="136"/>
      <c r="U837" s="135"/>
      <c r="V837" s="159"/>
    </row>
    <row r="838" spans="1:25" x14ac:dyDescent="0.3">
      <c r="A838" s="154"/>
      <c r="B838" s="129" t="s">
        <v>124</v>
      </c>
      <c r="C838" s="71" t="s">
        <v>88</v>
      </c>
      <c r="M838" s="69" t="str">
        <f>IF((L839=""),"",MAX(D840:L840))</f>
        <v/>
      </c>
      <c r="N838" s="69" t="str">
        <f>IF(L839="","",MIN(D840:L840))</f>
        <v/>
      </c>
      <c r="O838" s="69" t="str">
        <f>IF((L840=""),"",AVERAGE(D840:L840))</f>
        <v/>
      </c>
      <c r="P838" s="69">
        <v>1600</v>
      </c>
      <c r="Q838" s="69">
        <v>2000</v>
      </c>
      <c r="R838" s="69" t="str">
        <f>IF((L839=""),"",((M838-N838)/(M838+N838))*100)</f>
        <v/>
      </c>
      <c r="S838" s="69">
        <v>23</v>
      </c>
      <c r="T838" s="130" t="str">
        <f>IF(L839="","",IF(R839&lt;20,(IF(O838&gt;1730,IF(O838&lt;1970,"Pass","Fail"),"Fail"))))</f>
        <v/>
      </c>
      <c r="U838" s="153"/>
      <c r="V838" s="159"/>
      <c r="W838" s="56">
        <v>1730</v>
      </c>
      <c r="X838" s="56">
        <v>1970</v>
      </c>
      <c r="Y838" s="56">
        <v>6.2</v>
      </c>
    </row>
    <row r="839" spans="1:25" x14ac:dyDescent="0.3">
      <c r="A839" s="155"/>
      <c r="B839" s="147"/>
      <c r="C839" s="71" t="s">
        <v>89</v>
      </c>
      <c r="M839" s="77"/>
      <c r="N839" s="77"/>
      <c r="O839" s="77"/>
      <c r="P839" s="77"/>
      <c r="Q839" s="77"/>
      <c r="R839" s="77"/>
      <c r="S839" s="77"/>
      <c r="T839" s="132"/>
      <c r="U839" s="77"/>
      <c r="V839" s="159"/>
    </row>
    <row r="840" spans="1:25" ht="39.9" x14ac:dyDescent="0.3">
      <c r="A840" s="156"/>
      <c r="B840" s="149"/>
      <c r="C840" s="71" t="s">
        <v>123</v>
      </c>
      <c r="D840" s="38" t="str">
        <f t="shared" ref="D840:L840" si="276">IF(((D838="")*AND(D839="")),"",(D838-D839)*1)</f>
        <v/>
      </c>
      <c r="E840" s="38" t="str">
        <f t="shared" si="276"/>
        <v/>
      </c>
      <c r="F840" s="38" t="str">
        <f t="shared" si="276"/>
        <v/>
      </c>
      <c r="G840" s="38" t="str">
        <f t="shared" si="276"/>
        <v/>
      </c>
      <c r="H840" s="38" t="str">
        <f t="shared" si="276"/>
        <v/>
      </c>
      <c r="I840" s="38" t="str">
        <f t="shared" si="276"/>
        <v/>
      </c>
      <c r="J840" s="38" t="str">
        <f t="shared" si="276"/>
        <v/>
      </c>
      <c r="K840" s="38" t="str">
        <f t="shared" si="276"/>
        <v/>
      </c>
      <c r="L840" s="38" t="str">
        <f t="shared" si="276"/>
        <v/>
      </c>
      <c r="M840" s="135"/>
      <c r="N840" s="135"/>
      <c r="O840" s="135"/>
      <c r="P840" s="135"/>
      <c r="Q840" s="135"/>
      <c r="R840" s="135"/>
      <c r="S840" s="135"/>
      <c r="T840" s="136"/>
      <c r="U840" s="135"/>
      <c r="V840" s="159"/>
    </row>
    <row r="841" spans="1:25" x14ac:dyDescent="0.3">
      <c r="A841" s="154"/>
      <c r="B841" s="129" t="s">
        <v>124</v>
      </c>
      <c r="C841" s="71" t="s">
        <v>88</v>
      </c>
      <c r="M841" s="69" t="str">
        <f>IF((L842=""),"",MAX(D843:L843))</f>
        <v/>
      </c>
      <c r="N841" s="69" t="str">
        <f>IF(L842="","",MIN(D843:L843))</f>
        <v/>
      </c>
      <c r="O841" s="69" t="str">
        <f>IF((L843=""),"",AVERAGE(D843:L843))</f>
        <v/>
      </c>
      <c r="P841" s="69">
        <v>1600</v>
      </c>
      <c r="Q841" s="69">
        <v>2000</v>
      </c>
      <c r="R841" s="69" t="str">
        <f>IF((L842=""),"",((M841-N841)/(M841+N841))*100)</f>
        <v/>
      </c>
      <c r="S841" s="69">
        <v>23</v>
      </c>
      <c r="T841" s="130" t="str">
        <f>IF(L842="","",IF(R842&lt;20,(IF(O841&gt;1730,IF(O841&lt;1970,"Pass","Fail"),"Fail"))))</f>
        <v/>
      </c>
      <c r="U841" s="153"/>
      <c r="V841" s="159"/>
      <c r="W841" s="56">
        <v>1730</v>
      </c>
      <c r="X841" s="56">
        <v>1970</v>
      </c>
      <c r="Y841" s="56">
        <v>6.2</v>
      </c>
    </row>
    <row r="842" spans="1:25" x14ac:dyDescent="0.3">
      <c r="A842" s="155"/>
      <c r="B842" s="147"/>
      <c r="C842" s="71" t="s">
        <v>89</v>
      </c>
      <c r="M842" s="77"/>
      <c r="N842" s="77"/>
      <c r="O842" s="77"/>
      <c r="P842" s="77"/>
      <c r="Q842" s="77"/>
      <c r="R842" s="77"/>
      <c r="S842" s="77"/>
      <c r="T842" s="132"/>
      <c r="U842" s="77"/>
      <c r="V842" s="159"/>
    </row>
    <row r="843" spans="1:25" ht="39.9" x14ac:dyDescent="0.3">
      <c r="A843" s="156"/>
      <c r="B843" s="149"/>
      <c r="C843" s="71" t="s">
        <v>123</v>
      </c>
      <c r="D843" s="38" t="str">
        <f t="shared" ref="D843:L843" si="277">IF(((D841="")*AND(D842="")),"",(D841-D842)*1)</f>
        <v/>
      </c>
      <c r="E843" s="38" t="str">
        <f t="shared" si="277"/>
        <v/>
      </c>
      <c r="F843" s="38" t="str">
        <f t="shared" si="277"/>
        <v/>
      </c>
      <c r="G843" s="38" t="str">
        <f t="shared" si="277"/>
        <v/>
      </c>
      <c r="H843" s="38" t="str">
        <f t="shared" si="277"/>
        <v/>
      </c>
      <c r="I843" s="38" t="str">
        <f t="shared" si="277"/>
        <v/>
      </c>
      <c r="J843" s="38" t="str">
        <f t="shared" si="277"/>
        <v/>
      </c>
      <c r="K843" s="38" t="str">
        <f t="shared" si="277"/>
        <v/>
      </c>
      <c r="L843" s="38" t="str">
        <f t="shared" si="277"/>
        <v/>
      </c>
      <c r="M843" s="135"/>
      <c r="N843" s="135"/>
      <c r="O843" s="135"/>
      <c r="P843" s="135"/>
      <c r="Q843" s="135"/>
      <c r="R843" s="135"/>
      <c r="S843" s="135"/>
      <c r="T843" s="136"/>
      <c r="U843" s="135"/>
      <c r="V843" s="159"/>
    </row>
    <row r="844" spans="1:25" x14ac:dyDescent="0.3">
      <c r="A844" s="154"/>
      <c r="B844" s="129" t="s">
        <v>124</v>
      </c>
      <c r="C844" s="71" t="s">
        <v>88</v>
      </c>
      <c r="M844" s="69" t="str">
        <f>IF((L845=""),"",MAX(D846:L846))</f>
        <v/>
      </c>
      <c r="N844" s="69" t="str">
        <f>IF(L845="","",MIN(D846:L846))</f>
        <v/>
      </c>
      <c r="O844" s="69" t="str">
        <f>IF((L846=""),"",AVERAGE(D846:L846))</f>
        <v/>
      </c>
      <c r="P844" s="69">
        <v>1600</v>
      </c>
      <c r="Q844" s="69">
        <v>2000</v>
      </c>
      <c r="R844" s="69" t="str">
        <f>IF((L845=""),"",((M844-N844)/(M844+N844))*100)</f>
        <v/>
      </c>
      <c r="S844" s="69">
        <v>23</v>
      </c>
      <c r="T844" s="130" t="str">
        <f>IF(L845="","",IF(R845&lt;20,(IF(O844&gt;1730,IF(O844&lt;1970,"Pass","Fail"),"Fail"))))</f>
        <v/>
      </c>
      <c r="U844" s="153"/>
      <c r="V844" s="159"/>
      <c r="W844" s="56">
        <v>1730</v>
      </c>
      <c r="X844" s="56">
        <v>1970</v>
      </c>
      <c r="Y844" s="56">
        <v>6.2</v>
      </c>
    </row>
    <row r="845" spans="1:25" x14ac:dyDescent="0.3">
      <c r="A845" s="155"/>
      <c r="B845" s="147"/>
      <c r="C845" s="71" t="s">
        <v>89</v>
      </c>
      <c r="M845" s="77"/>
      <c r="N845" s="77"/>
      <c r="O845" s="77"/>
      <c r="P845" s="77"/>
      <c r="Q845" s="77"/>
      <c r="R845" s="77"/>
      <c r="S845" s="77"/>
      <c r="T845" s="132"/>
      <c r="U845" s="77"/>
      <c r="V845" s="159"/>
    </row>
    <row r="846" spans="1:25" ht="39.9" x14ac:dyDescent="0.3">
      <c r="A846" s="156"/>
      <c r="B846" s="149"/>
      <c r="C846" s="71" t="s">
        <v>123</v>
      </c>
      <c r="D846" s="38" t="str">
        <f t="shared" ref="D846:L846" si="278">IF(((D844="")*AND(D845="")),"",(D844-D845)*1)</f>
        <v/>
      </c>
      <c r="E846" s="38" t="str">
        <f t="shared" si="278"/>
        <v/>
      </c>
      <c r="F846" s="38" t="str">
        <f t="shared" si="278"/>
        <v/>
      </c>
      <c r="G846" s="38" t="str">
        <f t="shared" si="278"/>
        <v/>
      </c>
      <c r="H846" s="38" t="str">
        <f t="shared" si="278"/>
        <v/>
      </c>
      <c r="I846" s="38" t="str">
        <f t="shared" si="278"/>
        <v/>
      </c>
      <c r="J846" s="38" t="str">
        <f t="shared" si="278"/>
        <v/>
      </c>
      <c r="K846" s="38" t="str">
        <f t="shared" si="278"/>
        <v/>
      </c>
      <c r="L846" s="38" t="str">
        <f t="shared" si="278"/>
        <v/>
      </c>
      <c r="M846" s="135"/>
      <c r="N846" s="135"/>
      <c r="O846" s="135"/>
      <c r="P846" s="135"/>
      <c r="Q846" s="135"/>
      <c r="R846" s="135"/>
      <c r="S846" s="135"/>
      <c r="T846" s="136"/>
      <c r="U846" s="135"/>
      <c r="V846" s="159"/>
    </row>
    <row r="847" spans="1:25" x14ac:dyDescent="0.3">
      <c r="A847" s="154"/>
      <c r="B847" s="129" t="s">
        <v>124</v>
      </c>
      <c r="C847" s="71" t="s">
        <v>88</v>
      </c>
      <c r="M847" s="69" t="str">
        <f>IF((L848=""),"",MAX(D849:L849))</f>
        <v/>
      </c>
      <c r="N847" s="69" t="str">
        <f>IF(L848="","",MIN(D849:L849))</f>
        <v/>
      </c>
      <c r="O847" s="69" t="str">
        <f>IF((L849=""),"",AVERAGE(D849:L849))</f>
        <v/>
      </c>
      <c r="P847" s="69">
        <v>1600</v>
      </c>
      <c r="Q847" s="69">
        <v>2000</v>
      </c>
      <c r="R847" s="69" t="str">
        <f>IF((L848=""),"",((M847-N847)/(M847+N847))*100)</f>
        <v/>
      </c>
      <c r="S847" s="69">
        <v>23</v>
      </c>
      <c r="T847" s="130" t="str">
        <f>IF(L848="","",IF(R848&lt;20,(IF(O847&gt;1730,IF(O847&lt;1970,"Pass","Fail"),"Fail"))))</f>
        <v/>
      </c>
      <c r="U847" s="153"/>
      <c r="V847" s="159"/>
      <c r="W847" s="56">
        <v>1730</v>
      </c>
      <c r="X847" s="56">
        <v>1970</v>
      </c>
      <c r="Y847" s="56">
        <v>6.2</v>
      </c>
    </row>
    <row r="848" spans="1:25" x14ac:dyDescent="0.3">
      <c r="A848" s="155"/>
      <c r="B848" s="147"/>
      <c r="C848" s="71" t="s">
        <v>89</v>
      </c>
      <c r="M848" s="77"/>
      <c r="N848" s="77"/>
      <c r="O848" s="77"/>
      <c r="P848" s="77"/>
      <c r="Q848" s="77"/>
      <c r="R848" s="77"/>
      <c r="S848" s="77"/>
      <c r="T848" s="132"/>
      <c r="U848" s="77"/>
      <c r="V848" s="159"/>
    </row>
    <row r="849" spans="1:25" ht="39.9" x14ac:dyDescent="0.3">
      <c r="A849" s="156"/>
      <c r="B849" s="149"/>
      <c r="C849" s="71" t="s">
        <v>123</v>
      </c>
      <c r="D849" s="38" t="str">
        <f t="shared" ref="D849:L849" si="279">IF(((D847="")*AND(D848="")),"",(D847-D848)*1)</f>
        <v/>
      </c>
      <c r="E849" s="38" t="str">
        <f t="shared" si="279"/>
        <v/>
      </c>
      <c r="F849" s="38" t="str">
        <f t="shared" si="279"/>
        <v/>
      </c>
      <c r="G849" s="38" t="str">
        <f t="shared" si="279"/>
        <v/>
      </c>
      <c r="H849" s="38" t="str">
        <f t="shared" si="279"/>
        <v/>
      </c>
      <c r="I849" s="38" t="str">
        <f t="shared" si="279"/>
        <v/>
      </c>
      <c r="J849" s="38" t="str">
        <f t="shared" si="279"/>
        <v/>
      </c>
      <c r="K849" s="38" t="str">
        <f t="shared" si="279"/>
        <v/>
      </c>
      <c r="L849" s="38" t="str">
        <f t="shared" si="279"/>
        <v/>
      </c>
      <c r="M849" s="135"/>
      <c r="N849" s="135"/>
      <c r="O849" s="135"/>
      <c r="P849" s="135"/>
      <c r="Q849" s="135"/>
      <c r="R849" s="135"/>
      <c r="S849" s="135"/>
      <c r="T849" s="136"/>
      <c r="U849" s="135"/>
      <c r="V849" s="159"/>
    </row>
    <row r="850" spans="1:25" x14ac:dyDescent="0.3">
      <c r="A850" s="154"/>
      <c r="B850" s="129" t="s">
        <v>124</v>
      </c>
      <c r="C850" s="71" t="s">
        <v>88</v>
      </c>
      <c r="M850" s="69" t="str">
        <f>IF((L851=""),"",MAX(D852:L852))</f>
        <v/>
      </c>
      <c r="N850" s="69" t="str">
        <f>IF(L851="","",MIN(D852:L852))</f>
        <v/>
      </c>
      <c r="O850" s="69" t="str">
        <f>IF((L852=""),"",AVERAGE(D852:L852))</f>
        <v/>
      </c>
      <c r="P850" s="69">
        <v>1600</v>
      </c>
      <c r="Q850" s="69">
        <v>2000</v>
      </c>
      <c r="R850" s="69" t="str">
        <f>IF((L851=""),"",((M850-N850)/(M850+N850))*100)</f>
        <v/>
      </c>
      <c r="S850" s="69">
        <v>23</v>
      </c>
      <c r="T850" s="130" t="str">
        <f>IF(L851="","",IF(R851&lt;20,(IF(O850&gt;1730,IF(O850&lt;1970,"Pass","Fail"),"Fail"))))</f>
        <v/>
      </c>
      <c r="U850" s="153"/>
      <c r="V850" s="159"/>
      <c r="W850" s="56">
        <v>1730</v>
      </c>
      <c r="X850" s="56">
        <v>1970</v>
      </c>
      <c r="Y850" s="56">
        <v>6.2</v>
      </c>
    </row>
    <row r="851" spans="1:25" x14ac:dyDescent="0.3">
      <c r="A851" s="155"/>
      <c r="B851" s="147"/>
      <c r="C851" s="71" t="s">
        <v>89</v>
      </c>
      <c r="M851" s="77"/>
      <c r="N851" s="77"/>
      <c r="O851" s="77"/>
      <c r="P851" s="77"/>
      <c r="Q851" s="77"/>
      <c r="R851" s="77"/>
      <c r="S851" s="77"/>
      <c r="T851" s="132"/>
      <c r="U851" s="77"/>
      <c r="V851" s="159"/>
    </row>
    <row r="852" spans="1:25" ht="39.9" x14ac:dyDescent="0.3">
      <c r="A852" s="156"/>
      <c r="B852" s="149"/>
      <c r="C852" s="71" t="s">
        <v>123</v>
      </c>
      <c r="D852" s="38" t="str">
        <f t="shared" ref="D852:L852" si="280">IF(((D850="")*AND(D851="")),"",(D850-D851)*1)</f>
        <v/>
      </c>
      <c r="E852" s="38" t="str">
        <f t="shared" si="280"/>
        <v/>
      </c>
      <c r="F852" s="38" t="str">
        <f t="shared" si="280"/>
        <v/>
      </c>
      <c r="G852" s="38" t="str">
        <f t="shared" si="280"/>
        <v/>
      </c>
      <c r="H852" s="38" t="str">
        <f t="shared" si="280"/>
        <v/>
      </c>
      <c r="I852" s="38" t="str">
        <f t="shared" si="280"/>
        <v/>
      </c>
      <c r="J852" s="38" t="str">
        <f t="shared" si="280"/>
        <v/>
      </c>
      <c r="K852" s="38" t="str">
        <f t="shared" si="280"/>
        <v/>
      </c>
      <c r="L852" s="38" t="str">
        <f t="shared" si="280"/>
        <v/>
      </c>
      <c r="M852" s="135"/>
      <c r="N852" s="135"/>
      <c r="O852" s="135"/>
      <c r="P852" s="135"/>
      <c r="Q852" s="135"/>
      <c r="R852" s="135"/>
      <c r="S852" s="135"/>
      <c r="T852" s="136"/>
      <c r="U852" s="135"/>
      <c r="V852" s="159"/>
    </row>
    <row r="853" spans="1:25" x14ac:dyDescent="0.3">
      <c r="A853" s="154"/>
      <c r="B853" s="129" t="s">
        <v>124</v>
      </c>
      <c r="C853" s="71" t="s">
        <v>88</v>
      </c>
      <c r="M853" s="69" t="str">
        <f>IF((L854=""),"",MAX(D855:L855))</f>
        <v/>
      </c>
      <c r="N853" s="69" t="str">
        <f>IF(L854="","",MIN(D855:L855))</f>
        <v/>
      </c>
      <c r="O853" s="69" t="str">
        <f>IF((L855=""),"",AVERAGE(D855:L855))</f>
        <v/>
      </c>
      <c r="P853" s="69">
        <v>1600</v>
      </c>
      <c r="Q853" s="69">
        <v>2000</v>
      </c>
      <c r="R853" s="69" t="str">
        <f>IF((L854=""),"",((M853-N853)/(M853+N853))*100)</f>
        <v/>
      </c>
      <c r="S853" s="69">
        <v>23</v>
      </c>
      <c r="T853" s="130" t="str">
        <f>IF(L854="","",IF(R854&lt;20,(IF(O853&gt;1730,IF(O853&lt;1970,"Pass","Fail"),"Fail"))))</f>
        <v/>
      </c>
      <c r="U853" s="153"/>
      <c r="V853" s="159"/>
      <c r="W853" s="56">
        <v>1730</v>
      </c>
      <c r="X853" s="56">
        <v>1970</v>
      </c>
      <c r="Y853" s="56">
        <v>6.2</v>
      </c>
    </row>
    <row r="854" spans="1:25" x14ac:dyDescent="0.3">
      <c r="A854" s="155"/>
      <c r="B854" s="147"/>
      <c r="C854" s="71" t="s">
        <v>89</v>
      </c>
      <c r="M854" s="77"/>
      <c r="N854" s="77"/>
      <c r="O854" s="77"/>
      <c r="P854" s="77"/>
      <c r="Q854" s="77"/>
      <c r="R854" s="77"/>
      <c r="S854" s="77"/>
      <c r="T854" s="132"/>
      <c r="U854" s="77"/>
      <c r="V854" s="159"/>
    </row>
    <row r="855" spans="1:25" ht="39.9" x14ac:dyDescent="0.3">
      <c r="A855" s="156"/>
      <c r="B855" s="149"/>
      <c r="C855" s="71" t="s">
        <v>123</v>
      </c>
      <c r="D855" s="38" t="str">
        <f t="shared" ref="D855:L855" si="281">IF(((D853="")*AND(D854="")),"",(D853-D854)*1)</f>
        <v/>
      </c>
      <c r="E855" s="38" t="str">
        <f t="shared" si="281"/>
        <v/>
      </c>
      <c r="F855" s="38" t="str">
        <f t="shared" si="281"/>
        <v/>
      </c>
      <c r="G855" s="38" t="str">
        <f t="shared" si="281"/>
        <v/>
      </c>
      <c r="H855" s="38" t="str">
        <f t="shared" si="281"/>
        <v/>
      </c>
      <c r="I855" s="38" t="str">
        <f t="shared" si="281"/>
        <v/>
      </c>
      <c r="J855" s="38" t="str">
        <f t="shared" si="281"/>
        <v/>
      </c>
      <c r="K855" s="38" t="str">
        <f t="shared" si="281"/>
        <v/>
      </c>
      <c r="L855" s="38" t="str">
        <f t="shared" si="281"/>
        <v/>
      </c>
      <c r="M855" s="135"/>
      <c r="N855" s="135"/>
      <c r="O855" s="135"/>
      <c r="P855" s="135"/>
      <c r="Q855" s="135"/>
      <c r="R855" s="135"/>
      <c r="S855" s="135"/>
      <c r="T855" s="136"/>
      <c r="U855" s="135"/>
      <c r="V855" s="159"/>
    </row>
    <row r="856" spans="1:25" x14ac:dyDescent="0.3">
      <c r="A856" s="154"/>
      <c r="B856" s="129" t="s">
        <v>124</v>
      </c>
      <c r="C856" s="71" t="s">
        <v>88</v>
      </c>
      <c r="M856" s="69" t="str">
        <f>IF((L857=""),"",MAX(D858:L858))</f>
        <v/>
      </c>
      <c r="N856" s="69" t="str">
        <f>IF(L857="","",MIN(D858:L858))</f>
        <v/>
      </c>
      <c r="O856" s="69" t="str">
        <f>IF((L858=""),"",AVERAGE(D858:L858))</f>
        <v/>
      </c>
      <c r="P856" s="69">
        <v>1600</v>
      </c>
      <c r="Q856" s="69">
        <v>2000</v>
      </c>
      <c r="R856" s="69" t="str">
        <f>IF((L857=""),"",((M856-N856)/(M856+N856))*100)</f>
        <v/>
      </c>
      <c r="S856" s="69">
        <v>23</v>
      </c>
      <c r="T856" s="130" t="str">
        <f>IF(L857="","",IF(R857&lt;20,(IF(O856&gt;1730,IF(O856&lt;1970,"Pass","Fail"),"Fail"))))</f>
        <v/>
      </c>
      <c r="U856" s="153"/>
      <c r="V856" s="159"/>
      <c r="W856" s="56">
        <v>1730</v>
      </c>
      <c r="X856" s="56">
        <v>1970</v>
      </c>
      <c r="Y856" s="56">
        <v>6.2</v>
      </c>
    </row>
    <row r="857" spans="1:25" x14ac:dyDescent="0.3">
      <c r="A857" s="155"/>
      <c r="B857" s="147"/>
      <c r="C857" s="71" t="s">
        <v>89</v>
      </c>
      <c r="M857" s="77"/>
      <c r="N857" s="77"/>
      <c r="O857" s="77"/>
      <c r="P857" s="77"/>
      <c r="Q857" s="77"/>
      <c r="R857" s="77"/>
      <c r="S857" s="77"/>
      <c r="T857" s="132"/>
      <c r="U857" s="77"/>
      <c r="V857" s="159"/>
    </row>
    <row r="858" spans="1:25" ht="39.9" x14ac:dyDescent="0.3">
      <c r="A858" s="156"/>
      <c r="B858" s="149"/>
      <c r="C858" s="71" t="s">
        <v>123</v>
      </c>
      <c r="D858" s="38" t="str">
        <f t="shared" ref="D858:L858" si="282">IF(((D856="")*AND(D857="")),"",(D856-D857)*1)</f>
        <v/>
      </c>
      <c r="E858" s="38" t="str">
        <f t="shared" si="282"/>
        <v/>
      </c>
      <c r="F858" s="38" t="str">
        <f t="shared" si="282"/>
        <v/>
      </c>
      <c r="G858" s="38" t="str">
        <f t="shared" si="282"/>
        <v/>
      </c>
      <c r="H858" s="38" t="str">
        <f t="shared" si="282"/>
        <v/>
      </c>
      <c r="I858" s="38" t="str">
        <f t="shared" si="282"/>
        <v/>
      </c>
      <c r="J858" s="38" t="str">
        <f t="shared" si="282"/>
        <v/>
      </c>
      <c r="K858" s="38" t="str">
        <f t="shared" si="282"/>
        <v/>
      </c>
      <c r="L858" s="38" t="str">
        <f t="shared" si="282"/>
        <v/>
      </c>
      <c r="M858" s="135"/>
      <c r="N858" s="135"/>
      <c r="O858" s="135"/>
      <c r="P858" s="135"/>
      <c r="Q858" s="135"/>
      <c r="R858" s="135"/>
      <c r="S858" s="135"/>
      <c r="T858" s="136"/>
      <c r="U858" s="135"/>
      <c r="V858" s="159"/>
    </row>
    <row r="859" spans="1:25" x14ac:dyDescent="0.3">
      <c r="A859" s="154"/>
      <c r="B859" s="129" t="s">
        <v>124</v>
      </c>
      <c r="C859" s="71" t="s">
        <v>88</v>
      </c>
      <c r="M859" s="69" t="str">
        <f>IF((L860=""),"",MAX(D861:L861))</f>
        <v/>
      </c>
      <c r="N859" s="69" t="str">
        <f>IF(L860="","",MIN(D861:L861))</f>
        <v/>
      </c>
      <c r="O859" s="69" t="str">
        <f>IF((L861=""),"",AVERAGE(D861:L861))</f>
        <v/>
      </c>
      <c r="P859" s="69">
        <v>1600</v>
      </c>
      <c r="Q859" s="69">
        <v>2000</v>
      </c>
      <c r="R859" s="69" t="str">
        <f>IF((L860=""),"",((M859-N859)/(M859+N859))*100)</f>
        <v/>
      </c>
      <c r="S859" s="69">
        <v>23</v>
      </c>
      <c r="T859" s="130" t="str">
        <f>IF(L860="","",IF(R860&lt;20,(IF(O859&gt;1730,IF(O859&lt;1970,"Pass","Fail"),"Fail"))))</f>
        <v/>
      </c>
      <c r="U859" s="153"/>
      <c r="V859" s="159"/>
      <c r="W859" s="56">
        <v>1730</v>
      </c>
      <c r="X859" s="56">
        <v>1970</v>
      </c>
      <c r="Y859" s="56">
        <v>6.2</v>
      </c>
    </row>
    <row r="860" spans="1:25" x14ac:dyDescent="0.3">
      <c r="A860" s="155"/>
      <c r="B860" s="147"/>
      <c r="C860" s="71" t="s">
        <v>89</v>
      </c>
      <c r="M860" s="77"/>
      <c r="N860" s="77"/>
      <c r="O860" s="77"/>
      <c r="P860" s="77"/>
      <c r="Q860" s="77"/>
      <c r="R860" s="77"/>
      <c r="S860" s="77"/>
      <c r="T860" s="132"/>
      <c r="U860" s="77"/>
      <c r="V860" s="159"/>
    </row>
    <row r="861" spans="1:25" ht="39.9" x14ac:dyDescent="0.3">
      <c r="A861" s="156"/>
      <c r="B861" s="149"/>
      <c r="C861" s="71" t="s">
        <v>123</v>
      </c>
      <c r="D861" s="38" t="str">
        <f t="shared" ref="D861:L861" si="283">IF(((D859="")*AND(D860="")),"",(D859-D860)*1)</f>
        <v/>
      </c>
      <c r="E861" s="38" t="str">
        <f t="shared" si="283"/>
        <v/>
      </c>
      <c r="F861" s="38" t="str">
        <f t="shared" si="283"/>
        <v/>
      </c>
      <c r="G861" s="38" t="str">
        <f t="shared" si="283"/>
        <v/>
      </c>
      <c r="H861" s="38" t="str">
        <f t="shared" si="283"/>
        <v/>
      </c>
      <c r="I861" s="38" t="str">
        <f t="shared" si="283"/>
        <v/>
      </c>
      <c r="J861" s="38" t="str">
        <f t="shared" si="283"/>
        <v/>
      </c>
      <c r="K861" s="38" t="str">
        <f t="shared" si="283"/>
        <v/>
      </c>
      <c r="L861" s="38" t="str">
        <f t="shared" si="283"/>
        <v/>
      </c>
      <c r="M861" s="135"/>
      <c r="N861" s="135"/>
      <c r="O861" s="135"/>
      <c r="P861" s="135"/>
      <c r="Q861" s="135"/>
      <c r="R861" s="135"/>
      <c r="S861" s="135"/>
      <c r="T861" s="136"/>
      <c r="U861" s="135"/>
      <c r="V861" s="159"/>
    </row>
    <row r="862" spans="1:25" x14ac:dyDescent="0.3">
      <c r="A862" s="154"/>
      <c r="B862" s="129" t="s">
        <v>124</v>
      </c>
      <c r="C862" s="71" t="s">
        <v>88</v>
      </c>
      <c r="M862" s="69" t="str">
        <f>IF((L863=""),"",MAX(D864:L864))</f>
        <v/>
      </c>
      <c r="N862" s="69" t="str">
        <f>IF(L863="","",MIN(D864:L864))</f>
        <v/>
      </c>
      <c r="O862" s="69" t="str">
        <f>IF((L864=""),"",AVERAGE(D864:L864))</f>
        <v/>
      </c>
      <c r="P862" s="69">
        <v>1600</v>
      </c>
      <c r="Q862" s="69">
        <v>2000</v>
      </c>
      <c r="R862" s="69" t="str">
        <f>IF((L863=""),"",((M862-N862)/(M862+N862))*100)</f>
        <v/>
      </c>
      <c r="S862" s="69">
        <v>23</v>
      </c>
      <c r="T862" s="130" t="str">
        <f>IF(L863="","",IF(R863&lt;20,(IF(O862&gt;1730,IF(O862&lt;1970,"Pass","Fail"),"Fail"))))</f>
        <v/>
      </c>
      <c r="U862" s="153"/>
      <c r="V862" s="159"/>
      <c r="W862" s="56">
        <v>1730</v>
      </c>
      <c r="X862" s="56">
        <v>1970</v>
      </c>
      <c r="Y862" s="56">
        <v>6.2</v>
      </c>
    </row>
    <row r="863" spans="1:25" x14ac:dyDescent="0.3">
      <c r="A863" s="155"/>
      <c r="B863" s="147"/>
      <c r="C863" s="71" t="s">
        <v>89</v>
      </c>
      <c r="M863" s="77"/>
      <c r="N863" s="77"/>
      <c r="O863" s="77"/>
      <c r="P863" s="77"/>
      <c r="Q863" s="77"/>
      <c r="R863" s="77"/>
      <c r="S863" s="77"/>
      <c r="T863" s="132"/>
      <c r="U863" s="77"/>
      <c r="V863" s="159"/>
    </row>
    <row r="864" spans="1:25" ht="39.9" x14ac:dyDescent="0.3">
      <c r="A864" s="156"/>
      <c r="B864" s="149"/>
      <c r="C864" s="71" t="s">
        <v>123</v>
      </c>
      <c r="D864" s="38" t="str">
        <f t="shared" ref="D864:L864" si="284">IF(((D862="")*AND(D863="")),"",(D862-D863)*1)</f>
        <v/>
      </c>
      <c r="E864" s="38" t="str">
        <f t="shared" si="284"/>
        <v/>
      </c>
      <c r="F864" s="38" t="str">
        <f t="shared" si="284"/>
        <v/>
      </c>
      <c r="G864" s="38" t="str">
        <f t="shared" si="284"/>
        <v/>
      </c>
      <c r="H864" s="38" t="str">
        <f t="shared" si="284"/>
        <v/>
      </c>
      <c r="I864" s="38" t="str">
        <f t="shared" si="284"/>
        <v/>
      </c>
      <c r="J864" s="38" t="str">
        <f t="shared" si="284"/>
        <v/>
      </c>
      <c r="K864" s="38" t="str">
        <f t="shared" si="284"/>
        <v/>
      </c>
      <c r="L864" s="38" t="str">
        <f t="shared" si="284"/>
        <v/>
      </c>
      <c r="M864" s="135"/>
      <c r="N864" s="135"/>
      <c r="O864" s="135"/>
      <c r="P864" s="135"/>
      <c r="Q864" s="135"/>
      <c r="R864" s="135"/>
      <c r="S864" s="135"/>
      <c r="T864" s="136"/>
      <c r="U864" s="135"/>
      <c r="V864" s="159"/>
    </row>
    <row r="865" spans="1:25" x14ac:dyDescent="0.3">
      <c r="A865" s="154"/>
      <c r="B865" s="129" t="s">
        <v>124</v>
      </c>
      <c r="C865" s="71" t="s">
        <v>88</v>
      </c>
      <c r="M865" s="69" t="str">
        <f>IF((L866=""),"",MAX(D867:L867))</f>
        <v/>
      </c>
      <c r="N865" s="69" t="str">
        <f>IF(L866="","",MIN(D867:L867))</f>
        <v/>
      </c>
      <c r="O865" s="69" t="str">
        <f>IF((L867=""),"",AVERAGE(D867:L867))</f>
        <v/>
      </c>
      <c r="P865" s="69">
        <v>1600</v>
      </c>
      <c r="Q865" s="69">
        <v>2000</v>
      </c>
      <c r="R865" s="69" t="str">
        <f>IF((L866=""),"",((M865-N865)/(M865+N865))*100)</f>
        <v/>
      </c>
      <c r="S865" s="69">
        <v>23</v>
      </c>
      <c r="T865" s="130" t="str">
        <f>IF(L866="","",IF(R866&lt;20,(IF(O865&gt;1730,IF(O865&lt;1970,"Pass","Fail"),"Fail"))))</f>
        <v/>
      </c>
      <c r="U865" s="153"/>
      <c r="V865" s="159"/>
      <c r="W865" s="56">
        <v>1730</v>
      </c>
      <c r="X865" s="56">
        <v>1970</v>
      </c>
      <c r="Y865" s="56">
        <v>6.2</v>
      </c>
    </row>
    <row r="866" spans="1:25" x14ac:dyDescent="0.3">
      <c r="A866" s="155"/>
      <c r="B866" s="147"/>
      <c r="C866" s="71" t="s">
        <v>89</v>
      </c>
      <c r="M866" s="77"/>
      <c r="N866" s="77"/>
      <c r="O866" s="77"/>
      <c r="P866" s="77"/>
      <c r="Q866" s="77"/>
      <c r="R866" s="77"/>
      <c r="S866" s="77"/>
      <c r="T866" s="132"/>
      <c r="U866" s="77"/>
      <c r="V866" s="159"/>
    </row>
    <row r="867" spans="1:25" ht="39.9" x14ac:dyDescent="0.3">
      <c r="A867" s="156"/>
      <c r="B867" s="149"/>
      <c r="C867" s="71" t="s">
        <v>123</v>
      </c>
      <c r="D867" s="38" t="str">
        <f t="shared" ref="D867:L867" si="285">IF(((D865="")*AND(D866="")),"",(D865-D866)*1)</f>
        <v/>
      </c>
      <c r="E867" s="38" t="str">
        <f t="shared" si="285"/>
        <v/>
      </c>
      <c r="F867" s="38" t="str">
        <f t="shared" si="285"/>
        <v/>
      </c>
      <c r="G867" s="38" t="str">
        <f t="shared" si="285"/>
        <v/>
      </c>
      <c r="H867" s="38" t="str">
        <f t="shared" si="285"/>
        <v/>
      </c>
      <c r="I867" s="38" t="str">
        <f t="shared" si="285"/>
        <v/>
      </c>
      <c r="J867" s="38" t="str">
        <f t="shared" si="285"/>
        <v/>
      </c>
      <c r="K867" s="38" t="str">
        <f t="shared" si="285"/>
        <v/>
      </c>
      <c r="L867" s="38" t="str">
        <f t="shared" si="285"/>
        <v/>
      </c>
      <c r="M867" s="135"/>
      <c r="N867" s="135"/>
      <c r="O867" s="135"/>
      <c r="P867" s="135"/>
      <c r="Q867" s="135"/>
      <c r="R867" s="135"/>
      <c r="S867" s="135"/>
      <c r="T867" s="136"/>
      <c r="U867" s="135"/>
      <c r="V867" s="159"/>
    </row>
    <row r="868" spans="1:25" x14ac:dyDescent="0.3">
      <c r="A868" s="154"/>
      <c r="B868" s="129" t="s">
        <v>124</v>
      </c>
      <c r="C868" s="71" t="s">
        <v>88</v>
      </c>
      <c r="M868" s="69" t="str">
        <f>IF((L869=""),"",MAX(D870:L870))</f>
        <v/>
      </c>
      <c r="N868" s="69" t="str">
        <f>IF(L869="","",MIN(D870:L870))</f>
        <v/>
      </c>
      <c r="O868" s="69" t="str">
        <f>IF((L870=""),"",AVERAGE(D870:L870))</f>
        <v/>
      </c>
      <c r="P868" s="69">
        <v>1600</v>
      </c>
      <c r="Q868" s="69">
        <v>2000</v>
      </c>
      <c r="R868" s="69" t="str">
        <f>IF((L869=""),"",((M868-N868)/(M868+N868))*100)</f>
        <v/>
      </c>
      <c r="S868" s="69">
        <v>23</v>
      </c>
      <c r="T868" s="130" t="str">
        <f>IF(L869="","",IF(R869&lt;20,(IF(O868&gt;1730,IF(O868&lt;1970,"Pass","Fail"),"Fail"))))</f>
        <v/>
      </c>
      <c r="U868" s="153"/>
      <c r="V868" s="159"/>
      <c r="W868" s="56">
        <v>1730</v>
      </c>
      <c r="X868" s="56">
        <v>1970</v>
      </c>
      <c r="Y868" s="56">
        <v>6.2</v>
      </c>
    </row>
    <row r="869" spans="1:25" x14ac:dyDescent="0.3">
      <c r="A869" s="155"/>
      <c r="B869" s="147"/>
      <c r="C869" s="71" t="s">
        <v>89</v>
      </c>
      <c r="M869" s="77"/>
      <c r="N869" s="77"/>
      <c r="O869" s="77"/>
      <c r="P869" s="77"/>
      <c r="Q869" s="77"/>
      <c r="R869" s="77"/>
      <c r="S869" s="77"/>
      <c r="T869" s="132"/>
      <c r="U869" s="77"/>
      <c r="V869" s="159"/>
    </row>
    <row r="870" spans="1:25" ht="39.9" x14ac:dyDescent="0.3">
      <c r="A870" s="156"/>
      <c r="B870" s="149"/>
      <c r="C870" s="71" t="s">
        <v>123</v>
      </c>
      <c r="D870" s="38" t="str">
        <f t="shared" ref="D870:L870" si="286">IF(((D868="")*AND(D869="")),"",(D868-D869)*1)</f>
        <v/>
      </c>
      <c r="E870" s="38" t="str">
        <f t="shared" si="286"/>
        <v/>
      </c>
      <c r="F870" s="38" t="str">
        <f t="shared" si="286"/>
        <v/>
      </c>
      <c r="G870" s="38" t="str">
        <f t="shared" si="286"/>
        <v/>
      </c>
      <c r="H870" s="38" t="str">
        <f t="shared" si="286"/>
        <v/>
      </c>
      <c r="I870" s="38" t="str">
        <f t="shared" si="286"/>
        <v/>
      </c>
      <c r="J870" s="38" t="str">
        <f t="shared" si="286"/>
        <v/>
      </c>
      <c r="K870" s="38" t="str">
        <f t="shared" si="286"/>
        <v/>
      </c>
      <c r="L870" s="38" t="str">
        <f t="shared" si="286"/>
        <v/>
      </c>
      <c r="M870" s="135"/>
      <c r="N870" s="135"/>
      <c r="O870" s="135"/>
      <c r="P870" s="135"/>
      <c r="Q870" s="135"/>
      <c r="R870" s="135"/>
      <c r="S870" s="135"/>
      <c r="T870" s="136"/>
      <c r="U870" s="135"/>
      <c r="V870" s="159"/>
    </row>
    <row r="871" spans="1:25" x14ac:dyDescent="0.3">
      <c r="A871" s="154"/>
      <c r="B871" s="129" t="s">
        <v>124</v>
      </c>
      <c r="C871" s="71" t="s">
        <v>88</v>
      </c>
      <c r="M871" s="69" t="str">
        <f>IF((L872=""),"",MAX(D873:L873))</f>
        <v/>
      </c>
      <c r="N871" s="69" t="str">
        <f>IF(L872="","",MIN(D873:L873))</f>
        <v/>
      </c>
      <c r="O871" s="69" t="str">
        <f>IF((L873=""),"",AVERAGE(D873:L873))</f>
        <v/>
      </c>
      <c r="P871" s="69">
        <v>1600</v>
      </c>
      <c r="Q871" s="69">
        <v>2000</v>
      </c>
      <c r="R871" s="69" t="str">
        <f>IF((L872=""),"",((M871-N871)/(M871+N871))*100)</f>
        <v/>
      </c>
      <c r="S871" s="69">
        <v>23</v>
      </c>
      <c r="T871" s="130" t="str">
        <f>IF(L872="","",IF(R872&lt;20,(IF(O871&gt;1730,IF(O871&lt;1970,"Pass","Fail"),"Fail"))))</f>
        <v/>
      </c>
      <c r="U871" s="153"/>
      <c r="V871" s="159"/>
      <c r="W871" s="56">
        <v>1730</v>
      </c>
      <c r="X871" s="56">
        <v>1970</v>
      </c>
      <c r="Y871" s="56">
        <v>6.2</v>
      </c>
    </row>
    <row r="872" spans="1:25" x14ac:dyDescent="0.3">
      <c r="A872" s="155"/>
      <c r="B872" s="147"/>
      <c r="C872" s="71" t="s">
        <v>89</v>
      </c>
      <c r="M872" s="77"/>
      <c r="N872" s="77"/>
      <c r="O872" s="77"/>
      <c r="P872" s="77"/>
      <c r="Q872" s="77"/>
      <c r="R872" s="77"/>
      <c r="S872" s="77"/>
      <c r="T872" s="132"/>
      <c r="U872" s="77"/>
      <c r="V872" s="159"/>
    </row>
    <row r="873" spans="1:25" ht="39.9" x14ac:dyDescent="0.3">
      <c r="A873" s="156"/>
      <c r="B873" s="149"/>
      <c r="C873" s="71" t="s">
        <v>123</v>
      </c>
      <c r="D873" s="38" t="str">
        <f t="shared" ref="D873:L873" si="287">IF(((D871="")*AND(D872="")),"",(D871-D872)*1)</f>
        <v/>
      </c>
      <c r="E873" s="38" t="str">
        <f t="shared" si="287"/>
        <v/>
      </c>
      <c r="F873" s="38" t="str">
        <f t="shared" si="287"/>
        <v/>
      </c>
      <c r="G873" s="38" t="str">
        <f t="shared" si="287"/>
        <v/>
      </c>
      <c r="H873" s="38" t="str">
        <f t="shared" si="287"/>
        <v/>
      </c>
      <c r="I873" s="38" t="str">
        <f t="shared" si="287"/>
        <v/>
      </c>
      <c r="J873" s="38" t="str">
        <f t="shared" si="287"/>
        <v/>
      </c>
      <c r="K873" s="38" t="str">
        <f t="shared" si="287"/>
        <v/>
      </c>
      <c r="L873" s="38" t="str">
        <f t="shared" si="287"/>
        <v/>
      </c>
      <c r="M873" s="135"/>
      <c r="N873" s="135"/>
      <c r="O873" s="135"/>
      <c r="P873" s="135"/>
      <c r="Q873" s="135"/>
      <c r="R873" s="135"/>
      <c r="S873" s="135"/>
      <c r="T873" s="136"/>
      <c r="U873" s="135"/>
      <c r="V873" s="159"/>
    </row>
    <row r="874" spans="1:25" x14ac:dyDescent="0.3">
      <c r="A874" s="154"/>
      <c r="B874" s="129" t="s">
        <v>124</v>
      </c>
      <c r="C874" s="71" t="s">
        <v>88</v>
      </c>
      <c r="M874" s="69" t="str">
        <f>IF((L875=""),"",MAX(D876:L876))</f>
        <v/>
      </c>
      <c r="N874" s="69" t="str">
        <f>IF(L875="","",MIN(D876:L876))</f>
        <v/>
      </c>
      <c r="O874" s="69" t="str">
        <f>IF((L876=""),"",AVERAGE(D876:L876))</f>
        <v/>
      </c>
      <c r="P874" s="69">
        <v>1600</v>
      </c>
      <c r="Q874" s="69">
        <v>2000</v>
      </c>
      <c r="R874" s="69" t="str">
        <f>IF((L875=""),"",((M874-N874)/(M874+N874))*100)</f>
        <v/>
      </c>
      <c r="S874" s="69">
        <v>23</v>
      </c>
      <c r="T874" s="130" t="str">
        <f>IF(L875="","",IF(R875&lt;20,(IF(O874&gt;1730,IF(O874&lt;1970,"Pass","Fail"),"Fail"))))</f>
        <v/>
      </c>
      <c r="U874" s="153"/>
      <c r="V874" s="159"/>
      <c r="W874" s="56">
        <v>1730</v>
      </c>
      <c r="X874" s="56">
        <v>1970</v>
      </c>
      <c r="Y874" s="56">
        <v>6.2</v>
      </c>
    </row>
    <row r="875" spans="1:25" x14ac:dyDescent="0.3">
      <c r="A875" s="155"/>
      <c r="B875" s="147"/>
      <c r="C875" s="71" t="s">
        <v>89</v>
      </c>
      <c r="M875" s="77"/>
      <c r="N875" s="77"/>
      <c r="O875" s="77"/>
      <c r="P875" s="77"/>
      <c r="Q875" s="77"/>
      <c r="R875" s="77"/>
      <c r="S875" s="77"/>
      <c r="T875" s="132"/>
      <c r="U875" s="77"/>
      <c r="V875" s="159"/>
    </row>
    <row r="876" spans="1:25" ht="39.9" x14ac:dyDescent="0.3">
      <c r="A876" s="156"/>
      <c r="B876" s="149"/>
      <c r="C876" s="71" t="s">
        <v>123</v>
      </c>
      <c r="D876" s="38" t="str">
        <f t="shared" ref="D876:L876" si="288">IF(((D874="")*AND(D875="")),"",(D874-D875)*1)</f>
        <v/>
      </c>
      <c r="E876" s="38" t="str">
        <f t="shared" si="288"/>
        <v/>
      </c>
      <c r="F876" s="38" t="str">
        <f t="shared" si="288"/>
        <v/>
      </c>
      <c r="G876" s="38" t="str">
        <f t="shared" si="288"/>
        <v/>
      </c>
      <c r="H876" s="38" t="str">
        <f t="shared" si="288"/>
        <v/>
      </c>
      <c r="I876" s="38" t="str">
        <f t="shared" si="288"/>
        <v/>
      </c>
      <c r="J876" s="38" t="str">
        <f t="shared" si="288"/>
        <v/>
      </c>
      <c r="K876" s="38" t="str">
        <f t="shared" si="288"/>
        <v/>
      </c>
      <c r="L876" s="38" t="str">
        <f t="shared" si="288"/>
        <v/>
      </c>
      <c r="M876" s="135"/>
      <c r="N876" s="135"/>
      <c r="O876" s="135"/>
      <c r="P876" s="135"/>
      <c r="Q876" s="135"/>
      <c r="R876" s="135"/>
      <c r="S876" s="135"/>
      <c r="T876" s="136"/>
      <c r="U876" s="135"/>
      <c r="V876" s="159"/>
    </row>
    <row r="877" spans="1:25" x14ac:dyDescent="0.3">
      <c r="A877" s="154"/>
      <c r="B877" s="129" t="s">
        <v>124</v>
      </c>
      <c r="C877" s="71" t="s">
        <v>88</v>
      </c>
      <c r="M877" s="69" t="str">
        <f>IF((L878=""),"",MAX(D879:L879))</f>
        <v/>
      </c>
      <c r="N877" s="69" t="str">
        <f>IF(L878="","",MIN(D879:L879))</f>
        <v/>
      </c>
      <c r="O877" s="69" t="str">
        <f>IF((L879=""),"",AVERAGE(D879:L879))</f>
        <v/>
      </c>
      <c r="P877" s="69">
        <v>1600</v>
      </c>
      <c r="Q877" s="69">
        <v>2000</v>
      </c>
      <c r="R877" s="69" t="str">
        <f>IF((L878=""),"",((M877-N877)/(M877+N877))*100)</f>
        <v/>
      </c>
      <c r="S877" s="69">
        <v>23</v>
      </c>
      <c r="T877" s="130" t="str">
        <f>IF(L878="","",IF(R878&lt;20,(IF(O877&gt;1730,IF(O877&lt;1970,"Pass","Fail"),"Fail"))))</f>
        <v/>
      </c>
      <c r="U877" s="153"/>
      <c r="V877" s="159"/>
      <c r="W877" s="56">
        <v>1730</v>
      </c>
      <c r="X877" s="56">
        <v>1970</v>
      </c>
      <c r="Y877" s="56">
        <v>6.2</v>
      </c>
    </row>
    <row r="878" spans="1:25" x14ac:dyDescent="0.3">
      <c r="A878" s="155"/>
      <c r="B878" s="147"/>
      <c r="C878" s="71" t="s">
        <v>89</v>
      </c>
      <c r="M878" s="77"/>
      <c r="N878" s="77"/>
      <c r="O878" s="77"/>
      <c r="P878" s="77"/>
      <c r="Q878" s="77"/>
      <c r="R878" s="77"/>
      <c r="S878" s="77"/>
      <c r="T878" s="132"/>
      <c r="U878" s="77"/>
      <c r="V878" s="159"/>
    </row>
    <row r="879" spans="1:25" ht="39.9" x14ac:dyDescent="0.3">
      <c r="A879" s="156"/>
      <c r="B879" s="149"/>
      <c r="C879" s="71" t="s">
        <v>123</v>
      </c>
      <c r="D879" s="38" t="str">
        <f t="shared" ref="D879:L879" si="289">IF(((D877="")*AND(D878="")),"",(D877-D878)*1)</f>
        <v/>
      </c>
      <c r="E879" s="38" t="str">
        <f t="shared" si="289"/>
        <v/>
      </c>
      <c r="F879" s="38" t="str">
        <f t="shared" si="289"/>
        <v/>
      </c>
      <c r="G879" s="38" t="str">
        <f t="shared" si="289"/>
        <v/>
      </c>
      <c r="H879" s="38" t="str">
        <f t="shared" si="289"/>
        <v/>
      </c>
      <c r="I879" s="38" t="str">
        <f t="shared" si="289"/>
        <v/>
      </c>
      <c r="J879" s="38" t="str">
        <f t="shared" si="289"/>
        <v/>
      </c>
      <c r="K879" s="38" t="str">
        <f t="shared" si="289"/>
        <v/>
      </c>
      <c r="L879" s="38" t="str">
        <f t="shared" si="289"/>
        <v/>
      </c>
      <c r="M879" s="135"/>
      <c r="N879" s="135"/>
      <c r="O879" s="135"/>
      <c r="P879" s="135"/>
      <c r="Q879" s="135"/>
      <c r="R879" s="135"/>
      <c r="S879" s="135"/>
      <c r="T879" s="136"/>
      <c r="U879" s="135"/>
      <c r="V879" s="159"/>
    </row>
    <row r="880" spans="1:25" x14ac:dyDescent="0.3">
      <c r="A880" s="154"/>
      <c r="B880" s="129" t="s">
        <v>124</v>
      </c>
      <c r="C880" s="71" t="s">
        <v>88</v>
      </c>
      <c r="M880" s="69" t="str">
        <f>IF((L881=""),"",MAX(D882:L882))</f>
        <v/>
      </c>
      <c r="N880" s="69" t="str">
        <f>IF(L881="","",MIN(D882:L882))</f>
        <v/>
      </c>
      <c r="O880" s="69" t="str">
        <f>IF((L882=""),"",AVERAGE(D882:L882))</f>
        <v/>
      </c>
      <c r="P880" s="69">
        <v>1600</v>
      </c>
      <c r="Q880" s="69">
        <v>2000</v>
      </c>
      <c r="R880" s="69" t="str">
        <f>IF((L881=""),"",((M880-N880)/(M880+N880))*100)</f>
        <v/>
      </c>
      <c r="S880" s="69">
        <v>23</v>
      </c>
      <c r="T880" s="130" t="str">
        <f>IF(L881="","",IF(R881&lt;20,(IF(O880&gt;1730,IF(O880&lt;1970,"Pass","Fail"),"Fail"))))</f>
        <v/>
      </c>
      <c r="U880" s="153"/>
      <c r="V880" s="159"/>
      <c r="W880" s="56">
        <v>1730</v>
      </c>
      <c r="X880" s="56">
        <v>1970</v>
      </c>
      <c r="Y880" s="56">
        <v>6.2</v>
      </c>
    </row>
    <row r="881" spans="1:25" x14ac:dyDescent="0.3">
      <c r="A881" s="155"/>
      <c r="B881" s="147"/>
      <c r="C881" s="71" t="s">
        <v>89</v>
      </c>
      <c r="M881" s="77"/>
      <c r="N881" s="77"/>
      <c r="O881" s="77"/>
      <c r="P881" s="77"/>
      <c r="Q881" s="77"/>
      <c r="R881" s="77"/>
      <c r="S881" s="77"/>
      <c r="T881" s="132"/>
      <c r="U881" s="77"/>
      <c r="V881" s="159"/>
    </row>
    <row r="882" spans="1:25" ht="39.9" x14ac:dyDescent="0.3">
      <c r="A882" s="156"/>
      <c r="B882" s="149"/>
      <c r="C882" s="71" t="s">
        <v>123</v>
      </c>
      <c r="D882" s="38" t="str">
        <f t="shared" ref="D882:L882" si="290">IF(((D880="")*AND(D881="")),"",(D880-D881)*1)</f>
        <v/>
      </c>
      <c r="E882" s="38" t="str">
        <f t="shared" si="290"/>
        <v/>
      </c>
      <c r="F882" s="38" t="str">
        <f t="shared" si="290"/>
        <v/>
      </c>
      <c r="G882" s="38" t="str">
        <f t="shared" si="290"/>
        <v/>
      </c>
      <c r="H882" s="38" t="str">
        <f t="shared" si="290"/>
        <v/>
      </c>
      <c r="I882" s="38" t="str">
        <f t="shared" si="290"/>
        <v/>
      </c>
      <c r="J882" s="38" t="str">
        <f t="shared" si="290"/>
        <v/>
      </c>
      <c r="K882" s="38" t="str">
        <f t="shared" si="290"/>
        <v/>
      </c>
      <c r="L882" s="38" t="str">
        <f t="shared" si="290"/>
        <v/>
      </c>
      <c r="M882" s="135"/>
      <c r="N882" s="135"/>
      <c r="O882" s="135"/>
      <c r="P882" s="135"/>
      <c r="Q882" s="135"/>
      <c r="R882" s="135"/>
      <c r="S882" s="135"/>
      <c r="T882" s="136"/>
      <c r="U882" s="135"/>
      <c r="V882" s="159"/>
    </row>
    <row r="883" spans="1:25" x14ac:dyDescent="0.3">
      <c r="A883" s="154"/>
      <c r="B883" s="129" t="s">
        <v>124</v>
      </c>
      <c r="C883" s="71" t="s">
        <v>88</v>
      </c>
      <c r="M883" s="69" t="str">
        <f>IF((L884=""),"",MAX(D885:L885))</f>
        <v/>
      </c>
      <c r="N883" s="69" t="str">
        <f>IF(L884="","",MIN(D885:L885))</f>
        <v/>
      </c>
      <c r="O883" s="69" t="str">
        <f>IF((L885=""),"",AVERAGE(D885:L885))</f>
        <v/>
      </c>
      <c r="P883" s="69">
        <v>1600</v>
      </c>
      <c r="Q883" s="69">
        <v>2000</v>
      </c>
      <c r="R883" s="69" t="str">
        <f>IF((L884=""),"",((M883-N883)/(M883+N883))*100)</f>
        <v/>
      </c>
      <c r="S883" s="69">
        <v>23</v>
      </c>
      <c r="T883" s="130" t="str">
        <f>IF(L884="","",IF(R884&lt;20,(IF(O883&gt;1730,IF(O883&lt;1970,"Pass","Fail"),"Fail"))))</f>
        <v/>
      </c>
      <c r="U883" s="153"/>
      <c r="V883" s="159"/>
      <c r="W883" s="56">
        <v>1730</v>
      </c>
      <c r="X883" s="56">
        <v>1970</v>
      </c>
      <c r="Y883" s="56">
        <v>6.2</v>
      </c>
    </row>
    <row r="884" spans="1:25" x14ac:dyDescent="0.3">
      <c r="A884" s="155"/>
      <c r="B884" s="147"/>
      <c r="C884" s="71" t="s">
        <v>89</v>
      </c>
      <c r="M884" s="77"/>
      <c r="N884" s="77"/>
      <c r="O884" s="77"/>
      <c r="P884" s="77"/>
      <c r="Q884" s="77"/>
      <c r="R884" s="77"/>
      <c r="S884" s="77"/>
      <c r="T884" s="132"/>
      <c r="U884" s="77"/>
      <c r="V884" s="159"/>
    </row>
    <row r="885" spans="1:25" ht="39.9" x14ac:dyDescent="0.3">
      <c r="A885" s="156"/>
      <c r="B885" s="149"/>
      <c r="C885" s="71" t="s">
        <v>123</v>
      </c>
      <c r="D885" s="38" t="str">
        <f t="shared" ref="D885:L885" si="291">IF(((D883="")*AND(D884="")),"",(D883-D884)*1)</f>
        <v/>
      </c>
      <c r="E885" s="38" t="str">
        <f t="shared" si="291"/>
        <v/>
      </c>
      <c r="F885" s="38" t="str">
        <f t="shared" si="291"/>
        <v/>
      </c>
      <c r="G885" s="38" t="str">
        <f t="shared" si="291"/>
        <v/>
      </c>
      <c r="H885" s="38" t="str">
        <f t="shared" si="291"/>
        <v/>
      </c>
      <c r="I885" s="38" t="str">
        <f t="shared" si="291"/>
        <v/>
      </c>
      <c r="J885" s="38" t="str">
        <f t="shared" si="291"/>
        <v/>
      </c>
      <c r="K885" s="38" t="str">
        <f t="shared" si="291"/>
        <v/>
      </c>
      <c r="L885" s="38" t="str">
        <f t="shared" si="291"/>
        <v/>
      </c>
      <c r="M885" s="135"/>
      <c r="N885" s="135"/>
      <c r="O885" s="135"/>
      <c r="P885" s="135"/>
      <c r="Q885" s="135"/>
      <c r="R885" s="135"/>
      <c r="S885" s="135"/>
      <c r="T885" s="136"/>
      <c r="U885" s="135"/>
      <c r="V885" s="159"/>
    </row>
    <row r="886" spans="1:25" x14ac:dyDescent="0.3">
      <c r="A886" s="154"/>
      <c r="B886" s="129" t="s">
        <v>124</v>
      </c>
      <c r="C886" s="71" t="s">
        <v>88</v>
      </c>
      <c r="M886" s="69" t="str">
        <f>IF((L887=""),"",MAX(D888:L888))</f>
        <v/>
      </c>
      <c r="N886" s="69" t="str">
        <f>IF(L887="","",MIN(D888:L888))</f>
        <v/>
      </c>
      <c r="O886" s="69" t="str">
        <f>IF((L888=""),"",AVERAGE(D888:L888))</f>
        <v/>
      </c>
      <c r="P886" s="69">
        <v>1600</v>
      </c>
      <c r="Q886" s="69">
        <v>2000</v>
      </c>
      <c r="R886" s="69" t="str">
        <f>IF((L887=""),"",((M886-N886)/(M886+N886))*100)</f>
        <v/>
      </c>
      <c r="S886" s="69">
        <v>23</v>
      </c>
      <c r="T886" s="130" t="str">
        <f>IF(L887="","",IF(R887&lt;20,(IF(O886&gt;1730,IF(O886&lt;1970,"Pass","Fail"),"Fail"))))</f>
        <v/>
      </c>
      <c r="U886" s="153"/>
      <c r="V886" s="159"/>
      <c r="W886" s="56">
        <v>1730</v>
      </c>
      <c r="X886" s="56">
        <v>1970</v>
      </c>
      <c r="Y886" s="56">
        <v>6.2</v>
      </c>
    </row>
    <row r="887" spans="1:25" x14ac:dyDescent="0.3">
      <c r="A887" s="155"/>
      <c r="B887" s="147"/>
      <c r="C887" s="71" t="s">
        <v>89</v>
      </c>
      <c r="M887" s="77"/>
      <c r="N887" s="77"/>
      <c r="O887" s="77"/>
      <c r="P887" s="77"/>
      <c r="Q887" s="77"/>
      <c r="R887" s="77"/>
      <c r="S887" s="77"/>
      <c r="T887" s="132"/>
      <c r="U887" s="77"/>
      <c r="V887" s="159"/>
    </row>
    <row r="888" spans="1:25" ht="39.9" x14ac:dyDescent="0.3">
      <c r="A888" s="156"/>
      <c r="B888" s="149"/>
      <c r="C888" s="71" t="s">
        <v>123</v>
      </c>
      <c r="D888" s="38" t="str">
        <f t="shared" ref="D888:L888" si="292">IF(((D886="")*AND(D887="")),"",(D886-D887)*1)</f>
        <v/>
      </c>
      <c r="E888" s="38" t="str">
        <f t="shared" si="292"/>
        <v/>
      </c>
      <c r="F888" s="38" t="str">
        <f t="shared" si="292"/>
        <v/>
      </c>
      <c r="G888" s="38" t="str">
        <f t="shared" si="292"/>
        <v/>
      </c>
      <c r="H888" s="38" t="str">
        <f t="shared" si="292"/>
        <v/>
      </c>
      <c r="I888" s="38" t="str">
        <f t="shared" si="292"/>
        <v/>
      </c>
      <c r="J888" s="38" t="str">
        <f t="shared" si="292"/>
        <v/>
      </c>
      <c r="K888" s="38" t="str">
        <f t="shared" si="292"/>
        <v/>
      </c>
      <c r="L888" s="38" t="str">
        <f t="shared" si="292"/>
        <v/>
      </c>
      <c r="M888" s="135"/>
      <c r="N888" s="135"/>
      <c r="O888" s="135"/>
      <c r="P888" s="135"/>
      <c r="Q888" s="135"/>
      <c r="R888" s="135"/>
      <c r="S888" s="135"/>
      <c r="T888" s="136"/>
      <c r="U888" s="135"/>
      <c r="V888" s="159"/>
    </row>
    <row r="889" spans="1:25" x14ac:dyDescent="0.3">
      <c r="A889" s="154"/>
      <c r="B889" s="129" t="s">
        <v>124</v>
      </c>
      <c r="C889" s="71" t="s">
        <v>88</v>
      </c>
      <c r="M889" s="69" t="str">
        <f>IF((L890=""),"",MAX(D891:L891))</f>
        <v/>
      </c>
      <c r="N889" s="69" t="str">
        <f>IF(L890="","",MIN(D891:L891))</f>
        <v/>
      </c>
      <c r="O889" s="69" t="str">
        <f>IF((L891=""),"",AVERAGE(D891:L891))</f>
        <v/>
      </c>
      <c r="P889" s="69">
        <v>1600</v>
      </c>
      <c r="Q889" s="69">
        <v>2000</v>
      </c>
      <c r="R889" s="69" t="str">
        <f>IF((L890=""),"",((M889-N889)/(M889+N889))*100)</f>
        <v/>
      </c>
      <c r="S889" s="69">
        <v>23</v>
      </c>
      <c r="T889" s="130" t="str">
        <f>IF(L890="","",IF(R890&lt;20,(IF(O889&gt;1730,IF(O889&lt;1970,"Pass","Fail"),"Fail"))))</f>
        <v/>
      </c>
      <c r="U889" s="153"/>
      <c r="V889" s="159"/>
      <c r="W889" s="56">
        <v>1730</v>
      </c>
      <c r="X889" s="56">
        <v>1970</v>
      </c>
      <c r="Y889" s="56">
        <v>6.2</v>
      </c>
    </row>
    <row r="890" spans="1:25" x14ac:dyDescent="0.3">
      <c r="A890" s="155"/>
      <c r="B890" s="147"/>
      <c r="C890" s="71" t="s">
        <v>89</v>
      </c>
      <c r="M890" s="77"/>
      <c r="N890" s="77"/>
      <c r="O890" s="77"/>
      <c r="P890" s="77"/>
      <c r="Q890" s="77"/>
      <c r="R890" s="77"/>
      <c r="S890" s="77"/>
      <c r="T890" s="132"/>
      <c r="U890" s="77"/>
      <c r="V890" s="159"/>
    </row>
    <row r="891" spans="1:25" ht="39.9" x14ac:dyDescent="0.3">
      <c r="A891" s="156"/>
      <c r="B891" s="149"/>
      <c r="C891" s="71" t="s">
        <v>123</v>
      </c>
      <c r="D891" s="38" t="str">
        <f t="shared" ref="D891:L891" si="293">IF(((D889="")*AND(D890="")),"",(D889-D890)*1)</f>
        <v/>
      </c>
      <c r="E891" s="38" t="str">
        <f t="shared" si="293"/>
        <v/>
      </c>
      <c r="F891" s="38" t="str">
        <f t="shared" si="293"/>
        <v/>
      </c>
      <c r="G891" s="38" t="str">
        <f t="shared" si="293"/>
        <v/>
      </c>
      <c r="H891" s="38" t="str">
        <f t="shared" si="293"/>
        <v/>
      </c>
      <c r="I891" s="38" t="str">
        <f t="shared" si="293"/>
        <v/>
      </c>
      <c r="J891" s="38" t="str">
        <f t="shared" si="293"/>
        <v/>
      </c>
      <c r="K891" s="38" t="str">
        <f t="shared" si="293"/>
        <v/>
      </c>
      <c r="L891" s="38" t="str">
        <f t="shared" si="293"/>
        <v/>
      </c>
      <c r="M891" s="135"/>
      <c r="N891" s="135"/>
      <c r="O891" s="135"/>
      <c r="P891" s="135"/>
      <c r="Q891" s="135"/>
      <c r="R891" s="135"/>
      <c r="S891" s="135"/>
      <c r="T891" s="136"/>
      <c r="U891" s="135"/>
      <c r="V891" s="159"/>
    </row>
    <row r="892" spans="1:25" x14ac:dyDescent="0.3">
      <c r="A892" s="154"/>
      <c r="B892" s="129" t="s">
        <v>124</v>
      </c>
      <c r="C892" s="71" t="s">
        <v>88</v>
      </c>
      <c r="M892" s="69" t="str">
        <f>IF((L893=""),"",MAX(D894:L894))</f>
        <v/>
      </c>
      <c r="N892" s="69" t="str">
        <f>IF(L893="","",MIN(D894:L894))</f>
        <v/>
      </c>
      <c r="O892" s="69" t="str">
        <f>IF((L894=""),"",AVERAGE(D894:L894))</f>
        <v/>
      </c>
      <c r="P892" s="69">
        <v>1600</v>
      </c>
      <c r="Q892" s="69">
        <v>2000</v>
      </c>
      <c r="R892" s="69" t="str">
        <f>IF((L893=""),"",((M892-N892)/(M892+N892))*100)</f>
        <v/>
      </c>
      <c r="S892" s="69">
        <v>23</v>
      </c>
      <c r="T892" s="130" t="str">
        <f>IF(L893="","",IF(R893&lt;20,(IF(O892&gt;1730,IF(O892&lt;1970,"Pass","Fail"),"Fail"))))</f>
        <v/>
      </c>
      <c r="U892" s="153"/>
      <c r="V892" s="159"/>
      <c r="W892" s="56">
        <v>1730</v>
      </c>
      <c r="X892" s="56">
        <v>1970</v>
      </c>
      <c r="Y892" s="56">
        <v>6.2</v>
      </c>
    </row>
    <row r="893" spans="1:25" x14ac:dyDescent="0.3">
      <c r="A893" s="155"/>
      <c r="B893" s="147"/>
      <c r="C893" s="71" t="s">
        <v>89</v>
      </c>
      <c r="M893" s="77"/>
      <c r="N893" s="77"/>
      <c r="O893" s="77"/>
      <c r="P893" s="77"/>
      <c r="Q893" s="77"/>
      <c r="R893" s="77"/>
      <c r="S893" s="77"/>
      <c r="T893" s="132"/>
      <c r="U893" s="77"/>
      <c r="V893" s="159"/>
    </row>
    <row r="894" spans="1:25" ht="39.9" x14ac:dyDescent="0.3">
      <c r="A894" s="156"/>
      <c r="B894" s="149"/>
      <c r="C894" s="71" t="s">
        <v>123</v>
      </c>
      <c r="D894" s="38" t="str">
        <f t="shared" ref="D894:L894" si="294">IF(((D892="")*AND(D893="")),"",(D892-D893)*1)</f>
        <v/>
      </c>
      <c r="E894" s="38" t="str">
        <f t="shared" si="294"/>
        <v/>
      </c>
      <c r="F894" s="38" t="str">
        <f t="shared" si="294"/>
        <v/>
      </c>
      <c r="G894" s="38" t="str">
        <f t="shared" si="294"/>
        <v/>
      </c>
      <c r="H894" s="38" t="str">
        <f t="shared" si="294"/>
        <v/>
      </c>
      <c r="I894" s="38" t="str">
        <f t="shared" si="294"/>
        <v/>
      </c>
      <c r="J894" s="38" t="str">
        <f t="shared" si="294"/>
        <v/>
      </c>
      <c r="K894" s="38" t="str">
        <f t="shared" si="294"/>
        <v/>
      </c>
      <c r="L894" s="38" t="str">
        <f t="shared" si="294"/>
        <v/>
      </c>
      <c r="M894" s="135"/>
      <c r="N894" s="135"/>
      <c r="O894" s="135"/>
      <c r="P894" s="135"/>
      <c r="Q894" s="135"/>
      <c r="R894" s="135"/>
      <c r="S894" s="135"/>
      <c r="T894" s="136"/>
      <c r="U894" s="135"/>
      <c r="V894" s="159"/>
    </row>
    <row r="895" spans="1:25" x14ac:dyDescent="0.3">
      <c r="A895" s="154"/>
      <c r="B895" s="129" t="s">
        <v>124</v>
      </c>
      <c r="C895" s="71" t="s">
        <v>88</v>
      </c>
      <c r="M895" s="69" t="str">
        <f>IF((L896=""),"",MAX(D897:L897))</f>
        <v/>
      </c>
      <c r="N895" s="69" t="str">
        <f>IF(L896="","",MIN(D897:L897))</f>
        <v/>
      </c>
      <c r="O895" s="69" t="str">
        <f>IF((L897=""),"",AVERAGE(D897:L897))</f>
        <v/>
      </c>
      <c r="P895" s="69">
        <v>1600</v>
      </c>
      <c r="Q895" s="69">
        <v>2000</v>
      </c>
      <c r="R895" s="69" t="str">
        <f>IF((L896=""),"",((M895-N895)/(M895+N895))*100)</f>
        <v/>
      </c>
      <c r="S895" s="69">
        <v>23</v>
      </c>
      <c r="T895" s="130" t="str">
        <f>IF(L896="","",IF(R896&lt;20,(IF(O895&gt;1730,IF(O895&lt;1970,"Pass","Fail"),"Fail"))))</f>
        <v/>
      </c>
      <c r="U895" s="153"/>
      <c r="V895" s="159"/>
      <c r="W895" s="56">
        <v>1730</v>
      </c>
      <c r="X895" s="56">
        <v>1970</v>
      </c>
      <c r="Y895" s="56">
        <v>6.2</v>
      </c>
    </row>
    <row r="896" spans="1:25" x14ac:dyDescent="0.3">
      <c r="A896" s="155"/>
      <c r="B896" s="147"/>
      <c r="C896" s="71" t="s">
        <v>89</v>
      </c>
      <c r="M896" s="77"/>
      <c r="N896" s="77"/>
      <c r="O896" s="77"/>
      <c r="P896" s="77"/>
      <c r="Q896" s="77"/>
      <c r="R896" s="77"/>
      <c r="S896" s="77"/>
      <c r="T896" s="132"/>
      <c r="U896" s="77"/>
      <c r="V896" s="159"/>
    </row>
    <row r="897" spans="1:25" ht="39.9" x14ac:dyDescent="0.3">
      <c r="A897" s="156"/>
      <c r="B897" s="149"/>
      <c r="C897" s="71" t="s">
        <v>123</v>
      </c>
      <c r="D897" s="38" t="str">
        <f t="shared" ref="D897:L897" si="295">IF(((D895="")*AND(D896="")),"",(D895-D896)*1)</f>
        <v/>
      </c>
      <c r="E897" s="38" t="str">
        <f t="shared" si="295"/>
        <v/>
      </c>
      <c r="F897" s="38" t="str">
        <f t="shared" si="295"/>
        <v/>
      </c>
      <c r="G897" s="38" t="str">
        <f t="shared" si="295"/>
        <v/>
      </c>
      <c r="H897" s="38" t="str">
        <f t="shared" si="295"/>
        <v/>
      </c>
      <c r="I897" s="38" t="str">
        <f t="shared" si="295"/>
        <v/>
      </c>
      <c r="J897" s="38" t="str">
        <f t="shared" si="295"/>
        <v/>
      </c>
      <c r="K897" s="38" t="str">
        <f t="shared" si="295"/>
        <v/>
      </c>
      <c r="L897" s="38" t="str">
        <f t="shared" si="295"/>
        <v/>
      </c>
      <c r="M897" s="135"/>
      <c r="N897" s="135"/>
      <c r="O897" s="135"/>
      <c r="P897" s="135"/>
      <c r="Q897" s="135"/>
      <c r="R897" s="135"/>
      <c r="S897" s="135"/>
      <c r="T897" s="136"/>
      <c r="U897" s="135"/>
      <c r="V897" s="159"/>
    </row>
    <row r="898" spans="1:25" x14ac:dyDescent="0.3">
      <c r="A898" s="154"/>
      <c r="B898" s="129" t="s">
        <v>124</v>
      </c>
      <c r="C898" s="71" t="s">
        <v>88</v>
      </c>
      <c r="M898" s="69" t="str">
        <f>IF((L899=""),"",MAX(D900:L900))</f>
        <v/>
      </c>
      <c r="N898" s="69" t="str">
        <f>IF(L899="","",MIN(D900:L900))</f>
        <v/>
      </c>
      <c r="O898" s="69" t="str">
        <f>IF((L900=""),"",AVERAGE(D900:L900))</f>
        <v/>
      </c>
      <c r="P898" s="69">
        <v>1600</v>
      </c>
      <c r="Q898" s="69">
        <v>2000</v>
      </c>
      <c r="R898" s="69" t="str">
        <f>IF((L899=""),"",((M898-N898)/(M898+N898))*100)</f>
        <v/>
      </c>
      <c r="S898" s="69">
        <v>23</v>
      </c>
      <c r="T898" s="130" t="str">
        <f>IF(L899="","",IF(R899&lt;20,(IF(O898&gt;1730,IF(O898&lt;1970,"Pass","Fail"),"Fail"))))</f>
        <v/>
      </c>
      <c r="U898" s="153"/>
      <c r="V898" s="159"/>
      <c r="W898" s="56">
        <v>1730</v>
      </c>
      <c r="X898" s="56">
        <v>1970</v>
      </c>
      <c r="Y898" s="56">
        <v>6.2</v>
      </c>
    </row>
    <row r="899" spans="1:25" x14ac:dyDescent="0.3">
      <c r="A899" s="155"/>
      <c r="B899" s="147"/>
      <c r="C899" s="71" t="s">
        <v>89</v>
      </c>
      <c r="M899" s="77"/>
      <c r="N899" s="77"/>
      <c r="O899" s="77"/>
      <c r="P899" s="77"/>
      <c r="Q899" s="77"/>
      <c r="R899" s="77"/>
      <c r="S899" s="77"/>
      <c r="T899" s="132"/>
      <c r="U899" s="77"/>
      <c r="V899" s="159"/>
    </row>
    <row r="900" spans="1:25" ht="39.9" x14ac:dyDescent="0.3">
      <c r="A900" s="156"/>
      <c r="B900" s="149"/>
      <c r="C900" s="71" t="s">
        <v>123</v>
      </c>
      <c r="D900" s="38" t="str">
        <f t="shared" ref="D900:L900" si="296">IF(((D898="")*AND(D899="")),"",(D898-D899)*1)</f>
        <v/>
      </c>
      <c r="E900" s="38" t="str">
        <f t="shared" si="296"/>
        <v/>
      </c>
      <c r="F900" s="38" t="str">
        <f t="shared" si="296"/>
        <v/>
      </c>
      <c r="G900" s="38" t="str">
        <f t="shared" si="296"/>
        <v/>
      </c>
      <c r="H900" s="38" t="str">
        <f t="shared" si="296"/>
        <v/>
      </c>
      <c r="I900" s="38" t="str">
        <f t="shared" si="296"/>
        <v/>
      </c>
      <c r="J900" s="38" t="str">
        <f t="shared" si="296"/>
        <v/>
      </c>
      <c r="K900" s="38" t="str">
        <f t="shared" si="296"/>
        <v/>
      </c>
      <c r="L900" s="38" t="str">
        <f t="shared" si="296"/>
        <v/>
      </c>
      <c r="M900" s="135"/>
      <c r="N900" s="135"/>
      <c r="O900" s="135"/>
      <c r="P900" s="135"/>
      <c r="Q900" s="135"/>
      <c r="R900" s="135"/>
      <c r="S900" s="135"/>
      <c r="T900" s="136"/>
      <c r="U900" s="135"/>
      <c r="V900" s="159"/>
    </row>
    <row r="901" spans="1:25" x14ac:dyDescent="0.3">
      <c r="A901" s="154"/>
      <c r="B901" s="129" t="s">
        <v>124</v>
      </c>
      <c r="C901" s="71" t="s">
        <v>88</v>
      </c>
      <c r="M901" s="69" t="str">
        <f>IF((L902=""),"",MAX(D903:L903))</f>
        <v/>
      </c>
      <c r="N901" s="69" t="str">
        <f>IF(L902="","",MIN(D903:L903))</f>
        <v/>
      </c>
      <c r="O901" s="69" t="str">
        <f>IF((L903=""),"",AVERAGE(D903:L903))</f>
        <v/>
      </c>
      <c r="P901" s="69">
        <v>1600</v>
      </c>
      <c r="Q901" s="69">
        <v>2000</v>
      </c>
      <c r="R901" s="69" t="str">
        <f>IF((L902=""),"",((M901-N901)/(M901+N901))*100)</f>
        <v/>
      </c>
      <c r="S901" s="69">
        <v>23</v>
      </c>
      <c r="T901" s="130" t="str">
        <f>IF(L902="","",IF(R902&lt;20,(IF(O901&gt;1730,IF(O901&lt;1970,"Pass","Fail"),"Fail"))))</f>
        <v/>
      </c>
      <c r="U901" s="153"/>
      <c r="V901" s="159"/>
      <c r="W901" s="56">
        <v>1730</v>
      </c>
      <c r="X901" s="56">
        <v>1970</v>
      </c>
      <c r="Y901" s="56">
        <v>6.2</v>
      </c>
    </row>
    <row r="902" spans="1:25" x14ac:dyDescent="0.3">
      <c r="A902" s="155"/>
      <c r="B902" s="147"/>
      <c r="C902" s="71" t="s">
        <v>89</v>
      </c>
      <c r="M902" s="77"/>
      <c r="N902" s="77"/>
      <c r="O902" s="77"/>
      <c r="P902" s="77"/>
      <c r="Q902" s="77"/>
      <c r="R902" s="77"/>
      <c r="S902" s="77"/>
      <c r="T902" s="132"/>
      <c r="U902" s="77"/>
      <c r="V902" s="159"/>
    </row>
    <row r="903" spans="1:25" ht="39.9" x14ac:dyDescent="0.3">
      <c r="A903" s="156"/>
      <c r="B903" s="149"/>
      <c r="C903" s="71" t="s">
        <v>123</v>
      </c>
      <c r="D903" s="38" t="str">
        <f t="shared" ref="D903:L903" si="297">IF(((D901="")*AND(D902="")),"",(D901-D902)*1)</f>
        <v/>
      </c>
      <c r="E903" s="38" t="str">
        <f t="shared" si="297"/>
        <v/>
      </c>
      <c r="F903" s="38" t="str">
        <f t="shared" si="297"/>
        <v/>
      </c>
      <c r="G903" s="38" t="str">
        <f t="shared" si="297"/>
        <v/>
      </c>
      <c r="H903" s="38" t="str">
        <f t="shared" si="297"/>
        <v/>
      </c>
      <c r="I903" s="38" t="str">
        <f t="shared" si="297"/>
        <v/>
      </c>
      <c r="J903" s="38" t="str">
        <f t="shared" si="297"/>
        <v/>
      </c>
      <c r="K903" s="38" t="str">
        <f t="shared" si="297"/>
        <v/>
      </c>
      <c r="L903" s="38" t="str">
        <f t="shared" si="297"/>
        <v/>
      </c>
      <c r="M903" s="135"/>
      <c r="N903" s="135"/>
      <c r="O903" s="135"/>
      <c r="P903" s="135"/>
      <c r="Q903" s="135"/>
      <c r="R903" s="135"/>
      <c r="S903" s="135"/>
      <c r="T903" s="136"/>
      <c r="U903" s="135"/>
      <c r="V903" s="159"/>
    </row>
    <row r="904" spans="1:25" x14ac:dyDescent="0.3">
      <c r="A904" s="154"/>
      <c r="B904" s="129" t="s">
        <v>124</v>
      </c>
      <c r="C904" s="71" t="s">
        <v>88</v>
      </c>
      <c r="M904" s="69" t="str">
        <f>IF((L905=""),"",MAX(D906:L906))</f>
        <v/>
      </c>
      <c r="N904" s="69" t="str">
        <f>IF(L905="","",MIN(D906:L906))</f>
        <v/>
      </c>
      <c r="O904" s="69" t="str">
        <f>IF((L906=""),"",AVERAGE(D906:L906))</f>
        <v/>
      </c>
      <c r="P904" s="69">
        <v>1600</v>
      </c>
      <c r="Q904" s="69">
        <v>2000</v>
      </c>
      <c r="R904" s="69" t="str">
        <f>IF((L905=""),"",((M904-N904)/(M904+N904))*100)</f>
        <v/>
      </c>
      <c r="S904" s="69">
        <v>23</v>
      </c>
      <c r="T904" s="130" t="str">
        <f>IF(L905="","",IF(R905&lt;20,(IF(O904&gt;1730,IF(O904&lt;1970,"Pass","Fail"),"Fail"))))</f>
        <v/>
      </c>
      <c r="U904" s="153"/>
      <c r="V904" s="159"/>
      <c r="W904" s="56">
        <v>1730</v>
      </c>
      <c r="X904" s="56">
        <v>1970</v>
      </c>
      <c r="Y904" s="56">
        <v>6.2</v>
      </c>
    </row>
    <row r="905" spans="1:25" x14ac:dyDescent="0.3">
      <c r="A905" s="155"/>
      <c r="B905" s="147"/>
      <c r="C905" s="71" t="s">
        <v>89</v>
      </c>
      <c r="M905" s="77"/>
      <c r="N905" s="77"/>
      <c r="O905" s="77"/>
      <c r="P905" s="77"/>
      <c r="Q905" s="77"/>
      <c r="R905" s="77"/>
      <c r="S905" s="77"/>
      <c r="T905" s="132"/>
      <c r="U905" s="77"/>
      <c r="V905" s="159"/>
    </row>
    <row r="906" spans="1:25" ht="39.9" x14ac:dyDescent="0.3">
      <c r="A906" s="156"/>
      <c r="B906" s="149"/>
      <c r="C906" s="71" t="s">
        <v>123</v>
      </c>
      <c r="D906" s="38" t="str">
        <f t="shared" ref="D906:L906" si="298">IF(((D904="")*AND(D905="")),"",(D904-D905)*1)</f>
        <v/>
      </c>
      <c r="E906" s="38" t="str">
        <f t="shared" si="298"/>
        <v/>
      </c>
      <c r="F906" s="38" t="str">
        <f t="shared" si="298"/>
        <v/>
      </c>
      <c r="G906" s="38" t="str">
        <f t="shared" si="298"/>
        <v/>
      </c>
      <c r="H906" s="38" t="str">
        <f t="shared" si="298"/>
        <v/>
      </c>
      <c r="I906" s="38" t="str">
        <f t="shared" si="298"/>
        <v/>
      </c>
      <c r="J906" s="38" t="str">
        <f t="shared" si="298"/>
        <v/>
      </c>
      <c r="K906" s="38" t="str">
        <f t="shared" si="298"/>
        <v/>
      </c>
      <c r="L906" s="38" t="str">
        <f t="shared" si="298"/>
        <v/>
      </c>
      <c r="M906" s="135"/>
      <c r="N906" s="135"/>
      <c r="O906" s="135"/>
      <c r="P906" s="135"/>
      <c r="Q906" s="135"/>
      <c r="R906" s="135"/>
      <c r="S906" s="135"/>
      <c r="T906" s="136"/>
      <c r="U906" s="135"/>
      <c r="V906" s="159"/>
    </row>
    <row r="907" spans="1:25" x14ac:dyDescent="0.3">
      <c r="A907" s="154"/>
      <c r="B907" s="129" t="s">
        <v>124</v>
      </c>
      <c r="C907" s="71" t="s">
        <v>88</v>
      </c>
      <c r="M907" s="69" t="str">
        <f>IF((L908=""),"",MAX(D909:L909))</f>
        <v/>
      </c>
      <c r="N907" s="69" t="str">
        <f>IF(L908="","",MIN(D909:L909))</f>
        <v/>
      </c>
      <c r="O907" s="69" t="str">
        <f>IF((L909=""),"",AVERAGE(D909:L909))</f>
        <v/>
      </c>
      <c r="P907" s="69">
        <v>1600</v>
      </c>
      <c r="Q907" s="69">
        <v>2000</v>
      </c>
      <c r="R907" s="69" t="str">
        <f>IF((L908=""),"",((M907-N907)/(M907+N907))*100)</f>
        <v/>
      </c>
      <c r="S907" s="69">
        <v>23</v>
      </c>
      <c r="T907" s="130" t="str">
        <f>IF(L908="","",IF(R908&lt;20,(IF(O907&gt;1730,IF(O907&lt;1970,"Pass","Fail"),"Fail"))))</f>
        <v/>
      </c>
      <c r="U907" s="153"/>
      <c r="V907" s="159"/>
      <c r="W907" s="56">
        <v>1730</v>
      </c>
      <c r="X907" s="56">
        <v>1970</v>
      </c>
      <c r="Y907" s="56">
        <v>6.2</v>
      </c>
    </row>
    <row r="908" spans="1:25" x14ac:dyDescent="0.3">
      <c r="A908" s="155"/>
      <c r="B908" s="147"/>
      <c r="C908" s="71" t="s">
        <v>89</v>
      </c>
      <c r="M908" s="77"/>
      <c r="N908" s="77"/>
      <c r="O908" s="77"/>
      <c r="P908" s="77"/>
      <c r="Q908" s="77"/>
      <c r="R908" s="77"/>
      <c r="S908" s="77"/>
      <c r="T908" s="132"/>
      <c r="U908" s="77"/>
      <c r="V908" s="159"/>
    </row>
    <row r="909" spans="1:25" ht="39.9" x14ac:dyDescent="0.3">
      <c r="A909" s="156"/>
      <c r="B909" s="149"/>
      <c r="C909" s="71" t="s">
        <v>123</v>
      </c>
      <c r="D909" s="38" t="str">
        <f t="shared" ref="D909:L909" si="299">IF(((D907="")*AND(D908="")),"",(D907-D908)*1)</f>
        <v/>
      </c>
      <c r="E909" s="38" t="str">
        <f t="shared" si="299"/>
        <v/>
      </c>
      <c r="F909" s="38" t="str">
        <f t="shared" si="299"/>
        <v/>
      </c>
      <c r="G909" s="38" t="str">
        <f t="shared" si="299"/>
        <v/>
      </c>
      <c r="H909" s="38" t="str">
        <f t="shared" si="299"/>
        <v/>
      </c>
      <c r="I909" s="38" t="str">
        <f t="shared" si="299"/>
        <v/>
      </c>
      <c r="J909" s="38" t="str">
        <f t="shared" si="299"/>
        <v/>
      </c>
      <c r="K909" s="38" t="str">
        <f t="shared" si="299"/>
        <v/>
      </c>
      <c r="L909" s="38" t="str">
        <f t="shared" si="299"/>
        <v/>
      </c>
      <c r="M909" s="135"/>
      <c r="N909" s="135"/>
      <c r="O909" s="135"/>
      <c r="P909" s="135"/>
      <c r="Q909" s="135"/>
      <c r="R909" s="135"/>
      <c r="S909" s="135"/>
      <c r="T909" s="136"/>
      <c r="U909" s="135"/>
      <c r="V909" s="159"/>
    </row>
    <row r="910" spans="1:25" x14ac:dyDescent="0.3">
      <c r="A910" s="154"/>
      <c r="B910" s="129" t="s">
        <v>124</v>
      </c>
      <c r="C910" s="71" t="s">
        <v>88</v>
      </c>
      <c r="M910" s="69" t="str">
        <f>IF((L911=""),"",MAX(D912:L912))</f>
        <v/>
      </c>
      <c r="N910" s="69" t="str">
        <f>IF(L911="","",MIN(D912:L912))</f>
        <v/>
      </c>
      <c r="O910" s="69" t="str">
        <f>IF((L912=""),"",AVERAGE(D912:L912))</f>
        <v/>
      </c>
      <c r="P910" s="69">
        <v>1600</v>
      </c>
      <c r="Q910" s="69">
        <v>2000</v>
      </c>
      <c r="R910" s="69" t="str">
        <f>IF((L911=""),"",((M910-N910)/(M910+N910))*100)</f>
        <v/>
      </c>
      <c r="S910" s="69">
        <v>23</v>
      </c>
      <c r="T910" s="130" t="str">
        <f>IF(L911="","",IF(R911&lt;20,(IF(O910&gt;1730,IF(O910&lt;1970,"Pass","Fail"),"Fail"))))</f>
        <v/>
      </c>
      <c r="U910" s="153"/>
      <c r="V910" s="159"/>
      <c r="W910" s="56">
        <v>1730</v>
      </c>
      <c r="X910" s="56">
        <v>1970</v>
      </c>
      <c r="Y910" s="56">
        <v>6.2</v>
      </c>
    </row>
    <row r="911" spans="1:25" x14ac:dyDescent="0.3">
      <c r="A911" s="155"/>
      <c r="B911" s="147"/>
      <c r="C911" s="71" t="s">
        <v>89</v>
      </c>
      <c r="M911" s="77"/>
      <c r="N911" s="77"/>
      <c r="O911" s="77"/>
      <c r="P911" s="77"/>
      <c r="Q911" s="77"/>
      <c r="R911" s="77"/>
      <c r="S911" s="77"/>
      <c r="T911" s="132"/>
      <c r="U911" s="77"/>
      <c r="V911" s="159"/>
    </row>
    <row r="912" spans="1:25" ht="39.9" x14ac:dyDescent="0.3">
      <c r="A912" s="156"/>
      <c r="B912" s="149"/>
      <c r="C912" s="71" t="s">
        <v>123</v>
      </c>
      <c r="D912" s="38" t="str">
        <f t="shared" ref="D912:L912" si="300">IF(((D910="")*AND(D911="")),"",(D910-D911)*1)</f>
        <v/>
      </c>
      <c r="E912" s="38" t="str">
        <f t="shared" si="300"/>
        <v/>
      </c>
      <c r="F912" s="38" t="str">
        <f t="shared" si="300"/>
        <v/>
      </c>
      <c r="G912" s="38" t="str">
        <f t="shared" si="300"/>
        <v/>
      </c>
      <c r="H912" s="38" t="str">
        <f t="shared" si="300"/>
        <v/>
      </c>
      <c r="I912" s="38" t="str">
        <f t="shared" si="300"/>
        <v/>
      </c>
      <c r="J912" s="38" t="str">
        <f t="shared" si="300"/>
        <v/>
      </c>
      <c r="K912" s="38" t="str">
        <f t="shared" si="300"/>
        <v/>
      </c>
      <c r="L912" s="38" t="str">
        <f t="shared" si="300"/>
        <v/>
      </c>
      <c r="M912" s="135"/>
      <c r="N912" s="135"/>
      <c r="O912" s="135"/>
      <c r="P912" s="135"/>
      <c r="Q912" s="135"/>
      <c r="R912" s="135"/>
      <c r="S912" s="135"/>
      <c r="T912" s="136"/>
      <c r="U912" s="135"/>
      <c r="V912" s="159"/>
    </row>
    <row r="913" spans="1:25" x14ac:dyDescent="0.3">
      <c r="A913" s="154"/>
      <c r="B913" s="129" t="s">
        <v>124</v>
      </c>
      <c r="C913" s="71" t="s">
        <v>88</v>
      </c>
      <c r="M913" s="69" t="str">
        <f>IF((L914=""),"",MAX(D915:L915))</f>
        <v/>
      </c>
      <c r="N913" s="69" t="str">
        <f>IF(L914="","",MIN(D915:L915))</f>
        <v/>
      </c>
      <c r="O913" s="69" t="str">
        <f>IF((L915=""),"",AVERAGE(D915:L915))</f>
        <v/>
      </c>
      <c r="P913" s="69">
        <v>1600</v>
      </c>
      <c r="Q913" s="69">
        <v>2000</v>
      </c>
      <c r="R913" s="69" t="str">
        <f>IF((L914=""),"",((M913-N913)/(M913+N913))*100)</f>
        <v/>
      </c>
      <c r="S913" s="69">
        <v>23</v>
      </c>
      <c r="T913" s="130" t="str">
        <f>IF(L914="","",IF(R914&lt;20,(IF(O913&gt;1730,IF(O913&lt;1970,"Pass","Fail"),"Fail"))))</f>
        <v/>
      </c>
      <c r="U913" s="153"/>
      <c r="V913" s="159"/>
      <c r="W913" s="56">
        <v>1730</v>
      </c>
      <c r="X913" s="56">
        <v>1970</v>
      </c>
      <c r="Y913" s="56">
        <v>6.2</v>
      </c>
    </row>
    <row r="914" spans="1:25" x14ac:dyDescent="0.3">
      <c r="A914" s="155"/>
      <c r="B914" s="147"/>
      <c r="C914" s="71" t="s">
        <v>89</v>
      </c>
      <c r="M914" s="77"/>
      <c r="N914" s="77"/>
      <c r="O914" s="77"/>
      <c r="P914" s="77"/>
      <c r="Q914" s="77"/>
      <c r="R914" s="77"/>
      <c r="S914" s="77"/>
      <c r="T914" s="132"/>
      <c r="U914" s="77"/>
      <c r="V914" s="159"/>
    </row>
    <row r="915" spans="1:25" ht="39.9" x14ac:dyDescent="0.3">
      <c r="A915" s="156"/>
      <c r="B915" s="149"/>
      <c r="C915" s="71" t="s">
        <v>123</v>
      </c>
      <c r="D915" s="38" t="str">
        <f t="shared" ref="D915:L915" si="301">IF(((D913="")*AND(D914="")),"",(D913-D914)*1)</f>
        <v/>
      </c>
      <c r="E915" s="38" t="str">
        <f t="shared" si="301"/>
        <v/>
      </c>
      <c r="F915" s="38" t="str">
        <f t="shared" si="301"/>
        <v/>
      </c>
      <c r="G915" s="38" t="str">
        <f t="shared" si="301"/>
        <v/>
      </c>
      <c r="H915" s="38" t="str">
        <f t="shared" si="301"/>
        <v/>
      </c>
      <c r="I915" s="38" t="str">
        <f t="shared" si="301"/>
        <v/>
      </c>
      <c r="J915" s="38" t="str">
        <f t="shared" si="301"/>
        <v/>
      </c>
      <c r="K915" s="38" t="str">
        <f t="shared" si="301"/>
        <v/>
      </c>
      <c r="L915" s="38" t="str">
        <f t="shared" si="301"/>
        <v/>
      </c>
      <c r="M915" s="135"/>
      <c r="N915" s="135"/>
      <c r="O915" s="135"/>
      <c r="P915" s="135"/>
      <c r="Q915" s="135"/>
      <c r="R915" s="135"/>
      <c r="S915" s="135"/>
      <c r="T915" s="136"/>
      <c r="U915" s="135"/>
      <c r="V915" s="159"/>
    </row>
    <row r="916" spans="1:25" x14ac:dyDescent="0.3">
      <c r="A916" s="154"/>
      <c r="B916" s="129" t="s">
        <v>124</v>
      </c>
      <c r="C916" s="71" t="s">
        <v>88</v>
      </c>
      <c r="M916" s="69" t="str">
        <f>IF((L917=""),"",MAX(D918:L918))</f>
        <v/>
      </c>
      <c r="N916" s="69" t="str">
        <f>IF(L917="","",MIN(D918:L918))</f>
        <v/>
      </c>
      <c r="O916" s="69" t="str">
        <f>IF((L918=""),"",AVERAGE(D918:L918))</f>
        <v/>
      </c>
      <c r="P916" s="69">
        <v>1600</v>
      </c>
      <c r="Q916" s="69">
        <v>2000</v>
      </c>
      <c r="R916" s="69" t="str">
        <f>IF((L917=""),"",((M916-N916)/(M916+N916))*100)</f>
        <v/>
      </c>
      <c r="S916" s="69">
        <v>23</v>
      </c>
      <c r="T916" s="130" t="str">
        <f>IF(L917="","",IF(R917&lt;20,(IF(O916&gt;1730,IF(O916&lt;1970,"Pass","Fail"),"Fail"))))</f>
        <v/>
      </c>
      <c r="U916" s="153"/>
      <c r="V916" s="159"/>
      <c r="W916" s="56">
        <v>1730</v>
      </c>
      <c r="X916" s="56">
        <v>1970</v>
      </c>
      <c r="Y916" s="56">
        <v>6.2</v>
      </c>
    </row>
    <row r="917" spans="1:25" x14ac:dyDescent="0.3">
      <c r="A917" s="155"/>
      <c r="B917" s="147"/>
      <c r="C917" s="71" t="s">
        <v>89</v>
      </c>
      <c r="M917" s="77"/>
      <c r="N917" s="77"/>
      <c r="O917" s="77"/>
      <c r="P917" s="77"/>
      <c r="Q917" s="77"/>
      <c r="R917" s="77"/>
      <c r="S917" s="77"/>
      <c r="T917" s="132"/>
      <c r="U917" s="77"/>
      <c r="V917" s="159"/>
    </row>
    <row r="918" spans="1:25" ht="39.9" x14ac:dyDescent="0.3">
      <c r="A918" s="156"/>
      <c r="B918" s="149"/>
      <c r="C918" s="71" t="s">
        <v>123</v>
      </c>
      <c r="D918" s="38" t="str">
        <f t="shared" ref="D918:L918" si="302">IF(((D916="")*AND(D917="")),"",(D916-D917)*1)</f>
        <v/>
      </c>
      <c r="E918" s="38" t="str">
        <f t="shared" si="302"/>
        <v/>
      </c>
      <c r="F918" s="38" t="str">
        <f t="shared" si="302"/>
        <v/>
      </c>
      <c r="G918" s="38" t="str">
        <f t="shared" si="302"/>
        <v/>
      </c>
      <c r="H918" s="38" t="str">
        <f t="shared" si="302"/>
        <v/>
      </c>
      <c r="I918" s="38" t="str">
        <f t="shared" si="302"/>
        <v/>
      </c>
      <c r="J918" s="38" t="str">
        <f t="shared" si="302"/>
        <v/>
      </c>
      <c r="K918" s="38" t="str">
        <f t="shared" si="302"/>
        <v/>
      </c>
      <c r="L918" s="38" t="str">
        <f t="shared" si="302"/>
        <v/>
      </c>
      <c r="M918" s="135"/>
      <c r="N918" s="135"/>
      <c r="O918" s="135"/>
      <c r="P918" s="135"/>
      <c r="Q918" s="135"/>
      <c r="R918" s="135"/>
      <c r="S918" s="135"/>
      <c r="T918" s="136"/>
      <c r="U918" s="135"/>
      <c r="V918" s="159"/>
    </row>
    <row r="919" spans="1:25" x14ac:dyDescent="0.3">
      <c r="A919" s="154"/>
      <c r="B919" s="129" t="s">
        <v>124</v>
      </c>
      <c r="C919" s="71" t="s">
        <v>88</v>
      </c>
      <c r="M919" s="69" t="str">
        <f>IF((L920=""),"",MAX(D921:L921))</f>
        <v/>
      </c>
      <c r="N919" s="69" t="str">
        <f>IF(L920="","",MIN(D921:L921))</f>
        <v/>
      </c>
      <c r="O919" s="69" t="str">
        <f>IF((L921=""),"",AVERAGE(D921:L921))</f>
        <v/>
      </c>
      <c r="P919" s="69">
        <v>1600</v>
      </c>
      <c r="Q919" s="69">
        <v>2000</v>
      </c>
      <c r="R919" s="69" t="str">
        <f>IF((L920=""),"",((M919-N919)/(M919+N919))*100)</f>
        <v/>
      </c>
      <c r="S919" s="69">
        <v>23</v>
      </c>
      <c r="T919" s="130" t="str">
        <f>IF(L920="","",IF(R920&lt;20,(IF(O919&gt;1730,IF(O919&lt;1970,"Pass","Fail"),"Fail"))))</f>
        <v/>
      </c>
      <c r="U919" s="153"/>
      <c r="V919" s="159"/>
      <c r="W919" s="56">
        <v>1730</v>
      </c>
      <c r="X919" s="56">
        <v>1970</v>
      </c>
      <c r="Y919" s="56">
        <v>6.2</v>
      </c>
    </row>
    <row r="920" spans="1:25" x14ac:dyDescent="0.3">
      <c r="A920" s="155"/>
      <c r="B920" s="147"/>
      <c r="C920" s="71" t="s">
        <v>89</v>
      </c>
      <c r="M920" s="77"/>
      <c r="N920" s="77"/>
      <c r="O920" s="77"/>
      <c r="P920" s="77"/>
      <c r="Q920" s="77"/>
      <c r="R920" s="77"/>
      <c r="S920" s="77"/>
      <c r="T920" s="132"/>
      <c r="U920" s="77"/>
      <c r="V920" s="159"/>
    </row>
    <row r="921" spans="1:25" ht="39.9" x14ac:dyDescent="0.3">
      <c r="A921" s="156"/>
      <c r="B921" s="149"/>
      <c r="C921" s="71" t="s">
        <v>123</v>
      </c>
      <c r="D921" s="38" t="str">
        <f t="shared" ref="D921:L921" si="303">IF(((D919="")*AND(D920="")),"",(D919-D920)*1)</f>
        <v/>
      </c>
      <c r="E921" s="38" t="str">
        <f t="shared" si="303"/>
        <v/>
      </c>
      <c r="F921" s="38" t="str">
        <f t="shared" si="303"/>
        <v/>
      </c>
      <c r="G921" s="38" t="str">
        <f t="shared" si="303"/>
        <v/>
      </c>
      <c r="H921" s="38" t="str">
        <f t="shared" si="303"/>
        <v/>
      </c>
      <c r="I921" s="38" t="str">
        <f t="shared" si="303"/>
        <v/>
      </c>
      <c r="J921" s="38" t="str">
        <f t="shared" si="303"/>
        <v/>
      </c>
      <c r="K921" s="38" t="str">
        <f t="shared" si="303"/>
        <v/>
      </c>
      <c r="L921" s="38" t="str">
        <f t="shared" si="303"/>
        <v/>
      </c>
      <c r="M921" s="135"/>
      <c r="N921" s="135"/>
      <c r="O921" s="135"/>
      <c r="P921" s="135"/>
      <c r="Q921" s="135"/>
      <c r="R921" s="135"/>
      <c r="S921" s="135"/>
      <c r="T921" s="136"/>
      <c r="U921" s="135"/>
      <c r="V921" s="159"/>
    </row>
    <row r="922" spans="1:25" x14ac:dyDescent="0.3">
      <c r="A922" s="154"/>
      <c r="B922" s="129" t="s">
        <v>124</v>
      </c>
      <c r="C922" s="71" t="s">
        <v>88</v>
      </c>
      <c r="M922" s="69" t="str">
        <f>IF((L923=""),"",MAX(D924:L924))</f>
        <v/>
      </c>
      <c r="N922" s="69" t="str">
        <f>IF(L923="","",MIN(D924:L924))</f>
        <v/>
      </c>
      <c r="O922" s="69" t="str">
        <f>IF((L924=""),"",AVERAGE(D924:L924))</f>
        <v/>
      </c>
      <c r="P922" s="69">
        <v>1600</v>
      </c>
      <c r="Q922" s="69">
        <v>2000</v>
      </c>
      <c r="R922" s="69" t="str">
        <f>IF((L923=""),"",((M922-N922)/(M922+N922))*100)</f>
        <v/>
      </c>
      <c r="S922" s="69">
        <v>23</v>
      </c>
      <c r="T922" s="130" t="str">
        <f>IF(L923="","",IF(R923&lt;20,(IF(O922&gt;1730,IF(O922&lt;1970,"Pass","Fail"),"Fail"))))</f>
        <v/>
      </c>
      <c r="U922" s="153"/>
      <c r="V922" s="159"/>
      <c r="W922" s="56">
        <v>1730</v>
      </c>
      <c r="X922" s="56">
        <v>1970</v>
      </c>
      <c r="Y922" s="56">
        <v>6.2</v>
      </c>
    </row>
    <row r="923" spans="1:25" x14ac:dyDescent="0.3">
      <c r="A923" s="155"/>
      <c r="B923" s="147"/>
      <c r="C923" s="71" t="s">
        <v>89</v>
      </c>
      <c r="M923" s="77"/>
      <c r="N923" s="77"/>
      <c r="O923" s="77"/>
      <c r="P923" s="77"/>
      <c r="Q923" s="77"/>
      <c r="R923" s="77"/>
      <c r="S923" s="77"/>
      <c r="T923" s="132"/>
      <c r="U923" s="77"/>
      <c r="V923" s="159"/>
    </row>
    <row r="924" spans="1:25" ht="39.9" x14ac:dyDescent="0.3">
      <c r="A924" s="156"/>
      <c r="B924" s="149"/>
      <c r="C924" s="71" t="s">
        <v>123</v>
      </c>
      <c r="D924" s="38" t="str">
        <f t="shared" ref="D924:L924" si="304">IF(((D922="")*AND(D923="")),"",(D922-D923)*1)</f>
        <v/>
      </c>
      <c r="E924" s="38" t="str">
        <f t="shared" si="304"/>
        <v/>
      </c>
      <c r="F924" s="38" t="str">
        <f t="shared" si="304"/>
        <v/>
      </c>
      <c r="G924" s="38" t="str">
        <f t="shared" si="304"/>
        <v/>
      </c>
      <c r="H924" s="38" t="str">
        <f t="shared" si="304"/>
        <v/>
      </c>
      <c r="I924" s="38" t="str">
        <f t="shared" si="304"/>
        <v/>
      </c>
      <c r="J924" s="38" t="str">
        <f t="shared" si="304"/>
        <v/>
      </c>
      <c r="K924" s="38" t="str">
        <f t="shared" si="304"/>
        <v/>
      </c>
      <c r="L924" s="38" t="str">
        <f t="shared" si="304"/>
        <v/>
      </c>
      <c r="M924" s="135"/>
      <c r="N924" s="135"/>
      <c r="O924" s="135"/>
      <c r="P924" s="135"/>
      <c r="Q924" s="135"/>
      <c r="R924" s="135"/>
      <c r="S924" s="135"/>
      <c r="T924" s="136"/>
      <c r="U924" s="135"/>
      <c r="V924" s="159"/>
    </row>
    <row r="925" spans="1:25" x14ac:dyDescent="0.3">
      <c r="A925" s="154"/>
      <c r="B925" s="129" t="s">
        <v>124</v>
      </c>
      <c r="C925" s="71" t="s">
        <v>88</v>
      </c>
      <c r="M925" s="69" t="str">
        <f>IF((L926=""),"",MAX(D927:L927))</f>
        <v/>
      </c>
      <c r="N925" s="69" t="str">
        <f>IF(L926="","",MIN(D927:L927))</f>
        <v/>
      </c>
      <c r="O925" s="69" t="str">
        <f>IF((L927=""),"",AVERAGE(D927:L927))</f>
        <v/>
      </c>
      <c r="P925" s="69">
        <v>1600</v>
      </c>
      <c r="Q925" s="69">
        <v>2000</v>
      </c>
      <c r="R925" s="69" t="str">
        <f>IF((L926=""),"",((M925-N925)/(M925+N925))*100)</f>
        <v/>
      </c>
      <c r="S925" s="69">
        <v>23</v>
      </c>
      <c r="T925" s="130" t="str">
        <f>IF(L926="","",IF(R926&lt;20,(IF(O925&gt;1730,IF(O925&lt;1970,"Pass","Fail"),"Fail"))))</f>
        <v/>
      </c>
      <c r="U925" s="153"/>
      <c r="V925" s="159"/>
      <c r="W925" s="56">
        <v>1730</v>
      </c>
      <c r="X925" s="56">
        <v>1970</v>
      </c>
      <c r="Y925" s="56">
        <v>6.2</v>
      </c>
    </row>
    <row r="926" spans="1:25" x14ac:dyDescent="0.3">
      <c r="A926" s="155"/>
      <c r="B926" s="147"/>
      <c r="C926" s="71" t="s">
        <v>89</v>
      </c>
      <c r="M926" s="77"/>
      <c r="N926" s="77"/>
      <c r="O926" s="77"/>
      <c r="P926" s="77"/>
      <c r="Q926" s="77"/>
      <c r="R926" s="77"/>
      <c r="S926" s="77"/>
      <c r="T926" s="132"/>
      <c r="U926" s="77"/>
      <c r="V926" s="159"/>
    </row>
    <row r="927" spans="1:25" ht="39.9" x14ac:dyDescent="0.3">
      <c r="A927" s="156"/>
      <c r="B927" s="149"/>
      <c r="C927" s="71" t="s">
        <v>123</v>
      </c>
      <c r="D927" s="38" t="str">
        <f t="shared" ref="D927:L927" si="305">IF(((D925="")*AND(D926="")),"",(D925-D926)*1)</f>
        <v/>
      </c>
      <c r="E927" s="38" t="str">
        <f t="shared" si="305"/>
        <v/>
      </c>
      <c r="F927" s="38" t="str">
        <f t="shared" si="305"/>
        <v/>
      </c>
      <c r="G927" s="38" t="str">
        <f t="shared" si="305"/>
        <v/>
      </c>
      <c r="H927" s="38" t="str">
        <f t="shared" si="305"/>
        <v/>
      </c>
      <c r="I927" s="38" t="str">
        <f t="shared" si="305"/>
        <v/>
      </c>
      <c r="J927" s="38" t="str">
        <f t="shared" si="305"/>
        <v/>
      </c>
      <c r="K927" s="38" t="str">
        <f t="shared" si="305"/>
        <v/>
      </c>
      <c r="L927" s="38" t="str">
        <f t="shared" si="305"/>
        <v/>
      </c>
      <c r="M927" s="135"/>
      <c r="N927" s="135"/>
      <c r="O927" s="135"/>
      <c r="P927" s="135"/>
      <c r="Q927" s="135"/>
      <c r="R927" s="135"/>
      <c r="S927" s="135"/>
      <c r="T927" s="136"/>
      <c r="U927" s="135"/>
      <c r="V927" s="159"/>
    </row>
    <row r="928" spans="1:25" x14ac:dyDescent="0.3">
      <c r="A928" s="154"/>
      <c r="B928" s="129" t="s">
        <v>124</v>
      </c>
      <c r="C928" s="71" t="s">
        <v>88</v>
      </c>
      <c r="M928" s="69" t="str">
        <f>IF((L929=""),"",MAX(D930:L930))</f>
        <v/>
      </c>
      <c r="N928" s="69" t="str">
        <f>IF(L929="","",MIN(D930:L930))</f>
        <v/>
      </c>
      <c r="O928" s="69" t="str">
        <f>IF((L930=""),"",AVERAGE(D930:L930))</f>
        <v/>
      </c>
      <c r="P928" s="69">
        <v>1600</v>
      </c>
      <c r="Q928" s="69">
        <v>2000</v>
      </c>
      <c r="R928" s="69" t="str">
        <f>IF((L929=""),"",((M928-N928)/(M928+N928))*100)</f>
        <v/>
      </c>
      <c r="S928" s="69">
        <v>23</v>
      </c>
      <c r="T928" s="130" t="str">
        <f>IF(L929="","",IF(R929&lt;20,(IF(O928&gt;1730,IF(O928&lt;1970,"Pass","Fail"),"Fail"))))</f>
        <v/>
      </c>
      <c r="U928" s="153"/>
      <c r="V928" s="159"/>
      <c r="W928" s="56">
        <v>1730</v>
      </c>
      <c r="X928" s="56">
        <v>1970</v>
      </c>
      <c r="Y928" s="56">
        <v>6.2</v>
      </c>
    </row>
    <row r="929" spans="1:25" x14ac:dyDescent="0.3">
      <c r="A929" s="155"/>
      <c r="B929" s="147"/>
      <c r="C929" s="71" t="s">
        <v>89</v>
      </c>
      <c r="M929" s="77"/>
      <c r="N929" s="77"/>
      <c r="O929" s="77"/>
      <c r="P929" s="77"/>
      <c r="Q929" s="77"/>
      <c r="R929" s="77"/>
      <c r="S929" s="77"/>
      <c r="T929" s="132"/>
      <c r="U929" s="77"/>
      <c r="V929" s="159"/>
    </row>
    <row r="930" spans="1:25" ht="39.9" x14ac:dyDescent="0.3">
      <c r="A930" s="156"/>
      <c r="B930" s="149"/>
      <c r="C930" s="71" t="s">
        <v>123</v>
      </c>
      <c r="D930" s="38" t="str">
        <f t="shared" ref="D930:L930" si="306">IF(((D928="")*AND(D929="")),"",(D928-D929)*1)</f>
        <v/>
      </c>
      <c r="E930" s="38" t="str">
        <f t="shared" si="306"/>
        <v/>
      </c>
      <c r="F930" s="38" t="str">
        <f t="shared" si="306"/>
        <v/>
      </c>
      <c r="G930" s="38" t="str">
        <f t="shared" si="306"/>
        <v/>
      </c>
      <c r="H930" s="38" t="str">
        <f t="shared" si="306"/>
        <v/>
      </c>
      <c r="I930" s="38" t="str">
        <f t="shared" si="306"/>
        <v/>
      </c>
      <c r="J930" s="38" t="str">
        <f t="shared" si="306"/>
        <v/>
      </c>
      <c r="K930" s="38" t="str">
        <f t="shared" si="306"/>
        <v/>
      </c>
      <c r="L930" s="38" t="str">
        <f t="shared" si="306"/>
        <v/>
      </c>
      <c r="M930" s="135"/>
      <c r="N930" s="135"/>
      <c r="O930" s="135"/>
      <c r="P930" s="135"/>
      <c r="Q930" s="135"/>
      <c r="R930" s="135"/>
      <c r="S930" s="135"/>
      <c r="T930" s="136"/>
      <c r="U930" s="135"/>
      <c r="V930" s="159"/>
    </row>
    <row r="931" spans="1:25" x14ac:dyDescent="0.3">
      <c r="A931" s="154"/>
      <c r="B931" s="129" t="s">
        <v>124</v>
      </c>
      <c r="C931" s="71" t="s">
        <v>88</v>
      </c>
      <c r="M931" s="69" t="str">
        <f>IF((L932=""),"",MAX(D933:L933))</f>
        <v/>
      </c>
      <c r="N931" s="69" t="str">
        <f>IF(L932="","",MIN(D933:L933))</f>
        <v/>
      </c>
      <c r="O931" s="69" t="str">
        <f>IF((L933=""),"",AVERAGE(D933:L933))</f>
        <v/>
      </c>
      <c r="P931" s="69">
        <v>1600</v>
      </c>
      <c r="Q931" s="69">
        <v>2000</v>
      </c>
      <c r="R931" s="69" t="str">
        <f>IF((L932=""),"",((M931-N931)/(M931+N931))*100)</f>
        <v/>
      </c>
      <c r="S931" s="69">
        <v>23</v>
      </c>
      <c r="T931" s="130" t="str">
        <f>IF(L932="","",IF(R932&lt;20,(IF(O931&gt;1730,IF(O931&lt;1970,"Pass","Fail"),"Fail"))))</f>
        <v/>
      </c>
      <c r="U931" s="153"/>
      <c r="V931" s="159"/>
      <c r="W931" s="56">
        <v>1730</v>
      </c>
      <c r="X931" s="56">
        <v>1970</v>
      </c>
      <c r="Y931" s="56">
        <v>6.2</v>
      </c>
    </row>
    <row r="932" spans="1:25" x14ac:dyDescent="0.3">
      <c r="A932" s="155"/>
      <c r="B932" s="147"/>
      <c r="C932" s="71" t="s">
        <v>89</v>
      </c>
      <c r="M932" s="77"/>
      <c r="N932" s="77"/>
      <c r="O932" s="77"/>
      <c r="P932" s="77"/>
      <c r="Q932" s="77"/>
      <c r="R932" s="77"/>
      <c r="S932" s="77"/>
      <c r="T932" s="132"/>
      <c r="U932" s="77"/>
      <c r="V932" s="159"/>
    </row>
    <row r="933" spans="1:25" ht="39.9" x14ac:dyDescent="0.3">
      <c r="A933" s="156"/>
      <c r="B933" s="149"/>
      <c r="C933" s="71" t="s">
        <v>123</v>
      </c>
      <c r="D933" s="38" t="str">
        <f t="shared" ref="D933:L933" si="307">IF(((D931="")*AND(D932="")),"",(D931-D932)*1)</f>
        <v/>
      </c>
      <c r="E933" s="38" t="str">
        <f t="shared" si="307"/>
        <v/>
      </c>
      <c r="F933" s="38" t="str">
        <f t="shared" si="307"/>
        <v/>
      </c>
      <c r="G933" s="38" t="str">
        <f t="shared" si="307"/>
        <v/>
      </c>
      <c r="H933" s="38" t="str">
        <f t="shared" si="307"/>
        <v/>
      </c>
      <c r="I933" s="38" t="str">
        <f t="shared" si="307"/>
        <v/>
      </c>
      <c r="J933" s="38" t="str">
        <f t="shared" si="307"/>
        <v/>
      </c>
      <c r="K933" s="38" t="str">
        <f t="shared" si="307"/>
        <v/>
      </c>
      <c r="L933" s="38" t="str">
        <f t="shared" si="307"/>
        <v/>
      </c>
      <c r="M933" s="135"/>
      <c r="N933" s="135"/>
      <c r="O933" s="135"/>
      <c r="P933" s="135"/>
      <c r="Q933" s="135"/>
      <c r="R933" s="135"/>
      <c r="S933" s="135"/>
      <c r="T933" s="136"/>
      <c r="U933" s="135"/>
      <c r="V933" s="159"/>
    </row>
    <row r="934" spans="1:25" x14ac:dyDescent="0.3">
      <c r="A934" s="154"/>
      <c r="B934" s="129" t="s">
        <v>124</v>
      </c>
      <c r="C934" s="71" t="s">
        <v>88</v>
      </c>
      <c r="M934" s="69" t="str">
        <f>IF((L935=""),"",MAX(D936:L936))</f>
        <v/>
      </c>
      <c r="N934" s="69" t="str">
        <f>IF(L935="","",MIN(D936:L936))</f>
        <v/>
      </c>
      <c r="O934" s="69" t="str">
        <f>IF((L936=""),"",AVERAGE(D936:L936))</f>
        <v/>
      </c>
      <c r="P934" s="69">
        <v>1600</v>
      </c>
      <c r="Q934" s="69">
        <v>2000</v>
      </c>
      <c r="R934" s="69" t="str">
        <f>IF((L935=""),"",((M934-N934)/(M934+N934))*100)</f>
        <v/>
      </c>
      <c r="S934" s="69">
        <v>23</v>
      </c>
      <c r="T934" s="130" t="str">
        <f>IF(L935="","",IF(R935&lt;20,(IF(O934&gt;1730,IF(O934&lt;1970,"Pass","Fail"),"Fail"))))</f>
        <v/>
      </c>
      <c r="U934" s="153"/>
      <c r="V934" s="159"/>
      <c r="W934" s="56">
        <v>1730</v>
      </c>
      <c r="X934" s="56">
        <v>1970</v>
      </c>
      <c r="Y934" s="56">
        <v>6.2</v>
      </c>
    </row>
    <row r="935" spans="1:25" x14ac:dyDescent="0.3">
      <c r="A935" s="155"/>
      <c r="B935" s="147"/>
      <c r="C935" s="71" t="s">
        <v>89</v>
      </c>
      <c r="M935" s="77"/>
      <c r="N935" s="77"/>
      <c r="O935" s="77"/>
      <c r="P935" s="77"/>
      <c r="Q935" s="77"/>
      <c r="R935" s="77"/>
      <c r="S935" s="77"/>
      <c r="T935" s="132"/>
      <c r="U935" s="77"/>
      <c r="V935" s="159"/>
    </row>
    <row r="936" spans="1:25" ht="39.9" x14ac:dyDescent="0.3">
      <c r="A936" s="156"/>
      <c r="B936" s="149"/>
      <c r="C936" s="71" t="s">
        <v>123</v>
      </c>
      <c r="D936" s="38" t="str">
        <f t="shared" ref="D936:L936" si="308">IF(((D934="")*AND(D935="")),"",(D934-D935)*1)</f>
        <v/>
      </c>
      <c r="E936" s="38" t="str">
        <f t="shared" si="308"/>
        <v/>
      </c>
      <c r="F936" s="38" t="str">
        <f t="shared" si="308"/>
        <v/>
      </c>
      <c r="G936" s="38" t="str">
        <f t="shared" si="308"/>
        <v/>
      </c>
      <c r="H936" s="38" t="str">
        <f t="shared" si="308"/>
        <v/>
      </c>
      <c r="I936" s="38" t="str">
        <f t="shared" si="308"/>
        <v/>
      </c>
      <c r="J936" s="38" t="str">
        <f t="shared" si="308"/>
        <v/>
      </c>
      <c r="K936" s="38" t="str">
        <f t="shared" si="308"/>
        <v/>
      </c>
      <c r="L936" s="38" t="str">
        <f t="shared" si="308"/>
        <v/>
      </c>
      <c r="M936" s="135"/>
      <c r="N936" s="135"/>
      <c r="O936" s="135"/>
      <c r="P936" s="135"/>
      <c r="Q936" s="135"/>
      <c r="R936" s="135"/>
      <c r="S936" s="135"/>
      <c r="T936" s="136"/>
      <c r="U936" s="135"/>
      <c r="V936" s="159"/>
    </row>
    <row r="937" spans="1:25" x14ac:dyDescent="0.3">
      <c r="A937" s="154"/>
      <c r="B937" s="129" t="s">
        <v>124</v>
      </c>
      <c r="C937" s="71" t="s">
        <v>88</v>
      </c>
      <c r="M937" s="69" t="str">
        <f>IF((L938=""),"",MAX(D939:L939))</f>
        <v/>
      </c>
      <c r="N937" s="69" t="str">
        <f>IF(L938="","",MIN(D939:L939))</f>
        <v/>
      </c>
      <c r="O937" s="69" t="str">
        <f>IF((L939=""),"",AVERAGE(D939:L939))</f>
        <v/>
      </c>
      <c r="P937" s="69">
        <v>1600</v>
      </c>
      <c r="Q937" s="69">
        <v>2000</v>
      </c>
      <c r="R937" s="69" t="str">
        <f>IF((L938=""),"",((M937-N937)/(M937+N937))*100)</f>
        <v/>
      </c>
      <c r="S937" s="69">
        <v>23</v>
      </c>
      <c r="T937" s="130" t="str">
        <f>IF(L938="","",IF(R938&lt;20,(IF(O937&gt;1730,IF(O937&lt;1970,"Pass","Fail"),"Fail"))))</f>
        <v/>
      </c>
      <c r="U937" s="153"/>
      <c r="V937" s="159"/>
      <c r="W937" s="56">
        <v>1730</v>
      </c>
      <c r="X937" s="56">
        <v>1970</v>
      </c>
      <c r="Y937" s="56">
        <v>6.2</v>
      </c>
    </row>
    <row r="938" spans="1:25" x14ac:dyDescent="0.3">
      <c r="A938" s="155"/>
      <c r="B938" s="147"/>
      <c r="C938" s="71" t="s">
        <v>89</v>
      </c>
      <c r="M938" s="77"/>
      <c r="N938" s="77"/>
      <c r="O938" s="77"/>
      <c r="P938" s="77"/>
      <c r="Q938" s="77"/>
      <c r="R938" s="77"/>
      <c r="S938" s="77"/>
      <c r="T938" s="132"/>
      <c r="U938" s="77"/>
      <c r="V938" s="159"/>
    </row>
    <row r="939" spans="1:25" ht="39.9" x14ac:dyDescent="0.3">
      <c r="A939" s="156"/>
      <c r="B939" s="149"/>
      <c r="C939" s="71" t="s">
        <v>123</v>
      </c>
      <c r="D939" s="38" t="str">
        <f t="shared" ref="D939:L939" si="309">IF(((D937="")*AND(D938="")),"",(D937-D938)*1)</f>
        <v/>
      </c>
      <c r="E939" s="38" t="str">
        <f t="shared" si="309"/>
        <v/>
      </c>
      <c r="F939" s="38" t="str">
        <f t="shared" si="309"/>
        <v/>
      </c>
      <c r="G939" s="38" t="str">
        <f t="shared" si="309"/>
        <v/>
      </c>
      <c r="H939" s="38" t="str">
        <f t="shared" si="309"/>
        <v/>
      </c>
      <c r="I939" s="38" t="str">
        <f t="shared" si="309"/>
        <v/>
      </c>
      <c r="J939" s="38" t="str">
        <f t="shared" si="309"/>
        <v/>
      </c>
      <c r="K939" s="38" t="str">
        <f t="shared" si="309"/>
        <v/>
      </c>
      <c r="L939" s="38" t="str">
        <f t="shared" si="309"/>
        <v/>
      </c>
      <c r="M939" s="135"/>
      <c r="N939" s="135"/>
      <c r="O939" s="135"/>
      <c r="P939" s="135"/>
      <c r="Q939" s="135"/>
      <c r="R939" s="135"/>
      <c r="S939" s="135"/>
      <c r="T939" s="136"/>
      <c r="U939" s="135"/>
      <c r="V939" s="159"/>
    </row>
    <row r="940" spans="1:25" x14ac:dyDescent="0.3">
      <c r="A940" s="154"/>
      <c r="B940" s="129" t="s">
        <v>124</v>
      </c>
      <c r="C940" s="71" t="s">
        <v>88</v>
      </c>
      <c r="M940" s="69" t="str">
        <f>IF((L941=""),"",MAX(D942:L942))</f>
        <v/>
      </c>
      <c r="N940" s="69" t="str">
        <f>IF(L941="","",MIN(D942:L942))</f>
        <v/>
      </c>
      <c r="O940" s="69" t="str">
        <f>IF((L942=""),"",AVERAGE(D942:L942))</f>
        <v/>
      </c>
      <c r="P940" s="69">
        <v>1600</v>
      </c>
      <c r="Q940" s="69">
        <v>2000</v>
      </c>
      <c r="R940" s="69" t="str">
        <f>IF((L941=""),"",((M940-N940)/(M940+N940))*100)</f>
        <v/>
      </c>
      <c r="S940" s="69">
        <v>23</v>
      </c>
      <c r="T940" s="130" t="str">
        <f>IF(L941="","",IF(R941&lt;20,(IF(O940&gt;1730,IF(O940&lt;1970,"Pass","Fail"),"Fail"))))</f>
        <v/>
      </c>
      <c r="U940" s="153"/>
      <c r="V940" s="159"/>
      <c r="W940" s="56">
        <v>1730</v>
      </c>
      <c r="X940" s="56">
        <v>1970</v>
      </c>
      <c r="Y940" s="56">
        <v>6.2</v>
      </c>
    </row>
    <row r="941" spans="1:25" x14ac:dyDescent="0.3">
      <c r="A941" s="155"/>
      <c r="B941" s="147"/>
      <c r="C941" s="71" t="s">
        <v>89</v>
      </c>
      <c r="M941" s="77"/>
      <c r="N941" s="77"/>
      <c r="O941" s="77"/>
      <c r="P941" s="77"/>
      <c r="Q941" s="77"/>
      <c r="R941" s="77"/>
      <c r="S941" s="77"/>
      <c r="T941" s="132"/>
      <c r="U941" s="77"/>
      <c r="V941" s="159"/>
    </row>
    <row r="942" spans="1:25" ht="39.9" x14ac:dyDescent="0.3">
      <c r="A942" s="156"/>
      <c r="B942" s="149"/>
      <c r="C942" s="71" t="s">
        <v>123</v>
      </c>
      <c r="D942" s="38" t="str">
        <f t="shared" ref="D942:L942" si="310">IF(((D940="")*AND(D941="")),"",(D940-D941)*1)</f>
        <v/>
      </c>
      <c r="E942" s="38" t="str">
        <f t="shared" si="310"/>
        <v/>
      </c>
      <c r="F942" s="38" t="str">
        <f t="shared" si="310"/>
        <v/>
      </c>
      <c r="G942" s="38" t="str">
        <f t="shared" si="310"/>
        <v/>
      </c>
      <c r="H942" s="38" t="str">
        <f t="shared" si="310"/>
        <v/>
      </c>
      <c r="I942" s="38" t="str">
        <f t="shared" si="310"/>
        <v/>
      </c>
      <c r="J942" s="38" t="str">
        <f t="shared" si="310"/>
        <v/>
      </c>
      <c r="K942" s="38" t="str">
        <f t="shared" si="310"/>
        <v/>
      </c>
      <c r="L942" s="38" t="str">
        <f t="shared" si="310"/>
        <v/>
      </c>
      <c r="M942" s="135"/>
      <c r="N942" s="135"/>
      <c r="O942" s="135"/>
      <c r="P942" s="135"/>
      <c r="Q942" s="135"/>
      <c r="R942" s="135"/>
      <c r="S942" s="135"/>
      <c r="T942" s="136"/>
      <c r="U942" s="135"/>
      <c r="V942" s="159"/>
    </row>
    <row r="943" spans="1:25" x14ac:dyDescent="0.3">
      <c r="A943" s="154"/>
      <c r="B943" s="129" t="s">
        <v>124</v>
      </c>
      <c r="C943" s="71" t="s">
        <v>88</v>
      </c>
      <c r="M943" s="69" t="str">
        <f>IF((L944=""),"",MAX(D945:L945))</f>
        <v/>
      </c>
      <c r="N943" s="69" t="str">
        <f>IF(L944="","",MIN(D945:L945))</f>
        <v/>
      </c>
      <c r="O943" s="69" t="str">
        <f>IF((L945=""),"",AVERAGE(D945:L945))</f>
        <v/>
      </c>
      <c r="P943" s="69">
        <v>1600</v>
      </c>
      <c r="Q943" s="69">
        <v>2000</v>
      </c>
      <c r="R943" s="69" t="str">
        <f>IF((L944=""),"",((M943-N943)/(M943+N943))*100)</f>
        <v/>
      </c>
      <c r="S943" s="69">
        <v>23</v>
      </c>
      <c r="T943" s="130" t="str">
        <f>IF(L944="","",IF(R944&lt;20,(IF(O943&gt;1730,IF(O943&lt;1970,"Pass","Fail"),"Fail"))))</f>
        <v/>
      </c>
      <c r="U943" s="153"/>
      <c r="V943" s="159"/>
      <c r="W943" s="56">
        <v>1730</v>
      </c>
      <c r="X943" s="56">
        <v>1970</v>
      </c>
      <c r="Y943" s="56">
        <v>6.2</v>
      </c>
    </row>
    <row r="944" spans="1:25" x14ac:dyDescent="0.3">
      <c r="A944" s="155"/>
      <c r="B944" s="147"/>
      <c r="C944" s="71" t="s">
        <v>89</v>
      </c>
      <c r="M944" s="77"/>
      <c r="N944" s="77"/>
      <c r="O944" s="77"/>
      <c r="P944" s="77"/>
      <c r="Q944" s="77"/>
      <c r="R944" s="77"/>
      <c r="S944" s="77"/>
      <c r="T944" s="132"/>
      <c r="U944" s="77"/>
      <c r="V944" s="159"/>
    </row>
    <row r="945" spans="1:25" ht="39.9" x14ac:dyDescent="0.3">
      <c r="A945" s="156"/>
      <c r="B945" s="149"/>
      <c r="C945" s="71" t="s">
        <v>123</v>
      </c>
      <c r="D945" s="38" t="str">
        <f t="shared" ref="D945:L945" si="311">IF(((D943="")*AND(D944="")),"",(D943-D944)*1)</f>
        <v/>
      </c>
      <c r="E945" s="38" t="str">
        <f t="shared" si="311"/>
        <v/>
      </c>
      <c r="F945" s="38" t="str">
        <f t="shared" si="311"/>
        <v/>
      </c>
      <c r="G945" s="38" t="str">
        <f t="shared" si="311"/>
        <v/>
      </c>
      <c r="H945" s="38" t="str">
        <f t="shared" si="311"/>
        <v/>
      </c>
      <c r="I945" s="38" t="str">
        <f t="shared" si="311"/>
        <v/>
      </c>
      <c r="J945" s="38" t="str">
        <f t="shared" si="311"/>
        <v/>
      </c>
      <c r="K945" s="38" t="str">
        <f t="shared" si="311"/>
        <v/>
      </c>
      <c r="L945" s="38" t="str">
        <f t="shared" si="311"/>
        <v/>
      </c>
      <c r="M945" s="135"/>
      <c r="N945" s="135"/>
      <c r="O945" s="135"/>
      <c r="P945" s="135"/>
      <c r="Q945" s="135"/>
      <c r="R945" s="135"/>
      <c r="S945" s="135"/>
      <c r="T945" s="136"/>
      <c r="U945" s="135"/>
      <c r="V945" s="159"/>
    </row>
    <row r="946" spans="1:25" x14ac:dyDescent="0.3">
      <c r="A946" s="154"/>
      <c r="B946" s="129" t="s">
        <v>124</v>
      </c>
      <c r="C946" s="71" t="s">
        <v>88</v>
      </c>
      <c r="M946" s="69" t="str">
        <f>IF((L947=""),"",MAX(D948:L948))</f>
        <v/>
      </c>
      <c r="N946" s="69" t="str">
        <f>IF(L947="","",MIN(D948:L948))</f>
        <v/>
      </c>
      <c r="O946" s="69" t="str">
        <f>IF((L948=""),"",AVERAGE(D948:L948))</f>
        <v/>
      </c>
      <c r="P946" s="69">
        <v>1600</v>
      </c>
      <c r="Q946" s="69">
        <v>2000</v>
      </c>
      <c r="R946" s="69" t="str">
        <f>IF((L947=""),"",((M946-N946)/(M946+N946))*100)</f>
        <v/>
      </c>
      <c r="S946" s="69">
        <v>23</v>
      </c>
      <c r="T946" s="130" t="str">
        <f>IF(L947="","",IF(R947&lt;20,(IF(O946&gt;1730,IF(O946&lt;1970,"Pass","Fail"),"Fail"))))</f>
        <v/>
      </c>
      <c r="U946" s="153"/>
      <c r="V946" s="159"/>
      <c r="W946" s="56">
        <v>1730</v>
      </c>
      <c r="X946" s="56">
        <v>1970</v>
      </c>
      <c r="Y946" s="56">
        <v>6.2</v>
      </c>
    </row>
    <row r="947" spans="1:25" x14ac:dyDescent="0.3">
      <c r="A947" s="155"/>
      <c r="B947" s="147"/>
      <c r="C947" s="71" t="s">
        <v>89</v>
      </c>
      <c r="M947" s="77"/>
      <c r="N947" s="77"/>
      <c r="O947" s="77"/>
      <c r="P947" s="77"/>
      <c r="Q947" s="77"/>
      <c r="R947" s="77"/>
      <c r="S947" s="77"/>
      <c r="T947" s="132"/>
      <c r="U947" s="77"/>
      <c r="V947" s="159"/>
    </row>
    <row r="948" spans="1:25" ht="39.9" x14ac:dyDescent="0.3">
      <c r="A948" s="156"/>
      <c r="B948" s="149"/>
      <c r="C948" s="71" t="s">
        <v>123</v>
      </c>
      <c r="D948" s="38" t="str">
        <f t="shared" ref="D948:L948" si="312">IF(((D946="")*AND(D947="")),"",(D946-D947)*1)</f>
        <v/>
      </c>
      <c r="E948" s="38" t="str">
        <f t="shared" si="312"/>
        <v/>
      </c>
      <c r="F948" s="38" t="str">
        <f t="shared" si="312"/>
        <v/>
      </c>
      <c r="G948" s="38" t="str">
        <f t="shared" si="312"/>
        <v/>
      </c>
      <c r="H948" s="38" t="str">
        <f t="shared" si="312"/>
        <v/>
      </c>
      <c r="I948" s="38" t="str">
        <f t="shared" si="312"/>
        <v/>
      </c>
      <c r="J948" s="38" t="str">
        <f t="shared" si="312"/>
        <v/>
      </c>
      <c r="K948" s="38" t="str">
        <f t="shared" si="312"/>
        <v/>
      </c>
      <c r="L948" s="38" t="str">
        <f t="shared" si="312"/>
        <v/>
      </c>
      <c r="M948" s="135"/>
      <c r="N948" s="135"/>
      <c r="O948" s="135"/>
      <c r="P948" s="135"/>
      <c r="Q948" s="135"/>
      <c r="R948" s="135"/>
      <c r="S948" s="135"/>
      <c r="T948" s="136"/>
      <c r="U948" s="135"/>
      <c r="V948" s="159"/>
    </row>
    <row r="949" spans="1:25" x14ac:dyDescent="0.3">
      <c r="A949" s="154"/>
      <c r="B949" s="129" t="s">
        <v>124</v>
      </c>
      <c r="C949" s="71" t="s">
        <v>88</v>
      </c>
      <c r="M949" s="69" t="str">
        <f>IF((L950=""),"",MAX(D951:L951))</f>
        <v/>
      </c>
      <c r="N949" s="69" t="str">
        <f>IF(L950="","",MIN(D951:L951))</f>
        <v/>
      </c>
      <c r="O949" s="69" t="str">
        <f>IF((L951=""),"",AVERAGE(D951:L951))</f>
        <v/>
      </c>
      <c r="P949" s="69">
        <v>1600</v>
      </c>
      <c r="Q949" s="69">
        <v>2000</v>
      </c>
      <c r="R949" s="69" t="str">
        <f>IF((L950=""),"",((M949-N949)/(M949+N949))*100)</f>
        <v/>
      </c>
      <c r="S949" s="69">
        <v>23</v>
      </c>
      <c r="T949" s="130" t="str">
        <f>IF(L950="","",IF(R950&lt;20,(IF(O949&gt;1730,IF(O949&lt;1970,"Pass","Fail"),"Fail"))))</f>
        <v/>
      </c>
      <c r="U949" s="153"/>
      <c r="V949" s="159"/>
      <c r="W949" s="56">
        <v>1730</v>
      </c>
      <c r="X949" s="56">
        <v>1970</v>
      </c>
      <c r="Y949" s="56">
        <v>6.2</v>
      </c>
    </row>
    <row r="950" spans="1:25" x14ac:dyDescent="0.3">
      <c r="A950" s="155"/>
      <c r="B950" s="147"/>
      <c r="C950" s="71" t="s">
        <v>89</v>
      </c>
      <c r="M950" s="77"/>
      <c r="N950" s="77"/>
      <c r="O950" s="77"/>
      <c r="P950" s="77"/>
      <c r="Q950" s="77"/>
      <c r="R950" s="77"/>
      <c r="S950" s="77"/>
      <c r="T950" s="132"/>
      <c r="U950" s="77"/>
      <c r="V950" s="159"/>
    </row>
    <row r="951" spans="1:25" ht="39.9" x14ac:dyDescent="0.3">
      <c r="A951" s="156"/>
      <c r="B951" s="149"/>
      <c r="C951" s="71" t="s">
        <v>123</v>
      </c>
      <c r="D951" s="38" t="str">
        <f t="shared" ref="D951:L951" si="313">IF(((D949="")*AND(D950="")),"",(D949-D950)*1)</f>
        <v/>
      </c>
      <c r="E951" s="38" t="str">
        <f t="shared" si="313"/>
        <v/>
      </c>
      <c r="F951" s="38" t="str">
        <f t="shared" si="313"/>
        <v/>
      </c>
      <c r="G951" s="38" t="str">
        <f t="shared" si="313"/>
        <v/>
      </c>
      <c r="H951" s="38" t="str">
        <f t="shared" si="313"/>
        <v/>
      </c>
      <c r="I951" s="38" t="str">
        <f t="shared" si="313"/>
        <v/>
      </c>
      <c r="J951" s="38" t="str">
        <f t="shared" si="313"/>
        <v/>
      </c>
      <c r="K951" s="38" t="str">
        <f t="shared" si="313"/>
        <v/>
      </c>
      <c r="L951" s="38" t="str">
        <f t="shared" si="313"/>
        <v/>
      </c>
      <c r="M951" s="135"/>
      <c r="N951" s="135"/>
      <c r="O951" s="135"/>
      <c r="P951" s="135"/>
      <c r="Q951" s="135"/>
      <c r="R951" s="135"/>
      <c r="S951" s="135"/>
      <c r="T951" s="136"/>
      <c r="U951" s="135"/>
      <c r="V951" s="159"/>
    </row>
    <row r="952" spans="1:25" x14ac:dyDescent="0.3">
      <c r="A952" s="154"/>
      <c r="B952" s="129" t="s">
        <v>124</v>
      </c>
      <c r="C952" s="71" t="s">
        <v>88</v>
      </c>
      <c r="M952" s="69" t="str">
        <f>IF((L953=""),"",MAX(D954:L954))</f>
        <v/>
      </c>
      <c r="N952" s="69" t="str">
        <f>IF(L953="","",MIN(D954:L954))</f>
        <v/>
      </c>
      <c r="O952" s="69" t="str">
        <f>IF((L954=""),"",AVERAGE(D954:L954))</f>
        <v/>
      </c>
      <c r="P952" s="69">
        <v>1600</v>
      </c>
      <c r="Q952" s="69">
        <v>2000</v>
      </c>
      <c r="R952" s="69" t="str">
        <f>IF((L953=""),"",((M952-N952)/(M952+N952))*100)</f>
        <v/>
      </c>
      <c r="S952" s="69">
        <v>23</v>
      </c>
      <c r="T952" s="130" t="str">
        <f>IF(L953="","",IF(R953&lt;20,(IF(O952&gt;1730,IF(O952&lt;1970,"Pass","Fail"),"Fail"))))</f>
        <v/>
      </c>
      <c r="U952" s="153"/>
      <c r="V952" s="159"/>
      <c r="W952" s="56">
        <v>1730</v>
      </c>
      <c r="X952" s="56">
        <v>1970</v>
      </c>
      <c r="Y952" s="56">
        <v>6.2</v>
      </c>
    </row>
    <row r="953" spans="1:25" x14ac:dyDescent="0.3">
      <c r="A953" s="155"/>
      <c r="B953" s="147"/>
      <c r="C953" s="71" t="s">
        <v>89</v>
      </c>
      <c r="M953" s="77"/>
      <c r="N953" s="77"/>
      <c r="O953" s="77"/>
      <c r="P953" s="77"/>
      <c r="Q953" s="77"/>
      <c r="R953" s="77"/>
      <c r="S953" s="77"/>
      <c r="T953" s="132"/>
      <c r="U953" s="77"/>
      <c r="V953" s="159"/>
    </row>
    <row r="954" spans="1:25" ht="39.9" x14ac:dyDescent="0.3">
      <c r="A954" s="156"/>
      <c r="B954" s="149"/>
      <c r="C954" s="71" t="s">
        <v>123</v>
      </c>
      <c r="D954" s="38" t="str">
        <f t="shared" ref="D954:L954" si="314">IF(((D952="")*AND(D953="")),"",(D952-D953)*1)</f>
        <v/>
      </c>
      <c r="E954" s="38" t="str">
        <f t="shared" si="314"/>
        <v/>
      </c>
      <c r="F954" s="38" t="str">
        <f t="shared" si="314"/>
        <v/>
      </c>
      <c r="G954" s="38" t="str">
        <f t="shared" si="314"/>
        <v/>
      </c>
      <c r="H954" s="38" t="str">
        <f t="shared" si="314"/>
        <v/>
      </c>
      <c r="I954" s="38" t="str">
        <f t="shared" si="314"/>
        <v/>
      </c>
      <c r="J954" s="38" t="str">
        <f t="shared" si="314"/>
        <v/>
      </c>
      <c r="K954" s="38" t="str">
        <f t="shared" si="314"/>
        <v/>
      </c>
      <c r="L954" s="38" t="str">
        <f t="shared" si="314"/>
        <v/>
      </c>
      <c r="M954" s="135"/>
      <c r="N954" s="135"/>
      <c r="O954" s="135"/>
      <c r="P954" s="135"/>
      <c r="Q954" s="135"/>
      <c r="R954" s="135"/>
      <c r="S954" s="135"/>
      <c r="T954" s="136"/>
      <c r="U954" s="135"/>
      <c r="V954" s="159"/>
    </row>
    <row r="955" spans="1:25" x14ac:dyDescent="0.3">
      <c r="A955" s="154"/>
      <c r="B955" s="129" t="s">
        <v>124</v>
      </c>
      <c r="C955" s="71" t="s">
        <v>88</v>
      </c>
      <c r="M955" s="69" t="str">
        <f>IF((L956=""),"",MAX(D957:L957))</f>
        <v/>
      </c>
      <c r="N955" s="69" t="str">
        <f>IF(L956="","",MIN(D957:L957))</f>
        <v/>
      </c>
      <c r="O955" s="69" t="str">
        <f>IF((L957=""),"",AVERAGE(D957:L957))</f>
        <v/>
      </c>
      <c r="P955" s="69">
        <v>1600</v>
      </c>
      <c r="Q955" s="69">
        <v>2000</v>
      </c>
      <c r="R955" s="69" t="str">
        <f>IF((L956=""),"",((M955-N955)/(M955+N955))*100)</f>
        <v/>
      </c>
      <c r="S955" s="69">
        <v>23</v>
      </c>
      <c r="T955" s="130" t="str">
        <f>IF(L956="","",IF(R956&lt;20,(IF(O955&gt;1730,IF(O955&lt;1970,"Pass","Fail"),"Fail"))))</f>
        <v/>
      </c>
      <c r="U955" s="153"/>
      <c r="V955" s="159"/>
      <c r="W955" s="56">
        <v>1730</v>
      </c>
      <c r="X955" s="56">
        <v>1970</v>
      </c>
      <c r="Y955" s="56">
        <v>6.2</v>
      </c>
    </row>
    <row r="956" spans="1:25" x14ac:dyDescent="0.3">
      <c r="A956" s="155"/>
      <c r="B956" s="147"/>
      <c r="C956" s="71" t="s">
        <v>89</v>
      </c>
      <c r="M956" s="77"/>
      <c r="N956" s="77"/>
      <c r="O956" s="77"/>
      <c r="P956" s="77"/>
      <c r="Q956" s="77"/>
      <c r="R956" s="77"/>
      <c r="S956" s="77"/>
      <c r="T956" s="132"/>
      <c r="U956" s="77"/>
      <c r="V956" s="159"/>
    </row>
    <row r="957" spans="1:25" ht="39.9" x14ac:dyDescent="0.3">
      <c r="A957" s="156"/>
      <c r="B957" s="149"/>
      <c r="C957" s="71" t="s">
        <v>123</v>
      </c>
      <c r="D957" s="38" t="str">
        <f t="shared" ref="D957:L957" si="315">IF(((D955="")*AND(D956="")),"",(D955-D956)*1)</f>
        <v/>
      </c>
      <c r="E957" s="38" t="str">
        <f t="shared" si="315"/>
        <v/>
      </c>
      <c r="F957" s="38" t="str">
        <f t="shared" si="315"/>
        <v/>
      </c>
      <c r="G957" s="38" t="str">
        <f t="shared" si="315"/>
        <v/>
      </c>
      <c r="H957" s="38" t="str">
        <f t="shared" si="315"/>
        <v/>
      </c>
      <c r="I957" s="38" t="str">
        <f t="shared" si="315"/>
        <v/>
      </c>
      <c r="J957" s="38" t="str">
        <f t="shared" si="315"/>
        <v/>
      </c>
      <c r="K957" s="38" t="str">
        <f t="shared" si="315"/>
        <v/>
      </c>
      <c r="L957" s="38" t="str">
        <f t="shared" si="315"/>
        <v/>
      </c>
      <c r="M957" s="135"/>
      <c r="N957" s="135"/>
      <c r="O957" s="135"/>
      <c r="P957" s="135"/>
      <c r="Q957" s="135"/>
      <c r="R957" s="135"/>
      <c r="S957" s="135"/>
      <c r="T957" s="136"/>
      <c r="U957" s="135"/>
      <c r="V957" s="159"/>
    </row>
    <row r="958" spans="1:25" x14ac:dyDescent="0.3">
      <c r="A958" s="154"/>
      <c r="B958" s="129" t="s">
        <v>124</v>
      </c>
      <c r="C958" s="71" t="s">
        <v>88</v>
      </c>
      <c r="M958" s="69" t="str">
        <f>IF((L959=""),"",MAX(D960:L960))</f>
        <v/>
      </c>
      <c r="N958" s="69" t="str">
        <f>IF(L959="","",MIN(D960:L960))</f>
        <v/>
      </c>
      <c r="O958" s="69" t="str">
        <f>IF((L960=""),"",AVERAGE(D960:L960))</f>
        <v/>
      </c>
      <c r="P958" s="69">
        <v>1600</v>
      </c>
      <c r="Q958" s="69">
        <v>2000</v>
      </c>
      <c r="R958" s="69" t="str">
        <f>IF((L959=""),"",((M958-N958)/(M958+N958))*100)</f>
        <v/>
      </c>
      <c r="S958" s="69">
        <v>23</v>
      </c>
      <c r="T958" s="130" t="str">
        <f>IF(L959="","",IF(R959&lt;20,(IF(O958&gt;1730,IF(O958&lt;1970,"Pass","Fail"),"Fail"))))</f>
        <v/>
      </c>
      <c r="U958" s="153"/>
      <c r="V958" s="159"/>
      <c r="W958" s="56">
        <v>1730</v>
      </c>
      <c r="X958" s="56">
        <v>1970</v>
      </c>
      <c r="Y958" s="56">
        <v>6.2</v>
      </c>
    </row>
    <row r="959" spans="1:25" x14ac:dyDescent="0.3">
      <c r="A959" s="155"/>
      <c r="B959" s="147"/>
      <c r="C959" s="71" t="s">
        <v>89</v>
      </c>
      <c r="M959" s="77"/>
      <c r="N959" s="77"/>
      <c r="O959" s="77"/>
      <c r="P959" s="77"/>
      <c r="Q959" s="77"/>
      <c r="R959" s="77"/>
      <c r="S959" s="77"/>
      <c r="T959" s="132"/>
      <c r="U959" s="77"/>
      <c r="V959" s="159"/>
    </row>
    <row r="960" spans="1:25" ht="39.9" x14ac:dyDescent="0.3">
      <c r="A960" s="156"/>
      <c r="B960" s="149"/>
      <c r="C960" s="71" t="s">
        <v>123</v>
      </c>
      <c r="D960" s="38" t="str">
        <f t="shared" ref="D960:L960" si="316">IF(((D958="")*AND(D959="")),"",(D958-D959)*1)</f>
        <v/>
      </c>
      <c r="E960" s="38" t="str">
        <f t="shared" si="316"/>
        <v/>
      </c>
      <c r="F960" s="38" t="str">
        <f t="shared" si="316"/>
        <v/>
      </c>
      <c r="G960" s="38" t="str">
        <f t="shared" si="316"/>
        <v/>
      </c>
      <c r="H960" s="38" t="str">
        <f t="shared" si="316"/>
        <v/>
      </c>
      <c r="I960" s="38" t="str">
        <f t="shared" si="316"/>
        <v/>
      </c>
      <c r="J960" s="38" t="str">
        <f t="shared" si="316"/>
        <v/>
      </c>
      <c r="K960" s="38" t="str">
        <f t="shared" si="316"/>
        <v/>
      </c>
      <c r="L960" s="38" t="str">
        <f t="shared" si="316"/>
        <v/>
      </c>
      <c r="M960" s="135"/>
      <c r="N960" s="135"/>
      <c r="O960" s="135"/>
      <c r="P960" s="135"/>
      <c r="Q960" s="135"/>
      <c r="R960" s="135"/>
      <c r="S960" s="135"/>
      <c r="T960" s="136"/>
      <c r="U960" s="135"/>
      <c r="V960" s="159"/>
    </row>
    <row r="961" spans="1:25" x14ac:dyDescent="0.3">
      <c r="A961" s="154"/>
      <c r="B961" s="129" t="s">
        <v>124</v>
      </c>
      <c r="C961" s="71" t="s">
        <v>88</v>
      </c>
      <c r="M961" s="69" t="str">
        <f>IF((L962=""),"",MAX(D963:L963))</f>
        <v/>
      </c>
      <c r="N961" s="69" t="str">
        <f>IF(L962="","",MIN(D963:L963))</f>
        <v/>
      </c>
      <c r="O961" s="69" t="str">
        <f>IF((L963=""),"",AVERAGE(D963:L963))</f>
        <v/>
      </c>
      <c r="P961" s="69">
        <v>1600</v>
      </c>
      <c r="Q961" s="69">
        <v>2000</v>
      </c>
      <c r="R961" s="69" t="str">
        <f>IF((L962=""),"",((M961-N961)/(M961+N961))*100)</f>
        <v/>
      </c>
      <c r="S961" s="69">
        <v>23</v>
      </c>
      <c r="T961" s="130" t="str">
        <f>IF(L962="","",IF(R962&lt;20,(IF(O961&gt;1730,IF(O961&lt;1970,"Pass","Fail"),"Fail"))))</f>
        <v/>
      </c>
      <c r="U961" s="153"/>
      <c r="V961" s="159"/>
      <c r="W961" s="56">
        <v>1730</v>
      </c>
      <c r="X961" s="56">
        <v>1970</v>
      </c>
      <c r="Y961" s="56">
        <v>6.2</v>
      </c>
    </row>
    <row r="962" spans="1:25" x14ac:dyDescent="0.3">
      <c r="A962" s="155"/>
      <c r="B962" s="147"/>
      <c r="C962" s="71" t="s">
        <v>89</v>
      </c>
      <c r="M962" s="77"/>
      <c r="N962" s="77"/>
      <c r="O962" s="77"/>
      <c r="P962" s="77"/>
      <c r="Q962" s="77"/>
      <c r="R962" s="77"/>
      <c r="S962" s="77"/>
      <c r="T962" s="132"/>
      <c r="U962" s="77"/>
      <c r="V962" s="159"/>
    </row>
    <row r="963" spans="1:25" ht="39.9" x14ac:dyDescent="0.3">
      <c r="A963" s="156"/>
      <c r="B963" s="149"/>
      <c r="C963" s="71" t="s">
        <v>123</v>
      </c>
      <c r="D963" s="38" t="str">
        <f t="shared" ref="D963:L963" si="317">IF(((D961="")*AND(D962="")),"",(D961-D962)*1)</f>
        <v/>
      </c>
      <c r="E963" s="38" t="str">
        <f t="shared" si="317"/>
        <v/>
      </c>
      <c r="F963" s="38" t="str">
        <f t="shared" si="317"/>
        <v/>
      </c>
      <c r="G963" s="38" t="str">
        <f t="shared" si="317"/>
        <v/>
      </c>
      <c r="H963" s="38" t="str">
        <f t="shared" si="317"/>
        <v/>
      </c>
      <c r="I963" s="38" t="str">
        <f t="shared" si="317"/>
        <v/>
      </c>
      <c r="J963" s="38" t="str">
        <f t="shared" si="317"/>
        <v/>
      </c>
      <c r="K963" s="38" t="str">
        <f t="shared" si="317"/>
        <v/>
      </c>
      <c r="L963" s="38" t="str">
        <f t="shared" si="317"/>
        <v/>
      </c>
      <c r="M963" s="135"/>
      <c r="N963" s="135"/>
      <c r="O963" s="135"/>
      <c r="P963" s="135"/>
      <c r="Q963" s="135"/>
      <c r="R963" s="135"/>
      <c r="S963" s="135"/>
      <c r="T963" s="136"/>
      <c r="U963" s="135"/>
      <c r="V963" s="159"/>
    </row>
    <row r="964" spans="1:25" x14ac:dyDescent="0.3">
      <c r="A964" s="154"/>
      <c r="B964" s="129" t="s">
        <v>124</v>
      </c>
      <c r="C964" s="71" t="s">
        <v>88</v>
      </c>
      <c r="M964" s="69" t="str">
        <f>IF((L965=""),"",MAX(D966:L966))</f>
        <v/>
      </c>
      <c r="N964" s="69" t="str">
        <f>IF(L965="","",MIN(D966:L966))</f>
        <v/>
      </c>
      <c r="O964" s="69" t="str">
        <f>IF((L966=""),"",AVERAGE(D966:L966))</f>
        <v/>
      </c>
      <c r="P964" s="69">
        <v>1600</v>
      </c>
      <c r="Q964" s="69">
        <v>2000</v>
      </c>
      <c r="R964" s="69" t="str">
        <f>IF((L965=""),"",((M964-N964)/(M964+N964))*100)</f>
        <v/>
      </c>
      <c r="S964" s="69">
        <v>23</v>
      </c>
      <c r="T964" s="130" t="str">
        <f>IF(L965="","",IF(R965&lt;20,(IF(O964&gt;1730,IF(O964&lt;1970,"Pass","Fail"),"Fail"))))</f>
        <v/>
      </c>
      <c r="U964" s="153"/>
      <c r="V964" s="159"/>
      <c r="W964" s="56">
        <v>1730</v>
      </c>
      <c r="X964" s="56">
        <v>1970</v>
      </c>
      <c r="Y964" s="56">
        <v>6.2</v>
      </c>
    </row>
    <row r="965" spans="1:25" x14ac:dyDescent="0.3">
      <c r="A965" s="155"/>
      <c r="B965" s="147"/>
      <c r="C965" s="71" t="s">
        <v>89</v>
      </c>
      <c r="M965" s="77"/>
      <c r="N965" s="77"/>
      <c r="O965" s="77"/>
      <c r="P965" s="77"/>
      <c r="Q965" s="77"/>
      <c r="R965" s="77"/>
      <c r="S965" s="77"/>
      <c r="T965" s="132"/>
      <c r="U965" s="77"/>
      <c r="V965" s="159"/>
    </row>
    <row r="966" spans="1:25" ht="39.9" x14ac:dyDescent="0.3">
      <c r="A966" s="156"/>
      <c r="B966" s="149"/>
      <c r="C966" s="71" t="s">
        <v>123</v>
      </c>
      <c r="D966" s="38" t="str">
        <f t="shared" ref="D966:L966" si="318">IF(((D964="")*AND(D965="")),"",(D964-D965)*1)</f>
        <v/>
      </c>
      <c r="E966" s="38" t="str">
        <f t="shared" si="318"/>
        <v/>
      </c>
      <c r="F966" s="38" t="str">
        <f t="shared" si="318"/>
        <v/>
      </c>
      <c r="G966" s="38" t="str">
        <f t="shared" si="318"/>
        <v/>
      </c>
      <c r="H966" s="38" t="str">
        <f t="shared" si="318"/>
        <v/>
      </c>
      <c r="I966" s="38" t="str">
        <f t="shared" si="318"/>
        <v/>
      </c>
      <c r="J966" s="38" t="str">
        <f t="shared" si="318"/>
        <v/>
      </c>
      <c r="K966" s="38" t="str">
        <f t="shared" si="318"/>
        <v/>
      </c>
      <c r="L966" s="38" t="str">
        <f t="shared" si="318"/>
        <v/>
      </c>
      <c r="M966" s="135"/>
      <c r="N966" s="135"/>
      <c r="O966" s="135"/>
      <c r="P966" s="135"/>
      <c r="Q966" s="135"/>
      <c r="R966" s="135"/>
      <c r="S966" s="135"/>
      <c r="T966" s="136"/>
      <c r="U966" s="135"/>
      <c r="V966" s="159"/>
    </row>
    <row r="967" spans="1:25" x14ac:dyDescent="0.3">
      <c r="A967" s="154"/>
      <c r="B967" s="129" t="s">
        <v>124</v>
      </c>
      <c r="C967" s="71" t="s">
        <v>88</v>
      </c>
      <c r="M967" s="69" t="str">
        <f>IF((L968=""),"",MAX(D969:L969))</f>
        <v/>
      </c>
      <c r="N967" s="69" t="str">
        <f>IF(L968="","",MIN(D969:L969))</f>
        <v/>
      </c>
      <c r="O967" s="69" t="str">
        <f>IF((L969=""),"",AVERAGE(D969:L969))</f>
        <v/>
      </c>
      <c r="P967" s="69">
        <v>1600</v>
      </c>
      <c r="Q967" s="69">
        <v>2000</v>
      </c>
      <c r="R967" s="69" t="str">
        <f>IF((L968=""),"",((M967-N967)/(M967+N967))*100)</f>
        <v/>
      </c>
      <c r="S967" s="69">
        <v>23</v>
      </c>
      <c r="T967" s="130" t="str">
        <f>IF(L968="","",IF(R968&lt;20,(IF(O967&gt;1730,IF(O967&lt;1970,"Pass","Fail"),"Fail"))))</f>
        <v/>
      </c>
      <c r="U967" s="153"/>
      <c r="V967" s="159"/>
      <c r="W967" s="56">
        <v>1730</v>
      </c>
      <c r="X967" s="56">
        <v>1970</v>
      </c>
      <c r="Y967" s="56">
        <v>6.2</v>
      </c>
    </row>
    <row r="968" spans="1:25" x14ac:dyDescent="0.3">
      <c r="A968" s="155"/>
      <c r="B968" s="147"/>
      <c r="C968" s="71" t="s">
        <v>89</v>
      </c>
      <c r="M968" s="77"/>
      <c r="N968" s="77"/>
      <c r="O968" s="77"/>
      <c r="P968" s="77"/>
      <c r="Q968" s="77"/>
      <c r="R968" s="77"/>
      <c r="S968" s="77"/>
      <c r="T968" s="132"/>
      <c r="U968" s="77"/>
      <c r="V968" s="159"/>
    </row>
    <row r="969" spans="1:25" ht="39.9" x14ac:dyDescent="0.3">
      <c r="A969" s="156"/>
      <c r="B969" s="149"/>
      <c r="C969" s="71" t="s">
        <v>123</v>
      </c>
      <c r="D969" s="38" t="str">
        <f t="shared" ref="D969:L969" si="319">IF(((D967="")*AND(D968="")),"",(D967-D968)*1)</f>
        <v/>
      </c>
      <c r="E969" s="38" t="str">
        <f t="shared" si="319"/>
        <v/>
      </c>
      <c r="F969" s="38" t="str">
        <f t="shared" si="319"/>
        <v/>
      </c>
      <c r="G969" s="38" t="str">
        <f t="shared" si="319"/>
        <v/>
      </c>
      <c r="H969" s="38" t="str">
        <f t="shared" si="319"/>
        <v/>
      </c>
      <c r="I969" s="38" t="str">
        <f t="shared" si="319"/>
        <v/>
      </c>
      <c r="J969" s="38" t="str">
        <f t="shared" si="319"/>
        <v/>
      </c>
      <c r="K969" s="38" t="str">
        <f t="shared" si="319"/>
        <v/>
      </c>
      <c r="L969" s="38" t="str">
        <f t="shared" si="319"/>
        <v/>
      </c>
      <c r="M969" s="135"/>
      <c r="N969" s="135"/>
      <c r="O969" s="135"/>
      <c r="P969" s="135"/>
      <c r="Q969" s="135"/>
      <c r="R969" s="135"/>
      <c r="S969" s="135"/>
      <c r="T969" s="136"/>
      <c r="U969" s="135"/>
      <c r="V969" s="159"/>
    </row>
    <row r="970" spans="1:25" x14ac:dyDescent="0.3">
      <c r="A970" s="154"/>
      <c r="B970" s="129" t="s">
        <v>124</v>
      </c>
      <c r="C970" s="71" t="s">
        <v>88</v>
      </c>
      <c r="M970" s="69" t="str">
        <f>IF((L971=""),"",MAX(D972:L972))</f>
        <v/>
      </c>
      <c r="N970" s="69" t="str">
        <f>IF(L971="","",MIN(D972:L972))</f>
        <v/>
      </c>
      <c r="O970" s="69" t="str">
        <f>IF((L972=""),"",AVERAGE(D972:L972))</f>
        <v/>
      </c>
      <c r="P970" s="69">
        <v>1600</v>
      </c>
      <c r="Q970" s="69">
        <v>2000</v>
      </c>
      <c r="R970" s="69" t="str">
        <f>IF((L971=""),"",((M970-N970)/(M970+N970))*100)</f>
        <v/>
      </c>
      <c r="S970" s="69">
        <v>23</v>
      </c>
      <c r="T970" s="130" t="str">
        <f>IF(L971="","",IF(R971&lt;20,(IF(O970&gt;1730,IF(O970&lt;1970,"Pass","Fail"),"Fail"))))</f>
        <v/>
      </c>
      <c r="U970" s="153"/>
      <c r="V970" s="159"/>
      <c r="W970" s="56">
        <v>1730</v>
      </c>
      <c r="X970" s="56">
        <v>1970</v>
      </c>
      <c r="Y970" s="56">
        <v>6.2</v>
      </c>
    </row>
    <row r="971" spans="1:25" x14ac:dyDescent="0.3">
      <c r="A971" s="155"/>
      <c r="B971" s="147"/>
      <c r="C971" s="71" t="s">
        <v>89</v>
      </c>
      <c r="M971" s="77"/>
      <c r="N971" s="77"/>
      <c r="O971" s="77"/>
      <c r="P971" s="77"/>
      <c r="Q971" s="77"/>
      <c r="R971" s="77"/>
      <c r="S971" s="77"/>
      <c r="T971" s="132"/>
      <c r="U971" s="77"/>
      <c r="V971" s="159"/>
    </row>
    <row r="972" spans="1:25" ht="39.9" x14ac:dyDescent="0.3">
      <c r="A972" s="156"/>
      <c r="B972" s="149"/>
      <c r="C972" s="71" t="s">
        <v>123</v>
      </c>
      <c r="D972" s="38" t="str">
        <f t="shared" ref="D972:L972" si="320">IF(((D970="")*AND(D971="")),"",(D970-D971)*1)</f>
        <v/>
      </c>
      <c r="E972" s="38" t="str">
        <f t="shared" si="320"/>
        <v/>
      </c>
      <c r="F972" s="38" t="str">
        <f t="shared" si="320"/>
        <v/>
      </c>
      <c r="G972" s="38" t="str">
        <f t="shared" si="320"/>
        <v/>
      </c>
      <c r="H972" s="38" t="str">
        <f t="shared" si="320"/>
        <v/>
      </c>
      <c r="I972" s="38" t="str">
        <f t="shared" si="320"/>
        <v/>
      </c>
      <c r="J972" s="38" t="str">
        <f t="shared" si="320"/>
        <v/>
      </c>
      <c r="K972" s="38" t="str">
        <f t="shared" si="320"/>
        <v/>
      </c>
      <c r="L972" s="38" t="str">
        <f t="shared" si="320"/>
        <v/>
      </c>
      <c r="M972" s="135"/>
      <c r="N972" s="135"/>
      <c r="O972" s="135"/>
      <c r="P972" s="135"/>
      <c r="Q972" s="135"/>
      <c r="R972" s="135"/>
      <c r="S972" s="135"/>
      <c r="T972" s="136"/>
      <c r="U972" s="135"/>
      <c r="V972" s="159"/>
    </row>
    <row r="973" spans="1:25" x14ac:dyDescent="0.3">
      <c r="A973" s="154"/>
      <c r="B973" s="129" t="s">
        <v>124</v>
      </c>
      <c r="C973" s="71" t="s">
        <v>88</v>
      </c>
      <c r="M973" s="69" t="str">
        <f>IF((L974=""),"",MAX(D975:L975))</f>
        <v/>
      </c>
      <c r="N973" s="69" t="str">
        <f>IF(L974="","",MIN(D975:L975))</f>
        <v/>
      </c>
      <c r="O973" s="69" t="str">
        <f>IF((L975=""),"",AVERAGE(D975:L975))</f>
        <v/>
      </c>
      <c r="P973" s="69">
        <v>1600</v>
      </c>
      <c r="Q973" s="69">
        <v>2000</v>
      </c>
      <c r="R973" s="69" t="str">
        <f>IF((L974=""),"",((M973-N973)/(M973+N973))*100)</f>
        <v/>
      </c>
      <c r="S973" s="69">
        <v>23</v>
      </c>
      <c r="T973" s="130" t="str">
        <f>IF(L974="","",IF(R974&lt;20,(IF(O973&gt;1730,IF(O973&lt;1970,"Pass","Fail"),"Fail"))))</f>
        <v/>
      </c>
      <c r="U973" s="153"/>
      <c r="V973" s="159"/>
      <c r="W973" s="56">
        <v>1730</v>
      </c>
      <c r="X973" s="56">
        <v>1970</v>
      </c>
      <c r="Y973" s="56">
        <v>6.2</v>
      </c>
    </row>
    <row r="974" spans="1:25" x14ac:dyDescent="0.3">
      <c r="A974" s="155"/>
      <c r="B974" s="147"/>
      <c r="C974" s="71" t="s">
        <v>89</v>
      </c>
      <c r="M974" s="77"/>
      <c r="N974" s="77"/>
      <c r="O974" s="77"/>
      <c r="P974" s="77"/>
      <c r="Q974" s="77"/>
      <c r="R974" s="77"/>
      <c r="S974" s="77"/>
      <c r="T974" s="132"/>
      <c r="U974" s="77"/>
      <c r="V974" s="159"/>
    </row>
    <row r="975" spans="1:25" ht="39.9" x14ac:dyDescent="0.3">
      <c r="A975" s="156"/>
      <c r="B975" s="149"/>
      <c r="C975" s="71" t="s">
        <v>123</v>
      </c>
      <c r="D975" s="38" t="str">
        <f t="shared" ref="D975:L975" si="321">IF(((D973="")*AND(D974="")),"",(D973-D974)*1)</f>
        <v/>
      </c>
      <c r="E975" s="38" t="str">
        <f t="shared" si="321"/>
        <v/>
      </c>
      <c r="F975" s="38" t="str">
        <f t="shared" si="321"/>
        <v/>
      </c>
      <c r="G975" s="38" t="str">
        <f t="shared" si="321"/>
        <v/>
      </c>
      <c r="H975" s="38" t="str">
        <f t="shared" si="321"/>
        <v/>
      </c>
      <c r="I975" s="38" t="str">
        <f t="shared" si="321"/>
        <v/>
      </c>
      <c r="J975" s="38" t="str">
        <f t="shared" si="321"/>
        <v/>
      </c>
      <c r="K975" s="38" t="str">
        <f t="shared" si="321"/>
        <v/>
      </c>
      <c r="L975" s="38" t="str">
        <f t="shared" si="321"/>
        <v/>
      </c>
      <c r="M975" s="135"/>
      <c r="N975" s="135"/>
      <c r="O975" s="135"/>
      <c r="P975" s="135"/>
      <c r="Q975" s="135"/>
      <c r="R975" s="135"/>
      <c r="S975" s="135"/>
      <c r="T975" s="136"/>
      <c r="U975" s="135"/>
      <c r="V975" s="159"/>
    </row>
    <row r="976" spans="1:25" x14ac:dyDescent="0.3">
      <c r="A976" s="154"/>
      <c r="B976" s="129" t="s">
        <v>124</v>
      </c>
      <c r="C976" s="71" t="s">
        <v>88</v>
      </c>
      <c r="M976" s="69" t="str">
        <f>IF((L977=""),"",MAX(D978:L978))</f>
        <v/>
      </c>
      <c r="N976" s="69" t="str">
        <f>IF(L977="","",MIN(D978:L978))</f>
        <v/>
      </c>
      <c r="O976" s="69" t="str">
        <f>IF((L978=""),"",AVERAGE(D978:L978))</f>
        <v/>
      </c>
      <c r="P976" s="69">
        <v>1600</v>
      </c>
      <c r="Q976" s="69">
        <v>2000</v>
      </c>
      <c r="R976" s="69" t="str">
        <f>IF((L977=""),"",((M976-N976)/(M976+N976))*100)</f>
        <v/>
      </c>
      <c r="S976" s="69">
        <v>23</v>
      </c>
      <c r="T976" s="130" t="str">
        <f>IF(L977="","",IF(R977&lt;20,(IF(O976&gt;1730,IF(O976&lt;1970,"Pass","Fail"),"Fail"))))</f>
        <v/>
      </c>
      <c r="U976" s="153"/>
      <c r="V976" s="159"/>
      <c r="W976" s="56">
        <v>1730</v>
      </c>
      <c r="X976" s="56">
        <v>1970</v>
      </c>
      <c r="Y976" s="56">
        <v>6.2</v>
      </c>
    </row>
    <row r="977" spans="1:25" x14ac:dyDescent="0.3">
      <c r="A977" s="155"/>
      <c r="B977" s="147"/>
      <c r="C977" s="71" t="s">
        <v>89</v>
      </c>
      <c r="M977" s="77"/>
      <c r="N977" s="77"/>
      <c r="O977" s="77"/>
      <c r="P977" s="77"/>
      <c r="Q977" s="77"/>
      <c r="R977" s="77"/>
      <c r="S977" s="77"/>
      <c r="T977" s="132"/>
      <c r="U977" s="77"/>
      <c r="V977" s="159"/>
    </row>
    <row r="978" spans="1:25" ht="39.9" x14ac:dyDescent="0.3">
      <c r="A978" s="156"/>
      <c r="B978" s="149"/>
      <c r="C978" s="71" t="s">
        <v>123</v>
      </c>
      <c r="D978" s="38" t="str">
        <f t="shared" ref="D978:L978" si="322">IF(((D976="")*AND(D977="")),"",(D976-D977)*1)</f>
        <v/>
      </c>
      <c r="E978" s="38" t="str">
        <f t="shared" si="322"/>
        <v/>
      </c>
      <c r="F978" s="38" t="str">
        <f t="shared" si="322"/>
        <v/>
      </c>
      <c r="G978" s="38" t="str">
        <f t="shared" si="322"/>
        <v/>
      </c>
      <c r="H978" s="38" t="str">
        <f t="shared" si="322"/>
        <v/>
      </c>
      <c r="I978" s="38" t="str">
        <f t="shared" si="322"/>
        <v/>
      </c>
      <c r="J978" s="38" t="str">
        <f t="shared" si="322"/>
        <v/>
      </c>
      <c r="K978" s="38" t="str">
        <f t="shared" si="322"/>
        <v/>
      </c>
      <c r="L978" s="38" t="str">
        <f t="shared" si="322"/>
        <v/>
      </c>
      <c r="M978" s="135"/>
      <c r="N978" s="135"/>
      <c r="O978" s="135"/>
      <c r="P978" s="135"/>
      <c r="Q978" s="135"/>
      <c r="R978" s="135"/>
      <c r="S978" s="135"/>
      <c r="T978" s="136"/>
      <c r="U978" s="135"/>
      <c r="V978" s="159"/>
    </row>
    <row r="979" spans="1:25" x14ac:dyDescent="0.3">
      <c r="A979" s="154"/>
      <c r="B979" s="129" t="s">
        <v>124</v>
      </c>
      <c r="C979" s="71" t="s">
        <v>88</v>
      </c>
      <c r="M979" s="69" t="str">
        <f>IF((L980=""),"",MAX(D981:L981))</f>
        <v/>
      </c>
      <c r="N979" s="69" t="str">
        <f>IF(L980="","",MIN(D981:L981))</f>
        <v/>
      </c>
      <c r="O979" s="69" t="str">
        <f>IF((L981=""),"",AVERAGE(D981:L981))</f>
        <v/>
      </c>
      <c r="P979" s="69">
        <v>1600</v>
      </c>
      <c r="Q979" s="69">
        <v>2000</v>
      </c>
      <c r="R979" s="69" t="str">
        <f>IF((L980=""),"",((M979-N979)/(M979+N979))*100)</f>
        <v/>
      </c>
      <c r="S979" s="69">
        <v>23</v>
      </c>
      <c r="T979" s="130" t="str">
        <f>IF(L980="","",IF(R980&lt;20,(IF(O979&gt;1730,IF(O979&lt;1970,"Pass","Fail"),"Fail"))))</f>
        <v/>
      </c>
      <c r="U979" s="153"/>
      <c r="V979" s="159"/>
      <c r="W979" s="56">
        <v>1730</v>
      </c>
      <c r="X979" s="56">
        <v>1970</v>
      </c>
      <c r="Y979" s="56">
        <v>6.2</v>
      </c>
    </row>
    <row r="980" spans="1:25" x14ac:dyDescent="0.3">
      <c r="A980" s="155"/>
      <c r="B980" s="147"/>
      <c r="C980" s="71" t="s">
        <v>89</v>
      </c>
      <c r="M980" s="77"/>
      <c r="N980" s="77"/>
      <c r="O980" s="77"/>
      <c r="P980" s="77"/>
      <c r="Q980" s="77"/>
      <c r="R980" s="77"/>
      <c r="S980" s="77"/>
      <c r="T980" s="132"/>
      <c r="U980" s="77"/>
      <c r="V980" s="159"/>
    </row>
    <row r="981" spans="1:25" ht="39.9" x14ac:dyDescent="0.3">
      <c r="A981" s="156"/>
      <c r="B981" s="149"/>
      <c r="C981" s="71" t="s">
        <v>123</v>
      </c>
      <c r="D981" s="38" t="str">
        <f t="shared" ref="D981:L981" si="323">IF(((D979="")*AND(D980="")),"",(D979-D980)*1)</f>
        <v/>
      </c>
      <c r="E981" s="38" t="str">
        <f t="shared" si="323"/>
        <v/>
      </c>
      <c r="F981" s="38" t="str">
        <f t="shared" si="323"/>
        <v/>
      </c>
      <c r="G981" s="38" t="str">
        <f t="shared" si="323"/>
        <v/>
      </c>
      <c r="H981" s="38" t="str">
        <f t="shared" si="323"/>
        <v/>
      </c>
      <c r="I981" s="38" t="str">
        <f t="shared" si="323"/>
        <v/>
      </c>
      <c r="J981" s="38" t="str">
        <f t="shared" si="323"/>
        <v/>
      </c>
      <c r="K981" s="38" t="str">
        <f t="shared" si="323"/>
        <v/>
      </c>
      <c r="L981" s="38" t="str">
        <f t="shared" si="323"/>
        <v/>
      </c>
      <c r="M981" s="135"/>
      <c r="N981" s="135"/>
      <c r="O981" s="135"/>
      <c r="P981" s="135"/>
      <c r="Q981" s="135"/>
      <c r="R981" s="135"/>
      <c r="S981" s="135"/>
      <c r="T981" s="136"/>
      <c r="U981" s="135"/>
      <c r="V981" s="159"/>
    </row>
    <row r="982" spans="1:25" x14ac:dyDescent="0.3">
      <c r="A982" s="154"/>
      <c r="B982" s="129" t="s">
        <v>124</v>
      </c>
      <c r="C982" s="71" t="s">
        <v>88</v>
      </c>
      <c r="M982" s="69" t="str">
        <f>IF((L983=""),"",MAX(D984:L984))</f>
        <v/>
      </c>
      <c r="N982" s="69" t="str">
        <f>IF(L983="","",MIN(D984:L984))</f>
        <v/>
      </c>
      <c r="O982" s="69" t="str">
        <f>IF((L984=""),"",AVERAGE(D984:L984))</f>
        <v/>
      </c>
      <c r="P982" s="69">
        <v>1600</v>
      </c>
      <c r="Q982" s="69">
        <v>2000</v>
      </c>
      <c r="R982" s="69" t="str">
        <f>IF((L983=""),"",((M982-N982)/(M982+N982))*100)</f>
        <v/>
      </c>
      <c r="S982" s="69">
        <v>23</v>
      </c>
      <c r="T982" s="130" t="str">
        <f>IF(L983="","",IF(R983&lt;20,(IF(O982&gt;1730,IF(O982&lt;1970,"Pass","Fail"),"Fail"))))</f>
        <v/>
      </c>
      <c r="U982" s="153"/>
      <c r="V982" s="159"/>
      <c r="W982" s="56">
        <v>1730</v>
      </c>
      <c r="X982" s="56">
        <v>1970</v>
      </c>
      <c r="Y982" s="56">
        <v>6.2</v>
      </c>
    </row>
    <row r="983" spans="1:25" x14ac:dyDescent="0.3">
      <c r="A983" s="155"/>
      <c r="B983" s="147"/>
      <c r="C983" s="71" t="s">
        <v>89</v>
      </c>
      <c r="M983" s="77"/>
      <c r="N983" s="77"/>
      <c r="O983" s="77"/>
      <c r="P983" s="77"/>
      <c r="Q983" s="77"/>
      <c r="R983" s="77"/>
      <c r="S983" s="77"/>
      <c r="T983" s="132"/>
      <c r="U983" s="77"/>
      <c r="V983" s="159"/>
    </row>
    <row r="984" spans="1:25" ht="39.9" x14ac:dyDescent="0.3">
      <c r="A984" s="156"/>
      <c r="B984" s="149"/>
      <c r="C984" s="71" t="s">
        <v>123</v>
      </c>
      <c r="D984" s="38" t="str">
        <f t="shared" ref="D984:L984" si="324">IF(((D982="")*AND(D983="")),"",(D982-D983)*1)</f>
        <v/>
      </c>
      <c r="E984" s="38" t="str">
        <f t="shared" si="324"/>
        <v/>
      </c>
      <c r="F984" s="38" t="str">
        <f t="shared" si="324"/>
        <v/>
      </c>
      <c r="G984" s="38" t="str">
        <f t="shared" si="324"/>
        <v/>
      </c>
      <c r="H984" s="38" t="str">
        <f t="shared" si="324"/>
        <v/>
      </c>
      <c r="I984" s="38" t="str">
        <f t="shared" si="324"/>
        <v/>
      </c>
      <c r="J984" s="38" t="str">
        <f t="shared" si="324"/>
        <v/>
      </c>
      <c r="K984" s="38" t="str">
        <f t="shared" si="324"/>
        <v/>
      </c>
      <c r="L984" s="38" t="str">
        <f t="shared" si="324"/>
        <v/>
      </c>
      <c r="M984" s="135"/>
      <c r="N984" s="135"/>
      <c r="O984" s="135"/>
      <c r="P984" s="135"/>
      <c r="Q984" s="135"/>
      <c r="R984" s="135"/>
      <c r="S984" s="135"/>
      <c r="T984" s="136"/>
      <c r="U984" s="135"/>
      <c r="V984" s="159"/>
    </row>
    <row r="985" spans="1:25" x14ac:dyDescent="0.3">
      <c r="A985" s="154"/>
      <c r="B985" s="129" t="s">
        <v>124</v>
      </c>
      <c r="C985" s="71" t="s">
        <v>88</v>
      </c>
      <c r="M985" s="69" t="str">
        <f>IF((L986=""),"",MAX(D987:L987))</f>
        <v/>
      </c>
      <c r="N985" s="69" t="str">
        <f>IF(L986="","",MIN(D987:L987))</f>
        <v/>
      </c>
      <c r="O985" s="69" t="str">
        <f>IF((L987=""),"",AVERAGE(D987:L987))</f>
        <v/>
      </c>
      <c r="P985" s="69">
        <v>1600</v>
      </c>
      <c r="Q985" s="69">
        <v>2000</v>
      </c>
      <c r="R985" s="69" t="str">
        <f>IF((L986=""),"",((M985-N985)/(M985+N985))*100)</f>
        <v/>
      </c>
      <c r="S985" s="69">
        <v>23</v>
      </c>
      <c r="T985" s="130" t="str">
        <f>IF(L986="","",IF(R986&lt;20,(IF(O985&gt;1730,IF(O985&lt;1970,"Pass","Fail"),"Fail"))))</f>
        <v/>
      </c>
      <c r="U985" s="153"/>
      <c r="V985" s="159"/>
      <c r="W985" s="56">
        <v>1730</v>
      </c>
      <c r="X985" s="56">
        <v>1970</v>
      </c>
      <c r="Y985" s="56">
        <v>6.2</v>
      </c>
    </row>
    <row r="986" spans="1:25" x14ac:dyDescent="0.3">
      <c r="A986" s="155"/>
      <c r="B986" s="147"/>
      <c r="C986" s="71" t="s">
        <v>89</v>
      </c>
      <c r="M986" s="77"/>
      <c r="N986" s="77"/>
      <c r="O986" s="77"/>
      <c r="P986" s="77"/>
      <c r="Q986" s="77"/>
      <c r="R986" s="77"/>
      <c r="S986" s="77"/>
      <c r="T986" s="132"/>
      <c r="U986" s="77"/>
      <c r="V986" s="159"/>
    </row>
    <row r="987" spans="1:25" ht="39.9" x14ac:dyDescent="0.3">
      <c r="A987" s="156"/>
      <c r="B987" s="149"/>
      <c r="C987" s="71" t="s">
        <v>123</v>
      </c>
      <c r="D987" s="38" t="str">
        <f t="shared" ref="D987:L987" si="325">IF(((D985="")*AND(D986="")),"",(D985-D986)*1)</f>
        <v/>
      </c>
      <c r="E987" s="38" t="str">
        <f t="shared" si="325"/>
        <v/>
      </c>
      <c r="F987" s="38" t="str">
        <f t="shared" si="325"/>
        <v/>
      </c>
      <c r="G987" s="38" t="str">
        <f t="shared" si="325"/>
        <v/>
      </c>
      <c r="H987" s="38" t="str">
        <f t="shared" si="325"/>
        <v/>
      </c>
      <c r="I987" s="38" t="str">
        <f t="shared" si="325"/>
        <v/>
      </c>
      <c r="J987" s="38" t="str">
        <f t="shared" si="325"/>
        <v/>
      </c>
      <c r="K987" s="38" t="str">
        <f t="shared" si="325"/>
        <v/>
      </c>
      <c r="L987" s="38" t="str">
        <f t="shared" si="325"/>
        <v/>
      </c>
      <c r="M987" s="135"/>
      <c r="N987" s="135"/>
      <c r="O987" s="135"/>
      <c r="P987" s="135"/>
      <c r="Q987" s="135"/>
      <c r="R987" s="135"/>
      <c r="S987" s="135"/>
      <c r="T987" s="136"/>
      <c r="U987" s="135"/>
      <c r="V987" s="159"/>
    </row>
    <row r="988" spans="1:25" x14ac:dyDescent="0.3">
      <c r="A988" s="154"/>
      <c r="B988" s="129" t="s">
        <v>124</v>
      </c>
      <c r="C988" s="71" t="s">
        <v>88</v>
      </c>
      <c r="M988" s="69" t="str">
        <f>IF((L989=""),"",MAX(D990:L990))</f>
        <v/>
      </c>
      <c r="N988" s="69" t="str">
        <f>IF(L989="","",MIN(D990:L990))</f>
        <v/>
      </c>
      <c r="O988" s="69" t="str">
        <f>IF((L990=""),"",AVERAGE(D990:L990))</f>
        <v/>
      </c>
      <c r="P988" s="69">
        <v>1600</v>
      </c>
      <c r="Q988" s="69">
        <v>2000</v>
      </c>
      <c r="R988" s="69" t="str">
        <f>IF((L989=""),"",((M988-N988)/(M988+N988))*100)</f>
        <v/>
      </c>
      <c r="S988" s="69">
        <v>23</v>
      </c>
      <c r="T988" s="130" t="str">
        <f>IF(L989="","",IF(R989&lt;20,(IF(O988&gt;1730,IF(O988&lt;1970,"Pass","Fail"),"Fail"))))</f>
        <v/>
      </c>
      <c r="U988" s="153"/>
      <c r="V988" s="159"/>
      <c r="W988" s="56">
        <v>1730</v>
      </c>
      <c r="X988" s="56">
        <v>1970</v>
      </c>
      <c r="Y988" s="56">
        <v>6.2</v>
      </c>
    </row>
    <row r="989" spans="1:25" x14ac:dyDescent="0.3">
      <c r="A989" s="155"/>
      <c r="B989" s="147"/>
      <c r="C989" s="71" t="s">
        <v>89</v>
      </c>
      <c r="M989" s="77"/>
      <c r="N989" s="77"/>
      <c r="O989" s="77"/>
      <c r="P989" s="77"/>
      <c r="Q989" s="77"/>
      <c r="R989" s="77"/>
      <c r="S989" s="77"/>
      <c r="T989" s="132"/>
      <c r="U989" s="77"/>
      <c r="V989" s="159"/>
    </row>
    <row r="990" spans="1:25" ht="39.9" x14ac:dyDescent="0.3">
      <c r="A990" s="156"/>
      <c r="B990" s="149"/>
      <c r="C990" s="71" t="s">
        <v>123</v>
      </c>
      <c r="D990" s="38" t="str">
        <f t="shared" ref="D990:L990" si="326">IF(((D988="")*AND(D989="")),"",(D988-D989)*1)</f>
        <v/>
      </c>
      <c r="E990" s="38" t="str">
        <f t="shared" si="326"/>
        <v/>
      </c>
      <c r="F990" s="38" t="str">
        <f t="shared" si="326"/>
        <v/>
      </c>
      <c r="G990" s="38" t="str">
        <f t="shared" si="326"/>
        <v/>
      </c>
      <c r="H990" s="38" t="str">
        <f t="shared" si="326"/>
        <v/>
      </c>
      <c r="I990" s="38" t="str">
        <f t="shared" si="326"/>
        <v/>
      </c>
      <c r="J990" s="38" t="str">
        <f t="shared" si="326"/>
        <v/>
      </c>
      <c r="K990" s="38" t="str">
        <f t="shared" si="326"/>
        <v/>
      </c>
      <c r="L990" s="38" t="str">
        <f t="shared" si="326"/>
        <v/>
      </c>
      <c r="M990" s="135"/>
      <c r="N990" s="135"/>
      <c r="O990" s="135"/>
      <c r="P990" s="135"/>
      <c r="Q990" s="135"/>
      <c r="R990" s="135"/>
      <c r="S990" s="135"/>
      <c r="T990" s="136"/>
      <c r="U990" s="135"/>
      <c r="V990" s="159"/>
    </row>
    <row r="991" spans="1:25" x14ac:dyDescent="0.3">
      <c r="A991" s="154"/>
      <c r="B991" s="129" t="s">
        <v>124</v>
      </c>
      <c r="C991" s="71" t="s">
        <v>88</v>
      </c>
      <c r="M991" s="69" t="str">
        <f>IF((L992=""),"",MAX(D993:L993))</f>
        <v/>
      </c>
      <c r="N991" s="69" t="str">
        <f>IF(L992="","",MIN(D993:L993))</f>
        <v/>
      </c>
      <c r="O991" s="69" t="str">
        <f>IF((L993=""),"",AVERAGE(D993:L993))</f>
        <v/>
      </c>
      <c r="P991" s="69">
        <v>1600</v>
      </c>
      <c r="Q991" s="69">
        <v>2000</v>
      </c>
      <c r="R991" s="69" t="str">
        <f>IF((L992=""),"",((M991-N991)/(M991+N991))*100)</f>
        <v/>
      </c>
      <c r="S991" s="69">
        <v>23</v>
      </c>
      <c r="T991" s="130" t="str">
        <f>IF(L992="","",IF(R992&lt;20,(IF(O991&gt;1730,IF(O991&lt;1970,"Pass","Fail"),"Fail"))))</f>
        <v/>
      </c>
      <c r="U991" s="153"/>
      <c r="V991" s="159"/>
      <c r="W991" s="56">
        <v>1730</v>
      </c>
      <c r="X991" s="56">
        <v>1970</v>
      </c>
      <c r="Y991" s="56">
        <v>6.2</v>
      </c>
    </row>
    <row r="992" spans="1:25" x14ac:dyDescent="0.3">
      <c r="A992" s="155"/>
      <c r="B992" s="147"/>
      <c r="C992" s="71" t="s">
        <v>89</v>
      </c>
      <c r="M992" s="77"/>
      <c r="N992" s="77"/>
      <c r="O992" s="77"/>
      <c r="P992" s="77"/>
      <c r="Q992" s="77"/>
      <c r="R992" s="77"/>
      <c r="S992" s="77"/>
      <c r="T992" s="132"/>
      <c r="U992" s="77"/>
      <c r="V992" s="159"/>
    </row>
    <row r="993" spans="1:25" ht="39.9" x14ac:dyDescent="0.3">
      <c r="A993" s="156"/>
      <c r="B993" s="149"/>
      <c r="C993" s="71" t="s">
        <v>123</v>
      </c>
      <c r="D993" s="38" t="str">
        <f t="shared" ref="D993:L993" si="327">IF(((D991="")*AND(D992="")),"",(D991-D992)*1)</f>
        <v/>
      </c>
      <c r="E993" s="38" t="str">
        <f t="shared" si="327"/>
        <v/>
      </c>
      <c r="F993" s="38" t="str">
        <f t="shared" si="327"/>
        <v/>
      </c>
      <c r="G993" s="38" t="str">
        <f t="shared" si="327"/>
        <v/>
      </c>
      <c r="H993" s="38" t="str">
        <f t="shared" si="327"/>
        <v/>
      </c>
      <c r="I993" s="38" t="str">
        <f t="shared" si="327"/>
        <v/>
      </c>
      <c r="J993" s="38" t="str">
        <f t="shared" si="327"/>
        <v/>
      </c>
      <c r="K993" s="38" t="str">
        <f t="shared" si="327"/>
        <v/>
      </c>
      <c r="L993" s="38" t="str">
        <f t="shared" si="327"/>
        <v/>
      </c>
      <c r="M993" s="135"/>
      <c r="N993" s="135"/>
      <c r="O993" s="135"/>
      <c r="P993" s="135"/>
      <c r="Q993" s="135"/>
      <c r="R993" s="135"/>
      <c r="S993" s="135"/>
      <c r="T993" s="136"/>
      <c r="U993" s="135"/>
      <c r="V993" s="159"/>
    </row>
    <row r="994" spans="1:25" x14ac:dyDescent="0.3">
      <c r="A994" s="154"/>
      <c r="B994" s="129" t="s">
        <v>124</v>
      </c>
      <c r="C994" s="71" t="s">
        <v>88</v>
      </c>
      <c r="M994" s="69" t="str">
        <f>IF((L995=""),"",MAX(D996:L996))</f>
        <v/>
      </c>
      <c r="N994" s="69" t="str">
        <f>IF(L995="","",MIN(D996:L996))</f>
        <v/>
      </c>
      <c r="O994" s="69" t="str">
        <f>IF((L996=""),"",AVERAGE(D996:L996))</f>
        <v/>
      </c>
      <c r="P994" s="69">
        <v>1600</v>
      </c>
      <c r="Q994" s="69">
        <v>2000</v>
      </c>
      <c r="R994" s="69" t="str">
        <f>IF((L995=""),"",((M994-N994)/(M994+N994))*100)</f>
        <v/>
      </c>
      <c r="S994" s="69">
        <v>23</v>
      </c>
      <c r="T994" s="130" t="str">
        <f>IF(L995="","",IF(R995&lt;20,(IF(O994&gt;1730,IF(O994&lt;1970,"Pass","Fail"),"Fail"))))</f>
        <v/>
      </c>
      <c r="U994" s="153"/>
      <c r="V994" s="159"/>
      <c r="W994" s="56">
        <v>1730</v>
      </c>
      <c r="X994" s="56">
        <v>1970</v>
      </c>
      <c r="Y994" s="56">
        <v>6.2</v>
      </c>
    </row>
    <row r="995" spans="1:25" x14ac:dyDescent="0.3">
      <c r="A995" s="155"/>
      <c r="B995" s="147"/>
      <c r="C995" s="71" t="s">
        <v>89</v>
      </c>
      <c r="M995" s="77"/>
      <c r="N995" s="77"/>
      <c r="O995" s="77"/>
      <c r="P995" s="77"/>
      <c r="Q995" s="77"/>
      <c r="R995" s="77"/>
      <c r="S995" s="77"/>
      <c r="T995" s="132"/>
      <c r="U995" s="77"/>
      <c r="V995" s="159"/>
    </row>
    <row r="996" spans="1:25" ht="39.9" x14ac:dyDescent="0.3">
      <c r="A996" s="156"/>
      <c r="B996" s="149"/>
      <c r="C996" s="71" t="s">
        <v>123</v>
      </c>
      <c r="D996" s="38" t="str">
        <f t="shared" ref="D996:L996" si="328">IF(((D994="")*AND(D995="")),"",(D994-D995)*1)</f>
        <v/>
      </c>
      <c r="E996" s="38" t="str">
        <f t="shared" si="328"/>
        <v/>
      </c>
      <c r="F996" s="38" t="str">
        <f t="shared" si="328"/>
        <v/>
      </c>
      <c r="G996" s="38" t="str">
        <f t="shared" si="328"/>
        <v/>
      </c>
      <c r="H996" s="38" t="str">
        <f t="shared" si="328"/>
        <v/>
      </c>
      <c r="I996" s="38" t="str">
        <f t="shared" si="328"/>
        <v/>
      </c>
      <c r="J996" s="38" t="str">
        <f t="shared" si="328"/>
        <v/>
      </c>
      <c r="K996" s="38" t="str">
        <f t="shared" si="328"/>
        <v/>
      </c>
      <c r="L996" s="38" t="str">
        <f t="shared" si="328"/>
        <v/>
      </c>
      <c r="M996" s="135"/>
      <c r="N996" s="135"/>
      <c r="O996" s="135"/>
      <c r="P996" s="135"/>
      <c r="Q996" s="135"/>
      <c r="R996" s="135"/>
      <c r="S996" s="135"/>
      <c r="T996" s="136"/>
      <c r="U996" s="135"/>
      <c r="V996" s="159"/>
    </row>
    <row r="997" spans="1:25" x14ac:dyDescent="0.3">
      <c r="A997" s="154"/>
      <c r="B997" s="129" t="s">
        <v>124</v>
      </c>
      <c r="C997" s="71" t="s">
        <v>88</v>
      </c>
      <c r="M997" s="69" t="str">
        <f>IF((L998=""),"",MAX(D999:L999))</f>
        <v/>
      </c>
      <c r="N997" s="69" t="str">
        <f>IF(L998="","",MIN(D999:L999))</f>
        <v/>
      </c>
      <c r="O997" s="69" t="str">
        <f>IF((L999=""),"",AVERAGE(D999:L999))</f>
        <v/>
      </c>
      <c r="P997" s="69">
        <v>1600</v>
      </c>
      <c r="Q997" s="69">
        <v>2000</v>
      </c>
      <c r="R997" s="69" t="str">
        <f>IF((L998=""),"",((M997-N997)/(M997+N997))*100)</f>
        <v/>
      </c>
      <c r="S997" s="69">
        <v>23</v>
      </c>
      <c r="T997" s="130" t="str">
        <f>IF(L998="","",IF(R998&lt;20,(IF(O997&gt;1730,IF(O997&lt;1970,"Pass","Fail"),"Fail"))))</f>
        <v/>
      </c>
      <c r="U997" s="153"/>
      <c r="V997" s="159"/>
      <c r="W997" s="56">
        <v>1730</v>
      </c>
      <c r="X997" s="56">
        <v>1970</v>
      </c>
      <c r="Y997" s="56">
        <v>6.2</v>
      </c>
    </row>
    <row r="998" spans="1:25" x14ac:dyDescent="0.3">
      <c r="A998" s="155"/>
      <c r="B998" s="147"/>
      <c r="C998" s="71" t="s">
        <v>89</v>
      </c>
      <c r="M998" s="77"/>
      <c r="N998" s="77"/>
      <c r="O998" s="77"/>
      <c r="P998" s="77"/>
      <c r="Q998" s="77"/>
      <c r="R998" s="77"/>
      <c r="S998" s="77"/>
      <c r="T998" s="132"/>
      <c r="U998" s="77"/>
      <c r="V998" s="159"/>
    </row>
    <row r="999" spans="1:25" ht="39.9" x14ac:dyDescent="0.3">
      <c r="A999" s="156"/>
      <c r="B999" s="149"/>
      <c r="C999" s="71" t="s">
        <v>123</v>
      </c>
      <c r="D999" s="38" t="str">
        <f t="shared" ref="D999:L999" si="329">IF(((D997="")*AND(D998="")),"",(D997-D998)*1)</f>
        <v/>
      </c>
      <c r="E999" s="38" t="str">
        <f t="shared" si="329"/>
        <v/>
      </c>
      <c r="F999" s="38" t="str">
        <f t="shared" si="329"/>
        <v/>
      </c>
      <c r="G999" s="38" t="str">
        <f t="shared" si="329"/>
        <v/>
      </c>
      <c r="H999" s="38" t="str">
        <f t="shared" si="329"/>
        <v/>
      </c>
      <c r="I999" s="38" t="str">
        <f t="shared" si="329"/>
        <v/>
      </c>
      <c r="J999" s="38" t="str">
        <f t="shared" si="329"/>
        <v/>
      </c>
      <c r="K999" s="38" t="str">
        <f t="shared" si="329"/>
        <v/>
      </c>
      <c r="L999" s="38" t="str">
        <f t="shared" si="329"/>
        <v/>
      </c>
      <c r="M999" s="135"/>
      <c r="N999" s="135"/>
      <c r="O999" s="135"/>
      <c r="P999" s="135"/>
      <c r="Q999" s="135"/>
      <c r="R999" s="135"/>
      <c r="S999" s="135"/>
      <c r="T999" s="136"/>
      <c r="U999" s="135"/>
      <c r="V999" s="159"/>
    </row>
    <row r="1000" spans="1:25" x14ac:dyDescent="0.3">
      <c r="A1000" s="154"/>
      <c r="B1000" s="129" t="s">
        <v>124</v>
      </c>
      <c r="C1000" s="71" t="s">
        <v>88</v>
      </c>
      <c r="M1000" s="69" t="str">
        <f>IF((L1001=""),"",MAX(D1002:L1002))</f>
        <v/>
      </c>
      <c r="N1000" s="69" t="str">
        <f>IF(L1001="","",MIN(D1002:L1002))</f>
        <v/>
      </c>
      <c r="O1000" s="69" t="str">
        <f>IF((L1002=""),"",AVERAGE(D1002:L1002))</f>
        <v/>
      </c>
      <c r="P1000" s="69">
        <v>1600</v>
      </c>
      <c r="Q1000" s="69">
        <v>2000</v>
      </c>
      <c r="R1000" s="69" t="str">
        <f>IF((L1001=""),"",((M1000-N1000)/(M1000+N1000))*100)</f>
        <v/>
      </c>
      <c r="S1000" s="69">
        <v>23</v>
      </c>
      <c r="T1000" s="130" t="str">
        <f>IF(L1001="","",IF(R1001&lt;20,(IF(O1000&gt;1730,IF(O1000&lt;1970,"Pass","Fail"),"Fail"))))</f>
        <v/>
      </c>
      <c r="U1000" s="153"/>
      <c r="V1000" s="159"/>
      <c r="W1000" s="56">
        <v>1730</v>
      </c>
      <c r="X1000" s="56">
        <v>1970</v>
      </c>
      <c r="Y1000" s="56">
        <v>6.2</v>
      </c>
    </row>
    <row r="1001" spans="1:25" x14ac:dyDescent="0.3">
      <c r="A1001" s="155"/>
      <c r="B1001" s="147"/>
      <c r="C1001" s="71" t="s">
        <v>89</v>
      </c>
      <c r="M1001" s="77"/>
      <c r="N1001" s="77"/>
      <c r="O1001" s="77"/>
      <c r="P1001" s="77"/>
      <c r="Q1001" s="77"/>
      <c r="R1001" s="77"/>
      <c r="S1001" s="77"/>
      <c r="T1001" s="132"/>
      <c r="U1001" s="77"/>
      <c r="V1001" s="159"/>
    </row>
    <row r="1002" spans="1:25" ht="39.9" x14ac:dyDescent="0.3">
      <c r="A1002" s="156"/>
      <c r="B1002" s="149"/>
      <c r="C1002" s="71" t="s">
        <v>123</v>
      </c>
      <c r="D1002" s="38" t="str">
        <f t="shared" ref="D1002:L1002" si="330">IF(((D1000="")*AND(D1001="")),"",(D1000-D1001)*1)</f>
        <v/>
      </c>
      <c r="E1002" s="38" t="str">
        <f t="shared" si="330"/>
        <v/>
      </c>
      <c r="F1002" s="38" t="str">
        <f t="shared" si="330"/>
        <v/>
      </c>
      <c r="G1002" s="38" t="str">
        <f t="shared" si="330"/>
        <v/>
      </c>
      <c r="H1002" s="38" t="str">
        <f t="shared" si="330"/>
        <v/>
      </c>
      <c r="I1002" s="38" t="str">
        <f t="shared" si="330"/>
        <v/>
      </c>
      <c r="J1002" s="38" t="str">
        <f t="shared" si="330"/>
        <v/>
      </c>
      <c r="K1002" s="38" t="str">
        <f t="shared" si="330"/>
        <v/>
      </c>
      <c r="L1002" s="38" t="str">
        <f t="shared" si="330"/>
        <v/>
      </c>
      <c r="M1002" s="135"/>
      <c r="N1002" s="135"/>
      <c r="O1002" s="135"/>
      <c r="P1002" s="135"/>
      <c r="Q1002" s="135"/>
      <c r="R1002" s="135"/>
      <c r="S1002" s="135"/>
      <c r="T1002" s="136"/>
      <c r="U1002" s="135"/>
      <c r="V1002" s="159"/>
    </row>
    <row r="1003" spans="1:25" x14ac:dyDescent="0.3">
      <c r="A1003" s="154"/>
      <c r="B1003" s="129" t="s">
        <v>124</v>
      </c>
      <c r="C1003" s="71" t="s">
        <v>88</v>
      </c>
      <c r="M1003" s="69" t="str">
        <f>IF((L1004=""),"",MAX(D1005:L1005))</f>
        <v/>
      </c>
      <c r="N1003" s="69" t="str">
        <f>IF(L1004="","",MIN(D1005:L1005))</f>
        <v/>
      </c>
      <c r="O1003" s="69" t="str">
        <f>IF((L1005=""),"",AVERAGE(D1005:L1005))</f>
        <v/>
      </c>
      <c r="P1003" s="69">
        <v>1600</v>
      </c>
      <c r="Q1003" s="69">
        <v>2000</v>
      </c>
      <c r="R1003" s="69" t="str">
        <f>IF((L1004=""),"",((M1003-N1003)/(M1003+N1003))*100)</f>
        <v/>
      </c>
      <c r="S1003" s="69">
        <v>23</v>
      </c>
      <c r="T1003" s="130" t="str">
        <f>IF(L1004="","",IF(R1004&lt;20,(IF(O1003&gt;1730,IF(O1003&lt;1970,"Pass","Fail"),"Fail"))))</f>
        <v/>
      </c>
      <c r="U1003" s="153"/>
      <c r="V1003" s="159"/>
      <c r="W1003" s="56">
        <v>1730</v>
      </c>
      <c r="X1003" s="56">
        <v>1970</v>
      </c>
      <c r="Y1003" s="56">
        <v>6.2</v>
      </c>
    </row>
    <row r="1004" spans="1:25" x14ac:dyDescent="0.3">
      <c r="A1004" s="155"/>
      <c r="B1004" s="147"/>
      <c r="C1004" s="71" t="s">
        <v>89</v>
      </c>
      <c r="M1004" s="77"/>
      <c r="N1004" s="77"/>
      <c r="O1004" s="77"/>
      <c r="P1004" s="77"/>
      <c r="Q1004" s="77"/>
      <c r="R1004" s="77"/>
      <c r="S1004" s="77"/>
      <c r="T1004" s="132"/>
      <c r="U1004" s="77"/>
      <c r="V1004" s="159"/>
    </row>
    <row r="1005" spans="1:25" ht="39.9" x14ac:dyDescent="0.3">
      <c r="A1005" s="156"/>
      <c r="B1005" s="149"/>
      <c r="C1005" s="71" t="s">
        <v>123</v>
      </c>
      <c r="D1005" s="38" t="str">
        <f t="shared" ref="D1005:L1005" si="331">IF(((D1003="")*AND(D1004="")),"",(D1003-D1004)*1)</f>
        <v/>
      </c>
      <c r="E1005" s="38" t="str">
        <f t="shared" si="331"/>
        <v/>
      </c>
      <c r="F1005" s="38" t="str">
        <f t="shared" si="331"/>
        <v/>
      </c>
      <c r="G1005" s="38" t="str">
        <f t="shared" si="331"/>
        <v/>
      </c>
      <c r="H1005" s="38" t="str">
        <f t="shared" si="331"/>
        <v/>
      </c>
      <c r="I1005" s="38" t="str">
        <f t="shared" si="331"/>
        <v/>
      </c>
      <c r="J1005" s="38" t="str">
        <f t="shared" si="331"/>
        <v/>
      </c>
      <c r="K1005" s="38" t="str">
        <f t="shared" si="331"/>
        <v/>
      </c>
      <c r="L1005" s="38" t="str">
        <f t="shared" si="331"/>
        <v/>
      </c>
      <c r="M1005" s="135"/>
      <c r="N1005" s="135"/>
      <c r="O1005" s="135"/>
      <c r="P1005" s="135"/>
      <c r="Q1005" s="135"/>
      <c r="R1005" s="135"/>
      <c r="S1005" s="135"/>
      <c r="T1005" s="136"/>
      <c r="U1005" s="135"/>
      <c r="V1005" s="159"/>
    </row>
    <row r="1006" spans="1:25" x14ac:dyDescent="0.3">
      <c r="A1006" s="154"/>
      <c r="B1006" s="129" t="s">
        <v>124</v>
      </c>
      <c r="C1006" s="71" t="s">
        <v>88</v>
      </c>
      <c r="M1006" s="69" t="str">
        <f>IF((L1007=""),"",MAX(D1008:L1008))</f>
        <v/>
      </c>
      <c r="N1006" s="69" t="str">
        <f>IF(L1007="","",MIN(D1008:L1008))</f>
        <v/>
      </c>
      <c r="O1006" s="69" t="str">
        <f>IF((L1008=""),"",AVERAGE(D1008:L1008))</f>
        <v/>
      </c>
      <c r="P1006" s="69">
        <v>1600</v>
      </c>
      <c r="Q1006" s="69">
        <v>2000</v>
      </c>
      <c r="R1006" s="69" t="str">
        <f>IF((L1007=""),"",((M1006-N1006)/(M1006+N1006))*100)</f>
        <v/>
      </c>
      <c r="S1006" s="69">
        <v>23</v>
      </c>
      <c r="T1006" s="130" t="str">
        <f>IF(L1007="","",IF(R1007&lt;20,(IF(O1006&gt;1730,IF(O1006&lt;1970,"Pass","Fail"),"Fail"))))</f>
        <v/>
      </c>
      <c r="U1006" s="153"/>
      <c r="V1006" s="159"/>
      <c r="W1006" s="56">
        <v>1730</v>
      </c>
      <c r="X1006" s="56">
        <v>1970</v>
      </c>
      <c r="Y1006" s="56">
        <v>6.2</v>
      </c>
    </row>
    <row r="1007" spans="1:25" x14ac:dyDescent="0.3">
      <c r="A1007" s="155"/>
      <c r="B1007" s="147"/>
      <c r="C1007" s="71" t="s">
        <v>89</v>
      </c>
      <c r="M1007" s="77"/>
      <c r="N1007" s="77"/>
      <c r="O1007" s="77"/>
      <c r="P1007" s="77"/>
      <c r="Q1007" s="77"/>
      <c r="R1007" s="77"/>
      <c r="S1007" s="77"/>
      <c r="T1007" s="132"/>
      <c r="U1007" s="77"/>
      <c r="V1007" s="159"/>
    </row>
    <row r="1008" spans="1:25" ht="39.9" x14ac:dyDescent="0.3">
      <c r="A1008" s="156"/>
      <c r="B1008" s="149"/>
      <c r="C1008" s="71" t="s">
        <v>123</v>
      </c>
      <c r="D1008" s="38" t="str">
        <f t="shared" ref="D1008:L1008" si="332">IF(((D1006="")*AND(D1007="")),"",(D1006-D1007)*1)</f>
        <v/>
      </c>
      <c r="E1008" s="38" t="str">
        <f t="shared" si="332"/>
        <v/>
      </c>
      <c r="F1008" s="38" t="str">
        <f t="shared" si="332"/>
        <v/>
      </c>
      <c r="G1008" s="38" t="str">
        <f t="shared" si="332"/>
        <v/>
      </c>
      <c r="H1008" s="38" t="str">
        <f t="shared" si="332"/>
        <v/>
      </c>
      <c r="I1008" s="38" t="str">
        <f t="shared" si="332"/>
        <v/>
      </c>
      <c r="J1008" s="38" t="str">
        <f t="shared" si="332"/>
        <v/>
      </c>
      <c r="K1008" s="38" t="str">
        <f t="shared" si="332"/>
        <v/>
      </c>
      <c r="L1008" s="38" t="str">
        <f t="shared" si="332"/>
        <v/>
      </c>
      <c r="M1008" s="135"/>
      <c r="N1008" s="135"/>
      <c r="O1008" s="135"/>
      <c r="P1008" s="135"/>
      <c r="Q1008" s="135"/>
      <c r="R1008" s="135"/>
      <c r="S1008" s="135"/>
      <c r="T1008" s="136"/>
      <c r="U1008" s="135"/>
      <c r="V1008" s="159"/>
    </row>
    <row r="1009" spans="1:25" x14ac:dyDescent="0.3">
      <c r="A1009" s="154"/>
      <c r="B1009" s="129" t="s">
        <v>124</v>
      </c>
      <c r="C1009" s="71" t="s">
        <v>88</v>
      </c>
      <c r="M1009" s="69" t="str">
        <f>IF((L1010=""),"",MAX(D1011:L1011))</f>
        <v/>
      </c>
      <c r="N1009" s="69" t="str">
        <f>IF(L1010="","",MIN(D1011:L1011))</f>
        <v/>
      </c>
      <c r="O1009" s="69" t="str">
        <f>IF((L1011=""),"",AVERAGE(D1011:L1011))</f>
        <v/>
      </c>
      <c r="P1009" s="69">
        <v>1600</v>
      </c>
      <c r="Q1009" s="69">
        <v>2000</v>
      </c>
      <c r="R1009" s="69" t="str">
        <f>IF((L1010=""),"",((M1009-N1009)/(M1009+N1009))*100)</f>
        <v/>
      </c>
      <c r="S1009" s="69">
        <v>23</v>
      </c>
      <c r="T1009" s="130" t="str">
        <f>IF(L1010="","",IF(R1010&lt;20,(IF(O1009&gt;1730,IF(O1009&lt;1970,"Pass","Fail"),"Fail"))))</f>
        <v/>
      </c>
      <c r="U1009" s="153"/>
      <c r="V1009" s="159"/>
      <c r="W1009" s="56">
        <v>1730</v>
      </c>
      <c r="X1009" s="56">
        <v>1970</v>
      </c>
      <c r="Y1009" s="56">
        <v>6.2</v>
      </c>
    </row>
    <row r="1010" spans="1:25" x14ac:dyDescent="0.3">
      <c r="A1010" s="155"/>
      <c r="B1010" s="147"/>
      <c r="C1010" s="71" t="s">
        <v>89</v>
      </c>
      <c r="M1010" s="77"/>
      <c r="N1010" s="77"/>
      <c r="O1010" s="77"/>
      <c r="P1010" s="77"/>
      <c r="Q1010" s="77"/>
      <c r="R1010" s="77"/>
      <c r="S1010" s="77"/>
      <c r="T1010" s="132"/>
      <c r="U1010" s="77"/>
      <c r="V1010" s="159"/>
    </row>
    <row r="1011" spans="1:25" ht="39.9" x14ac:dyDescent="0.3">
      <c r="A1011" s="156"/>
      <c r="B1011" s="149"/>
      <c r="C1011" s="71" t="s">
        <v>123</v>
      </c>
      <c r="D1011" s="38" t="str">
        <f t="shared" ref="D1011:L1011" si="333">IF(((D1009="")*AND(D1010="")),"",(D1009-D1010)*1)</f>
        <v/>
      </c>
      <c r="E1011" s="38" t="str">
        <f t="shared" si="333"/>
        <v/>
      </c>
      <c r="F1011" s="38" t="str">
        <f t="shared" si="333"/>
        <v/>
      </c>
      <c r="G1011" s="38" t="str">
        <f t="shared" si="333"/>
        <v/>
      </c>
      <c r="H1011" s="38" t="str">
        <f t="shared" si="333"/>
        <v/>
      </c>
      <c r="I1011" s="38" t="str">
        <f t="shared" si="333"/>
        <v/>
      </c>
      <c r="J1011" s="38" t="str">
        <f t="shared" si="333"/>
        <v/>
      </c>
      <c r="K1011" s="38" t="str">
        <f t="shared" si="333"/>
        <v/>
      </c>
      <c r="L1011" s="38" t="str">
        <f t="shared" si="333"/>
        <v/>
      </c>
      <c r="M1011" s="135"/>
      <c r="N1011" s="135"/>
      <c r="O1011" s="135"/>
      <c r="P1011" s="135"/>
      <c r="Q1011" s="135"/>
      <c r="R1011" s="135"/>
      <c r="S1011" s="135"/>
      <c r="T1011" s="136"/>
      <c r="U1011" s="135"/>
      <c r="V1011" s="159"/>
    </row>
    <row r="1012" spans="1:25" x14ac:dyDescent="0.3">
      <c r="A1012" s="154"/>
      <c r="B1012" s="129" t="s">
        <v>124</v>
      </c>
      <c r="C1012" s="71" t="s">
        <v>88</v>
      </c>
      <c r="M1012" s="69" t="str">
        <f>IF((L1013=""),"",MAX(D1014:L1014))</f>
        <v/>
      </c>
      <c r="N1012" s="69" t="str">
        <f>IF(L1013="","",MIN(D1014:L1014))</f>
        <v/>
      </c>
      <c r="O1012" s="69" t="str">
        <f>IF((L1014=""),"",AVERAGE(D1014:L1014))</f>
        <v/>
      </c>
      <c r="P1012" s="69">
        <v>1600</v>
      </c>
      <c r="Q1012" s="69">
        <v>2000</v>
      </c>
      <c r="R1012" s="69" t="str">
        <f>IF((L1013=""),"",((M1012-N1012)/(M1012+N1012))*100)</f>
        <v/>
      </c>
      <c r="S1012" s="69">
        <v>23</v>
      </c>
      <c r="T1012" s="130" t="str">
        <f>IF(L1013="","",IF(R1013&lt;20,(IF(O1012&gt;1730,IF(O1012&lt;1970,"Pass","Fail"),"Fail"))))</f>
        <v/>
      </c>
      <c r="U1012" s="153"/>
      <c r="V1012" s="159"/>
      <c r="W1012" s="56">
        <v>1730</v>
      </c>
      <c r="X1012" s="56">
        <v>1970</v>
      </c>
      <c r="Y1012" s="56">
        <v>6.2</v>
      </c>
    </row>
    <row r="1013" spans="1:25" x14ac:dyDescent="0.3">
      <c r="A1013" s="155"/>
      <c r="B1013" s="147"/>
      <c r="C1013" s="71" t="s">
        <v>89</v>
      </c>
      <c r="M1013" s="77"/>
      <c r="N1013" s="77"/>
      <c r="O1013" s="77"/>
      <c r="P1013" s="77"/>
      <c r="Q1013" s="77"/>
      <c r="R1013" s="77"/>
      <c r="S1013" s="77"/>
      <c r="T1013" s="132"/>
      <c r="U1013" s="77"/>
      <c r="V1013" s="159"/>
    </row>
    <row r="1014" spans="1:25" ht="39.9" x14ac:dyDescent="0.3">
      <c r="A1014" s="156"/>
      <c r="B1014" s="149"/>
      <c r="C1014" s="71" t="s">
        <v>123</v>
      </c>
      <c r="D1014" s="38" t="str">
        <f t="shared" ref="D1014:L1014" si="334">IF(((D1012="")*AND(D1013="")),"",(D1012-D1013)*1)</f>
        <v/>
      </c>
      <c r="E1014" s="38" t="str">
        <f t="shared" si="334"/>
        <v/>
      </c>
      <c r="F1014" s="38" t="str">
        <f t="shared" si="334"/>
        <v/>
      </c>
      <c r="G1014" s="38" t="str">
        <f t="shared" si="334"/>
        <v/>
      </c>
      <c r="H1014" s="38" t="str">
        <f t="shared" si="334"/>
        <v/>
      </c>
      <c r="I1014" s="38" t="str">
        <f t="shared" si="334"/>
        <v/>
      </c>
      <c r="J1014" s="38" t="str">
        <f t="shared" si="334"/>
        <v/>
      </c>
      <c r="K1014" s="38" t="str">
        <f t="shared" si="334"/>
        <v/>
      </c>
      <c r="L1014" s="38" t="str">
        <f t="shared" si="334"/>
        <v/>
      </c>
      <c r="M1014" s="135"/>
      <c r="N1014" s="135"/>
      <c r="O1014" s="135"/>
      <c r="P1014" s="135"/>
      <c r="Q1014" s="135"/>
      <c r="R1014" s="135"/>
      <c r="S1014" s="135"/>
      <c r="T1014" s="136"/>
      <c r="U1014" s="135"/>
      <c r="V1014" s="159"/>
    </row>
    <row r="1015" spans="1:25" x14ac:dyDescent="0.3">
      <c r="A1015" s="154"/>
      <c r="B1015" s="129" t="s">
        <v>124</v>
      </c>
      <c r="C1015" s="71" t="s">
        <v>88</v>
      </c>
      <c r="M1015" s="69" t="str">
        <f>IF((L1016=""),"",MAX(D1017:L1017))</f>
        <v/>
      </c>
      <c r="N1015" s="69" t="str">
        <f>IF(L1016="","",MIN(D1017:L1017))</f>
        <v/>
      </c>
      <c r="O1015" s="69" t="str">
        <f>IF((L1017=""),"",AVERAGE(D1017:L1017))</f>
        <v/>
      </c>
      <c r="P1015" s="69">
        <v>1600</v>
      </c>
      <c r="Q1015" s="69">
        <v>2000</v>
      </c>
      <c r="R1015" s="69" t="str">
        <f>IF((L1016=""),"",((M1015-N1015)/(M1015+N1015))*100)</f>
        <v/>
      </c>
      <c r="S1015" s="69">
        <v>23</v>
      </c>
      <c r="T1015" s="130" t="str">
        <f>IF(L1016="","",IF(R1016&lt;20,(IF(O1015&gt;1730,IF(O1015&lt;1970,"Pass","Fail"),"Fail"))))</f>
        <v/>
      </c>
      <c r="U1015" s="153"/>
      <c r="V1015" s="159"/>
      <c r="W1015" s="56">
        <v>1730</v>
      </c>
      <c r="X1015" s="56">
        <v>1970</v>
      </c>
      <c r="Y1015" s="56">
        <v>6.2</v>
      </c>
    </row>
    <row r="1016" spans="1:25" x14ac:dyDescent="0.3">
      <c r="A1016" s="155"/>
      <c r="B1016" s="147"/>
      <c r="C1016" s="71" t="s">
        <v>89</v>
      </c>
      <c r="M1016" s="77"/>
      <c r="N1016" s="77"/>
      <c r="O1016" s="77"/>
      <c r="P1016" s="77"/>
      <c r="Q1016" s="77"/>
      <c r="R1016" s="77"/>
      <c r="S1016" s="77"/>
      <c r="T1016" s="132"/>
      <c r="U1016" s="77"/>
      <c r="V1016" s="159"/>
    </row>
    <row r="1017" spans="1:25" ht="39.9" x14ac:dyDescent="0.3">
      <c r="A1017" s="156"/>
      <c r="B1017" s="149"/>
      <c r="C1017" s="71" t="s">
        <v>123</v>
      </c>
      <c r="D1017" s="38" t="str">
        <f t="shared" ref="D1017:L1017" si="335">IF(((D1015="")*AND(D1016="")),"",(D1015-D1016)*1)</f>
        <v/>
      </c>
      <c r="E1017" s="38" t="str">
        <f t="shared" si="335"/>
        <v/>
      </c>
      <c r="F1017" s="38" t="str">
        <f t="shared" si="335"/>
        <v/>
      </c>
      <c r="G1017" s="38" t="str">
        <f t="shared" si="335"/>
        <v/>
      </c>
      <c r="H1017" s="38" t="str">
        <f t="shared" si="335"/>
        <v/>
      </c>
      <c r="I1017" s="38" t="str">
        <f t="shared" si="335"/>
        <v/>
      </c>
      <c r="J1017" s="38" t="str">
        <f t="shared" si="335"/>
        <v/>
      </c>
      <c r="K1017" s="38" t="str">
        <f t="shared" si="335"/>
        <v/>
      </c>
      <c r="L1017" s="38" t="str">
        <f t="shared" si="335"/>
        <v/>
      </c>
      <c r="M1017" s="135"/>
      <c r="N1017" s="135"/>
      <c r="O1017" s="135"/>
      <c r="P1017" s="135"/>
      <c r="Q1017" s="135"/>
      <c r="R1017" s="135"/>
      <c r="S1017" s="135"/>
      <c r="T1017" s="136"/>
      <c r="U1017" s="135"/>
      <c r="V1017" s="159"/>
    </row>
    <row r="1018" spans="1:25" x14ac:dyDescent="0.3">
      <c r="A1018" s="154"/>
      <c r="B1018" s="129" t="s">
        <v>124</v>
      </c>
      <c r="C1018" s="71" t="s">
        <v>88</v>
      </c>
      <c r="M1018" s="69" t="str">
        <f>IF((L1019=""),"",MAX(D1020:L1020))</f>
        <v/>
      </c>
      <c r="N1018" s="69" t="str">
        <f>IF(L1019="","",MIN(D1020:L1020))</f>
        <v/>
      </c>
      <c r="O1018" s="69" t="str">
        <f>IF((L1020=""),"",AVERAGE(D1020:L1020))</f>
        <v/>
      </c>
      <c r="P1018" s="69">
        <v>1600</v>
      </c>
      <c r="Q1018" s="69">
        <v>2000</v>
      </c>
      <c r="R1018" s="69" t="str">
        <f>IF((L1019=""),"",((M1018-N1018)/(M1018+N1018))*100)</f>
        <v/>
      </c>
      <c r="S1018" s="69">
        <v>23</v>
      </c>
      <c r="T1018" s="130" t="str">
        <f>IF(L1019="","",IF(R1019&lt;20,(IF(O1018&gt;1730,IF(O1018&lt;1970,"Pass","Fail"),"Fail"))))</f>
        <v/>
      </c>
      <c r="U1018" s="153"/>
      <c r="V1018" s="159"/>
      <c r="W1018" s="56">
        <v>1730</v>
      </c>
      <c r="X1018" s="56">
        <v>1970</v>
      </c>
      <c r="Y1018" s="56">
        <v>6.2</v>
      </c>
    </row>
    <row r="1019" spans="1:25" x14ac:dyDescent="0.3">
      <c r="A1019" s="155"/>
      <c r="B1019" s="147"/>
      <c r="C1019" s="71" t="s">
        <v>89</v>
      </c>
      <c r="M1019" s="77"/>
      <c r="N1019" s="77"/>
      <c r="O1019" s="77"/>
      <c r="P1019" s="77"/>
      <c r="Q1019" s="77"/>
      <c r="R1019" s="77"/>
      <c r="S1019" s="77"/>
      <c r="T1019" s="132"/>
      <c r="U1019" s="77"/>
      <c r="V1019" s="159"/>
    </row>
    <row r="1020" spans="1:25" ht="39.9" x14ac:dyDescent="0.3">
      <c r="A1020" s="156"/>
      <c r="B1020" s="149"/>
      <c r="C1020" s="71" t="s">
        <v>123</v>
      </c>
      <c r="D1020" s="38" t="str">
        <f t="shared" ref="D1020:L1020" si="336">IF(((D1018="")*AND(D1019="")),"",(D1018-D1019)*1)</f>
        <v/>
      </c>
      <c r="E1020" s="38" t="str">
        <f t="shared" si="336"/>
        <v/>
      </c>
      <c r="F1020" s="38" t="str">
        <f t="shared" si="336"/>
        <v/>
      </c>
      <c r="G1020" s="38" t="str">
        <f t="shared" si="336"/>
        <v/>
      </c>
      <c r="H1020" s="38" t="str">
        <f t="shared" si="336"/>
        <v/>
      </c>
      <c r="I1020" s="38" t="str">
        <f t="shared" si="336"/>
        <v/>
      </c>
      <c r="J1020" s="38" t="str">
        <f t="shared" si="336"/>
        <v/>
      </c>
      <c r="K1020" s="38" t="str">
        <f t="shared" si="336"/>
        <v/>
      </c>
      <c r="L1020" s="38" t="str">
        <f t="shared" si="336"/>
        <v/>
      </c>
      <c r="M1020" s="135"/>
      <c r="N1020" s="135"/>
      <c r="O1020" s="135"/>
      <c r="P1020" s="135"/>
      <c r="Q1020" s="135"/>
      <c r="R1020" s="135"/>
      <c r="S1020" s="135"/>
      <c r="T1020" s="136"/>
      <c r="U1020" s="135"/>
      <c r="V1020" s="159"/>
    </row>
    <row r="1021" spans="1:25" x14ac:dyDescent="0.3">
      <c r="A1021" s="154"/>
      <c r="B1021" s="129" t="s">
        <v>124</v>
      </c>
      <c r="C1021" s="71" t="s">
        <v>88</v>
      </c>
      <c r="M1021" s="69" t="str">
        <f>IF((L1022=""),"",MAX(D1023:L1023))</f>
        <v/>
      </c>
      <c r="N1021" s="69" t="str">
        <f>IF(L1022="","",MIN(D1023:L1023))</f>
        <v/>
      </c>
      <c r="O1021" s="69" t="str">
        <f>IF((L1023=""),"",AVERAGE(D1023:L1023))</f>
        <v/>
      </c>
      <c r="P1021" s="69">
        <v>1600</v>
      </c>
      <c r="Q1021" s="69">
        <v>2000</v>
      </c>
      <c r="R1021" s="69" t="str">
        <f>IF((L1022=""),"",((M1021-N1021)/(M1021+N1021))*100)</f>
        <v/>
      </c>
      <c r="S1021" s="69">
        <v>23</v>
      </c>
      <c r="T1021" s="130" t="str">
        <f>IF(L1022="","",IF(R1022&lt;20,(IF(O1021&gt;1730,IF(O1021&lt;1970,"Pass","Fail"),"Fail"))))</f>
        <v/>
      </c>
      <c r="U1021" s="153"/>
      <c r="V1021" s="159"/>
      <c r="W1021" s="56">
        <v>1730</v>
      </c>
      <c r="X1021" s="56">
        <v>1970</v>
      </c>
      <c r="Y1021" s="56">
        <v>6.2</v>
      </c>
    </row>
    <row r="1022" spans="1:25" x14ac:dyDescent="0.3">
      <c r="A1022" s="155"/>
      <c r="B1022" s="147"/>
      <c r="C1022" s="71" t="s">
        <v>89</v>
      </c>
      <c r="M1022" s="77"/>
      <c r="N1022" s="77"/>
      <c r="O1022" s="77"/>
      <c r="P1022" s="77"/>
      <c r="Q1022" s="77"/>
      <c r="R1022" s="77"/>
      <c r="S1022" s="77"/>
      <c r="T1022" s="132"/>
      <c r="U1022" s="77"/>
      <c r="V1022" s="159"/>
    </row>
    <row r="1023" spans="1:25" ht="39.9" x14ac:dyDescent="0.3">
      <c r="A1023" s="156"/>
      <c r="B1023" s="149"/>
      <c r="C1023" s="71" t="s">
        <v>123</v>
      </c>
      <c r="D1023" s="38" t="str">
        <f t="shared" ref="D1023:L1023" si="337">IF(((D1021="")*AND(D1022="")),"",(D1021-D1022)*1)</f>
        <v/>
      </c>
      <c r="E1023" s="38" t="str">
        <f t="shared" si="337"/>
        <v/>
      </c>
      <c r="F1023" s="38" t="str">
        <f t="shared" si="337"/>
        <v/>
      </c>
      <c r="G1023" s="38" t="str">
        <f t="shared" si="337"/>
        <v/>
      </c>
      <c r="H1023" s="38" t="str">
        <f t="shared" si="337"/>
        <v/>
      </c>
      <c r="I1023" s="38" t="str">
        <f t="shared" si="337"/>
        <v/>
      </c>
      <c r="J1023" s="38" t="str">
        <f t="shared" si="337"/>
        <v/>
      </c>
      <c r="K1023" s="38" t="str">
        <f t="shared" si="337"/>
        <v/>
      </c>
      <c r="L1023" s="38" t="str">
        <f t="shared" si="337"/>
        <v/>
      </c>
      <c r="M1023" s="135"/>
      <c r="N1023" s="135"/>
      <c r="O1023" s="135"/>
      <c r="P1023" s="135"/>
      <c r="Q1023" s="135"/>
      <c r="R1023" s="135"/>
      <c r="S1023" s="135"/>
      <c r="T1023" s="136"/>
      <c r="U1023" s="135"/>
      <c r="V1023" s="159"/>
    </row>
    <row r="1024" spans="1:25" x14ac:dyDescent="0.3">
      <c r="A1024" s="154"/>
      <c r="B1024" s="129" t="s">
        <v>124</v>
      </c>
      <c r="C1024" s="71" t="s">
        <v>88</v>
      </c>
      <c r="M1024" s="69" t="str">
        <f>IF((L1025=""),"",MAX(D1026:L1026))</f>
        <v/>
      </c>
      <c r="N1024" s="69" t="str">
        <f>IF(L1025="","",MIN(D1026:L1026))</f>
        <v/>
      </c>
      <c r="O1024" s="69" t="str">
        <f>IF((L1026=""),"",AVERAGE(D1026:L1026))</f>
        <v/>
      </c>
      <c r="P1024" s="69">
        <v>1600</v>
      </c>
      <c r="Q1024" s="69">
        <v>2000</v>
      </c>
      <c r="R1024" s="69" t="str">
        <f>IF((L1025=""),"",((M1024-N1024)/(M1024+N1024))*100)</f>
        <v/>
      </c>
      <c r="S1024" s="69">
        <v>23</v>
      </c>
      <c r="T1024" s="130" t="str">
        <f>IF(L1025="","",IF(R1025&lt;20,(IF(O1024&gt;1730,IF(O1024&lt;1970,"Pass","Fail"),"Fail"))))</f>
        <v/>
      </c>
      <c r="U1024" s="153"/>
      <c r="V1024" s="159"/>
      <c r="W1024" s="56">
        <v>1730</v>
      </c>
      <c r="X1024" s="56">
        <v>1970</v>
      </c>
      <c r="Y1024" s="56">
        <v>6.2</v>
      </c>
    </row>
    <row r="1025" spans="1:25" x14ac:dyDescent="0.3">
      <c r="A1025" s="155"/>
      <c r="B1025" s="147"/>
      <c r="C1025" s="71" t="s">
        <v>89</v>
      </c>
      <c r="M1025" s="77"/>
      <c r="N1025" s="77"/>
      <c r="O1025" s="77"/>
      <c r="P1025" s="77"/>
      <c r="Q1025" s="77"/>
      <c r="R1025" s="77"/>
      <c r="S1025" s="77"/>
      <c r="T1025" s="132"/>
      <c r="U1025" s="77"/>
      <c r="V1025" s="159"/>
    </row>
    <row r="1026" spans="1:25" ht="39.9" x14ac:dyDescent="0.3">
      <c r="A1026" s="156"/>
      <c r="B1026" s="149"/>
      <c r="C1026" s="71" t="s">
        <v>123</v>
      </c>
      <c r="D1026" s="38" t="str">
        <f t="shared" ref="D1026:L1026" si="338">IF(((D1024="")*AND(D1025="")),"",(D1024-D1025)*1)</f>
        <v/>
      </c>
      <c r="E1026" s="38" t="str">
        <f t="shared" si="338"/>
        <v/>
      </c>
      <c r="F1026" s="38" t="str">
        <f t="shared" si="338"/>
        <v/>
      </c>
      <c r="G1026" s="38" t="str">
        <f t="shared" si="338"/>
        <v/>
      </c>
      <c r="H1026" s="38" t="str">
        <f t="shared" si="338"/>
        <v/>
      </c>
      <c r="I1026" s="38" t="str">
        <f t="shared" si="338"/>
        <v/>
      </c>
      <c r="J1026" s="38" t="str">
        <f t="shared" si="338"/>
        <v/>
      </c>
      <c r="K1026" s="38" t="str">
        <f t="shared" si="338"/>
        <v/>
      </c>
      <c r="L1026" s="38" t="str">
        <f t="shared" si="338"/>
        <v/>
      </c>
      <c r="M1026" s="135"/>
      <c r="N1026" s="135"/>
      <c r="O1026" s="135"/>
      <c r="P1026" s="135"/>
      <c r="Q1026" s="135"/>
      <c r="R1026" s="135"/>
      <c r="S1026" s="135"/>
      <c r="T1026" s="136"/>
      <c r="U1026" s="135"/>
      <c r="V1026" s="159"/>
    </row>
    <row r="1027" spans="1:25" x14ac:dyDescent="0.3">
      <c r="A1027" s="154"/>
      <c r="B1027" s="129" t="s">
        <v>124</v>
      </c>
      <c r="C1027" s="71" t="s">
        <v>88</v>
      </c>
      <c r="M1027" s="69" t="str">
        <f>IF((L1028=""),"",MAX(D1029:L1029))</f>
        <v/>
      </c>
      <c r="N1027" s="69" t="str">
        <f>IF(L1028="","",MIN(D1029:L1029))</f>
        <v/>
      </c>
      <c r="O1027" s="69" t="str">
        <f>IF((L1029=""),"",AVERAGE(D1029:L1029))</f>
        <v/>
      </c>
      <c r="P1027" s="69">
        <v>1600</v>
      </c>
      <c r="Q1027" s="69">
        <v>2000</v>
      </c>
      <c r="R1027" s="69" t="str">
        <f>IF((L1028=""),"",((M1027-N1027)/(M1027+N1027))*100)</f>
        <v/>
      </c>
      <c r="S1027" s="69">
        <v>23</v>
      </c>
      <c r="T1027" s="130" t="str">
        <f>IF(L1028="","",IF(R1028&lt;20,(IF(O1027&gt;1730,IF(O1027&lt;1970,"Pass","Fail"),"Fail"))))</f>
        <v/>
      </c>
      <c r="U1027" s="153"/>
      <c r="V1027" s="159"/>
      <c r="W1027" s="56">
        <v>1730</v>
      </c>
      <c r="X1027" s="56">
        <v>1970</v>
      </c>
      <c r="Y1027" s="56">
        <v>6.2</v>
      </c>
    </row>
    <row r="1028" spans="1:25" x14ac:dyDescent="0.3">
      <c r="A1028" s="155"/>
      <c r="B1028" s="147"/>
      <c r="C1028" s="71" t="s">
        <v>89</v>
      </c>
      <c r="M1028" s="77"/>
      <c r="N1028" s="77"/>
      <c r="O1028" s="77"/>
      <c r="P1028" s="77"/>
      <c r="Q1028" s="77"/>
      <c r="R1028" s="77"/>
      <c r="S1028" s="77"/>
      <c r="T1028" s="132"/>
      <c r="U1028" s="77"/>
      <c r="V1028" s="159"/>
    </row>
    <row r="1029" spans="1:25" ht="39.9" x14ac:dyDescent="0.3">
      <c r="A1029" s="156"/>
      <c r="B1029" s="149"/>
      <c r="C1029" s="71" t="s">
        <v>123</v>
      </c>
      <c r="D1029" s="38" t="str">
        <f t="shared" ref="D1029:L1029" si="339">IF(((D1027="")*AND(D1028="")),"",(D1027-D1028)*1)</f>
        <v/>
      </c>
      <c r="E1029" s="38" t="str">
        <f t="shared" si="339"/>
        <v/>
      </c>
      <c r="F1029" s="38" t="str">
        <f t="shared" si="339"/>
        <v/>
      </c>
      <c r="G1029" s="38" t="str">
        <f t="shared" si="339"/>
        <v/>
      </c>
      <c r="H1029" s="38" t="str">
        <f t="shared" si="339"/>
        <v/>
      </c>
      <c r="I1029" s="38" t="str">
        <f t="shared" si="339"/>
        <v/>
      </c>
      <c r="J1029" s="38" t="str">
        <f t="shared" si="339"/>
        <v/>
      </c>
      <c r="K1029" s="38" t="str">
        <f t="shared" si="339"/>
        <v/>
      </c>
      <c r="L1029" s="38" t="str">
        <f t="shared" si="339"/>
        <v/>
      </c>
      <c r="M1029" s="135"/>
      <c r="N1029" s="135"/>
      <c r="O1029" s="135"/>
      <c r="P1029" s="135"/>
      <c r="Q1029" s="135"/>
      <c r="R1029" s="135"/>
      <c r="S1029" s="135"/>
      <c r="T1029" s="136"/>
      <c r="U1029" s="135"/>
      <c r="V1029" s="159"/>
    </row>
    <row r="1030" spans="1:25" x14ac:dyDescent="0.3">
      <c r="A1030" s="154"/>
      <c r="B1030" s="129" t="s">
        <v>124</v>
      </c>
      <c r="C1030" s="71" t="s">
        <v>88</v>
      </c>
      <c r="M1030" s="69" t="str">
        <f>IF((L1031=""),"",MAX(D1032:L1032))</f>
        <v/>
      </c>
      <c r="N1030" s="69" t="str">
        <f>IF(L1031="","",MIN(D1032:L1032))</f>
        <v/>
      </c>
      <c r="O1030" s="69" t="str">
        <f>IF((L1032=""),"",AVERAGE(D1032:L1032))</f>
        <v/>
      </c>
      <c r="P1030" s="69">
        <v>1600</v>
      </c>
      <c r="Q1030" s="69">
        <v>2000</v>
      </c>
      <c r="R1030" s="69" t="str">
        <f>IF((L1031=""),"",((M1030-N1030)/(M1030+N1030))*100)</f>
        <v/>
      </c>
      <c r="S1030" s="69">
        <v>23</v>
      </c>
      <c r="T1030" s="130" t="str">
        <f>IF(L1031="","",IF(R1031&lt;20,(IF(O1030&gt;1730,IF(O1030&lt;1970,"Pass","Fail"),"Fail"))))</f>
        <v/>
      </c>
      <c r="U1030" s="153"/>
      <c r="V1030" s="159"/>
      <c r="W1030" s="56">
        <v>1730</v>
      </c>
      <c r="X1030" s="56">
        <v>1970</v>
      </c>
      <c r="Y1030" s="56">
        <v>6.2</v>
      </c>
    </row>
    <row r="1031" spans="1:25" x14ac:dyDescent="0.3">
      <c r="A1031" s="155"/>
      <c r="B1031" s="147"/>
      <c r="C1031" s="71" t="s">
        <v>89</v>
      </c>
      <c r="M1031" s="77"/>
      <c r="N1031" s="77"/>
      <c r="O1031" s="77"/>
      <c r="P1031" s="77"/>
      <c r="Q1031" s="77"/>
      <c r="R1031" s="77"/>
      <c r="S1031" s="77"/>
      <c r="T1031" s="132"/>
      <c r="U1031" s="77"/>
      <c r="V1031" s="159"/>
    </row>
    <row r="1032" spans="1:25" ht="39.9" x14ac:dyDescent="0.3">
      <c r="A1032" s="156"/>
      <c r="B1032" s="149"/>
      <c r="C1032" s="71" t="s">
        <v>123</v>
      </c>
      <c r="D1032" s="38" t="str">
        <f t="shared" ref="D1032:L1032" si="340">IF(((D1030="")*AND(D1031="")),"",(D1030-D1031)*1)</f>
        <v/>
      </c>
      <c r="E1032" s="38" t="str">
        <f t="shared" si="340"/>
        <v/>
      </c>
      <c r="F1032" s="38" t="str">
        <f t="shared" si="340"/>
        <v/>
      </c>
      <c r="G1032" s="38" t="str">
        <f t="shared" si="340"/>
        <v/>
      </c>
      <c r="H1032" s="38" t="str">
        <f t="shared" si="340"/>
        <v/>
      </c>
      <c r="I1032" s="38" t="str">
        <f t="shared" si="340"/>
        <v/>
      </c>
      <c r="J1032" s="38" t="str">
        <f t="shared" si="340"/>
        <v/>
      </c>
      <c r="K1032" s="38" t="str">
        <f t="shared" si="340"/>
        <v/>
      </c>
      <c r="L1032" s="38" t="str">
        <f t="shared" si="340"/>
        <v/>
      </c>
      <c r="M1032" s="135"/>
      <c r="N1032" s="135"/>
      <c r="O1032" s="135"/>
      <c r="P1032" s="135"/>
      <c r="Q1032" s="135"/>
      <c r="R1032" s="135"/>
      <c r="S1032" s="135"/>
      <c r="T1032" s="136"/>
      <c r="U1032" s="135"/>
      <c r="V1032" s="159"/>
    </row>
    <row r="1033" spans="1:25" x14ac:dyDescent="0.3">
      <c r="A1033" s="154"/>
      <c r="B1033" s="129" t="s">
        <v>124</v>
      </c>
      <c r="C1033" s="71" t="s">
        <v>88</v>
      </c>
      <c r="M1033" s="69" t="str">
        <f>IF((L1034=""),"",MAX(D1035:L1035))</f>
        <v/>
      </c>
      <c r="N1033" s="69" t="str">
        <f>IF(L1034="","",MIN(D1035:L1035))</f>
        <v/>
      </c>
      <c r="O1033" s="69" t="str">
        <f>IF((L1035=""),"",AVERAGE(D1035:L1035))</f>
        <v/>
      </c>
      <c r="P1033" s="69">
        <v>1600</v>
      </c>
      <c r="Q1033" s="69">
        <v>2000</v>
      </c>
      <c r="R1033" s="69" t="str">
        <f>IF((L1034=""),"",((M1033-N1033)/(M1033+N1033))*100)</f>
        <v/>
      </c>
      <c r="S1033" s="69">
        <v>23</v>
      </c>
      <c r="T1033" s="130" t="str">
        <f>IF(L1034="","",IF(R1034&lt;20,(IF(O1033&gt;1730,IF(O1033&lt;1970,"Pass","Fail"),"Fail"))))</f>
        <v/>
      </c>
      <c r="U1033" s="153"/>
      <c r="V1033" s="159"/>
      <c r="W1033" s="56">
        <v>1730</v>
      </c>
      <c r="X1033" s="56">
        <v>1970</v>
      </c>
      <c r="Y1033" s="56">
        <v>6.2</v>
      </c>
    </row>
    <row r="1034" spans="1:25" x14ac:dyDescent="0.3">
      <c r="A1034" s="155"/>
      <c r="B1034" s="147"/>
      <c r="C1034" s="71" t="s">
        <v>89</v>
      </c>
      <c r="M1034" s="77"/>
      <c r="N1034" s="77"/>
      <c r="O1034" s="77"/>
      <c r="P1034" s="77"/>
      <c r="Q1034" s="77"/>
      <c r="R1034" s="77"/>
      <c r="S1034" s="77"/>
      <c r="T1034" s="132"/>
      <c r="U1034" s="77"/>
      <c r="V1034" s="159"/>
    </row>
    <row r="1035" spans="1:25" ht="39.9" x14ac:dyDescent="0.3">
      <c r="A1035" s="156"/>
      <c r="B1035" s="149"/>
      <c r="C1035" s="71" t="s">
        <v>123</v>
      </c>
      <c r="D1035" s="38" t="str">
        <f t="shared" ref="D1035:L1035" si="341">IF(((D1033="")*AND(D1034="")),"",(D1033-D1034)*1)</f>
        <v/>
      </c>
      <c r="E1035" s="38" t="str">
        <f t="shared" si="341"/>
        <v/>
      </c>
      <c r="F1035" s="38" t="str">
        <f t="shared" si="341"/>
        <v/>
      </c>
      <c r="G1035" s="38" t="str">
        <f t="shared" si="341"/>
        <v/>
      </c>
      <c r="H1035" s="38" t="str">
        <f t="shared" si="341"/>
        <v/>
      </c>
      <c r="I1035" s="38" t="str">
        <f t="shared" si="341"/>
        <v/>
      </c>
      <c r="J1035" s="38" t="str">
        <f t="shared" si="341"/>
        <v/>
      </c>
      <c r="K1035" s="38" t="str">
        <f t="shared" si="341"/>
        <v/>
      </c>
      <c r="L1035" s="38" t="str">
        <f t="shared" si="341"/>
        <v/>
      </c>
      <c r="M1035" s="135"/>
      <c r="N1035" s="135"/>
      <c r="O1035" s="135"/>
      <c r="P1035" s="135"/>
      <c r="Q1035" s="135"/>
      <c r="R1035" s="135"/>
      <c r="S1035" s="135"/>
      <c r="T1035" s="136"/>
      <c r="U1035" s="135"/>
      <c r="V1035" s="159"/>
    </row>
    <row r="1036" spans="1:25" x14ac:dyDescent="0.3">
      <c r="A1036" s="154"/>
      <c r="B1036" s="129" t="s">
        <v>124</v>
      </c>
      <c r="C1036" s="71" t="s">
        <v>88</v>
      </c>
      <c r="M1036" s="69" t="str">
        <f>IF((L1037=""),"",MAX(D1038:L1038))</f>
        <v/>
      </c>
      <c r="N1036" s="69" t="str">
        <f>IF(L1037="","",MIN(D1038:L1038))</f>
        <v/>
      </c>
      <c r="O1036" s="69" t="str">
        <f>IF((L1038=""),"",AVERAGE(D1038:L1038))</f>
        <v/>
      </c>
      <c r="P1036" s="69">
        <v>1600</v>
      </c>
      <c r="Q1036" s="69">
        <v>2000</v>
      </c>
      <c r="R1036" s="69" t="str">
        <f>IF((L1037=""),"",((M1036-N1036)/(M1036+N1036))*100)</f>
        <v/>
      </c>
      <c r="S1036" s="69">
        <v>23</v>
      </c>
      <c r="T1036" s="130" t="str">
        <f>IF(L1037="","",IF(R1037&lt;20,(IF(O1036&gt;1730,IF(O1036&lt;1970,"Pass","Fail"),"Fail"))))</f>
        <v/>
      </c>
      <c r="U1036" s="153"/>
      <c r="V1036" s="159"/>
      <c r="W1036" s="56">
        <v>1730</v>
      </c>
      <c r="X1036" s="56">
        <v>1970</v>
      </c>
      <c r="Y1036" s="56">
        <v>6.2</v>
      </c>
    </row>
    <row r="1037" spans="1:25" x14ac:dyDescent="0.3">
      <c r="A1037" s="155"/>
      <c r="B1037" s="147"/>
      <c r="C1037" s="71" t="s">
        <v>89</v>
      </c>
      <c r="M1037" s="77"/>
      <c r="N1037" s="77"/>
      <c r="O1037" s="77"/>
      <c r="P1037" s="77"/>
      <c r="Q1037" s="77"/>
      <c r="R1037" s="77"/>
      <c r="S1037" s="77"/>
      <c r="T1037" s="132"/>
      <c r="U1037" s="77"/>
      <c r="V1037" s="159"/>
    </row>
    <row r="1038" spans="1:25" ht="39.9" x14ac:dyDescent="0.3">
      <c r="A1038" s="156"/>
      <c r="B1038" s="149"/>
      <c r="C1038" s="71" t="s">
        <v>123</v>
      </c>
      <c r="D1038" s="38" t="str">
        <f t="shared" ref="D1038:L1038" si="342">IF(((D1036="")*AND(D1037="")),"",(D1036-D1037)*1)</f>
        <v/>
      </c>
      <c r="E1038" s="38" t="str">
        <f t="shared" si="342"/>
        <v/>
      </c>
      <c r="F1038" s="38" t="str">
        <f t="shared" si="342"/>
        <v/>
      </c>
      <c r="G1038" s="38" t="str">
        <f t="shared" si="342"/>
        <v/>
      </c>
      <c r="H1038" s="38" t="str">
        <f t="shared" si="342"/>
        <v/>
      </c>
      <c r="I1038" s="38" t="str">
        <f t="shared" si="342"/>
        <v/>
      </c>
      <c r="J1038" s="38" t="str">
        <f t="shared" si="342"/>
        <v/>
      </c>
      <c r="K1038" s="38" t="str">
        <f t="shared" si="342"/>
        <v/>
      </c>
      <c r="L1038" s="38" t="str">
        <f t="shared" si="342"/>
        <v/>
      </c>
      <c r="M1038" s="135"/>
      <c r="N1038" s="135"/>
      <c r="O1038" s="135"/>
      <c r="P1038" s="135"/>
      <c r="Q1038" s="135"/>
      <c r="R1038" s="135"/>
      <c r="S1038" s="135"/>
      <c r="T1038" s="136"/>
      <c r="U1038" s="135"/>
      <c r="V1038" s="159"/>
    </row>
    <row r="1039" spans="1:25" x14ac:dyDescent="0.3">
      <c r="A1039" s="154"/>
      <c r="B1039" s="129" t="s">
        <v>124</v>
      </c>
      <c r="C1039" s="71" t="s">
        <v>88</v>
      </c>
      <c r="M1039" s="69" t="str">
        <f>IF((L1040=""),"",MAX(D1041:L1041))</f>
        <v/>
      </c>
      <c r="N1039" s="69" t="str">
        <f>IF(L1040="","",MIN(D1041:L1041))</f>
        <v/>
      </c>
      <c r="O1039" s="69" t="str">
        <f>IF((L1041=""),"",AVERAGE(D1041:L1041))</f>
        <v/>
      </c>
      <c r="P1039" s="69">
        <v>1600</v>
      </c>
      <c r="Q1039" s="69">
        <v>2000</v>
      </c>
      <c r="R1039" s="69" t="str">
        <f>IF((L1040=""),"",((M1039-N1039)/(M1039+N1039))*100)</f>
        <v/>
      </c>
      <c r="S1039" s="69">
        <v>23</v>
      </c>
      <c r="T1039" s="130" t="str">
        <f>IF(L1040="","",IF(R1040&lt;20,(IF(O1039&gt;1730,IF(O1039&lt;1970,"Pass","Fail"),"Fail"))))</f>
        <v/>
      </c>
      <c r="U1039" s="153"/>
      <c r="V1039" s="159"/>
      <c r="W1039" s="56">
        <v>1730</v>
      </c>
      <c r="X1039" s="56">
        <v>1970</v>
      </c>
      <c r="Y1039" s="56">
        <v>6.2</v>
      </c>
    </row>
    <row r="1040" spans="1:25" x14ac:dyDescent="0.3">
      <c r="A1040" s="155"/>
      <c r="B1040" s="147"/>
      <c r="C1040" s="71" t="s">
        <v>89</v>
      </c>
      <c r="M1040" s="77"/>
      <c r="N1040" s="77"/>
      <c r="O1040" s="77"/>
      <c r="P1040" s="77"/>
      <c r="Q1040" s="77"/>
      <c r="R1040" s="77"/>
      <c r="S1040" s="77"/>
      <c r="T1040" s="132"/>
      <c r="U1040" s="77"/>
      <c r="V1040" s="159"/>
    </row>
    <row r="1041" spans="1:25" ht="39.9" x14ac:dyDescent="0.3">
      <c r="A1041" s="156"/>
      <c r="B1041" s="149"/>
      <c r="C1041" s="71" t="s">
        <v>123</v>
      </c>
      <c r="D1041" s="38" t="str">
        <f t="shared" ref="D1041:L1041" si="343">IF(((D1039="")*AND(D1040="")),"",(D1039-D1040)*1)</f>
        <v/>
      </c>
      <c r="E1041" s="38" t="str">
        <f t="shared" si="343"/>
        <v/>
      </c>
      <c r="F1041" s="38" t="str">
        <f t="shared" si="343"/>
        <v/>
      </c>
      <c r="G1041" s="38" t="str">
        <f t="shared" si="343"/>
        <v/>
      </c>
      <c r="H1041" s="38" t="str">
        <f t="shared" si="343"/>
        <v/>
      </c>
      <c r="I1041" s="38" t="str">
        <f t="shared" si="343"/>
        <v/>
      </c>
      <c r="J1041" s="38" t="str">
        <f t="shared" si="343"/>
        <v/>
      </c>
      <c r="K1041" s="38" t="str">
        <f t="shared" si="343"/>
        <v/>
      </c>
      <c r="L1041" s="38" t="str">
        <f t="shared" si="343"/>
        <v/>
      </c>
      <c r="M1041" s="135"/>
      <c r="N1041" s="135"/>
      <c r="O1041" s="135"/>
      <c r="P1041" s="135"/>
      <c r="Q1041" s="135"/>
      <c r="R1041" s="135"/>
      <c r="S1041" s="135"/>
      <c r="T1041" s="136"/>
      <c r="U1041" s="135"/>
      <c r="V1041" s="159"/>
    </row>
    <row r="1042" spans="1:25" x14ac:dyDescent="0.3">
      <c r="A1042" s="154"/>
      <c r="B1042" s="129" t="s">
        <v>124</v>
      </c>
      <c r="C1042" s="71" t="s">
        <v>88</v>
      </c>
      <c r="M1042" s="69" t="str">
        <f>IF((L1043=""),"",MAX(D1044:L1044))</f>
        <v/>
      </c>
      <c r="N1042" s="69" t="str">
        <f>IF(L1043="","",MIN(D1044:L1044))</f>
        <v/>
      </c>
      <c r="O1042" s="69" t="str">
        <f>IF((L1044=""),"",AVERAGE(D1044:L1044))</f>
        <v/>
      </c>
      <c r="P1042" s="69">
        <v>1600</v>
      </c>
      <c r="Q1042" s="69">
        <v>2000</v>
      </c>
      <c r="R1042" s="69" t="str">
        <f>IF((L1043=""),"",((M1042-N1042)/(M1042+N1042))*100)</f>
        <v/>
      </c>
      <c r="S1042" s="69">
        <v>23</v>
      </c>
      <c r="T1042" s="130" t="str">
        <f>IF(L1043="","",IF(R1043&lt;20,(IF(O1042&gt;1730,IF(O1042&lt;1970,"Pass","Fail"),"Fail"))))</f>
        <v/>
      </c>
      <c r="U1042" s="153"/>
      <c r="V1042" s="159"/>
      <c r="W1042" s="56">
        <v>1730</v>
      </c>
      <c r="X1042" s="56">
        <v>1970</v>
      </c>
      <c r="Y1042" s="56">
        <v>6.2</v>
      </c>
    </row>
    <row r="1043" spans="1:25" x14ac:dyDescent="0.3">
      <c r="A1043" s="155"/>
      <c r="B1043" s="147"/>
      <c r="C1043" s="71" t="s">
        <v>89</v>
      </c>
      <c r="M1043" s="77"/>
      <c r="N1043" s="77"/>
      <c r="O1043" s="77"/>
      <c r="P1043" s="77"/>
      <c r="Q1043" s="77"/>
      <c r="R1043" s="77"/>
      <c r="S1043" s="77"/>
      <c r="T1043" s="132"/>
      <c r="U1043" s="77"/>
      <c r="V1043" s="159"/>
    </row>
    <row r="1044" spans="1:25" ht="39.9" x14ac:dyDescent="0.3">
      <c r="A1044" s="156"/>
      <c r="B1044" s="149"/>
      <c r="C1044" s="71" t="s">
        <v>123</v>
      </c>
      <c r="D1044" s="38" t="str">
        <f t="shared" ref="D1044:L1044" si="344">IF(((D1042="")*AND(D1043="")),"",(D1042-D1043)*1)</f>
        <v/>
      </c>
      <c r="E1044" s="38" t="str">
        <f t="shared" si="344"/>
        <v/>
      </c>
      <c r="F1044" s="38" t="str">
        <f t="shared" si="344"/>
        <v/>
      </c>
      <c r="G1044" s="38" t="str">
        <f t="shared" si="344"/>
        <v/>
      </c>
      <c r="H1044" s="38" t="str">
        <f t="shared" si="344"/>
        <v/>
      </c>
      <c r="I1044" s="38" t="str">
        <f t="shared" si="344"/>
        <v/>
      </c>
      <c r="J1044" s="38" t="str">
        <f t="shared" si="344"/>
        <v/>
      </c>
      <c r="K1044" s="38" t="str">
        <f t="shared" si="344"/>
        <v/>
      </c>
      <c r="L1044" s="38" t="str">
        <f t="shared" si="344"/>
        <v/>
      </c>
      <c r="M1044" s="135"/>
      <c r="N1044" s="135"/>
      <c r="O1044" s="135"/>
      <c r="P1044" s="135"/>
      <c r="Q1044" s="135"/>
      <c r="R1044" s="135"/>
      <c r="S1044" s="135"/>
      <c r="T1044" s="136"/>
      <c r="U1044" s="135"/>
      <c r="V1044" s="159"/>
    </row>
    <row r="1045" spans="1:25" x14ac:dyDescent="0.3">
      <c r="A1045" s="154"/>
      <c r="B1045" s="129" t="s">
        <v>124</v>
      </c>
      <c r="C1045" s="71" t="s">
        <v>88</v>
      </c>
      <c r="M1045" s="69" t="str">
        <f>IF((L1046=""),"",MAX(D1047:L1047))</f>
        <v/>
      </c>
      <c r="N1045" s="69" t="str">
        <f>IF(L1046="","",MIN(D1047:L1047))</f>
        <v/>
      </c>
      <c r="O1045" s="69" t="str">
        <f>IF((L1047=""),"",AVERAGE(D1047:L1047))</f>
        <v/>
      </c>
      <c r="P1045" s="69">
        <v>1600</v>
      </c>
      <c r="Q1045" s="69">
        <v>2000</v>
      </c>
      <c r="R1045" s="69" t="str">
        <f>IF((L1046=""),"",((M1045-N1045)/(M1045+N1045))*100)</f>
        <v/>
      </c>
      <c r="S1045" s="69">
        <v>23</v>
      </c>
      <c r="T1045" s="130" t="str">
        <f>IF(L1046="","",IF(R1046&lt;20,(IF(O1045&gt;1730,IF(O1045&lt;1970,"Pass","Fail"),"Fail"))))</f>
        <v/>
      </c>
      <c r="U1045" s="153"/>
      <c r="V1045" s="159"/>
      <c r="W1045" s="56">
        <v>1730</v>
      </c>
      <c r="X1045" s="56">
        <v>1970</v>
      </c>
      <c r="Y1045" s="56">
        <v>6.2</v>
      </c>
    </row>
    <row r="1046" spans="1:25" x14ac:dyDescent="0.3">
      <c r="A1046" s="155"/>
      <c r="B1046" s="147"/>
      <c r="C1046" s="71" t="s">
        <v>89</v>
      </c>
      <c r="M1046" s="77"/>
      <c r="N1046" s="77"/>
      <c r="O1046" s="77"/>
      <c r="P1046" s="77"/>
      <c r="Q1046" s="77"/>
      <c r="R1046" s="77"/>
      <c r="S1046" s="77"/>
      <c r="T1046" s="132"/>
      <c r="U1046" s="77"/>
      <c r="V1046" s="159"/>
    </row>
    <row r="1047" spans="1:25" ht="39.9" x14ac:dyDescent="0.3">
      <c r="A1047" s="156"/>
      <c r="B1047" s="149"/>
      <c r="C1047" s="71" t="s">
        <v>123</v>
      </c>
      <c r="D1047" s="38" t="str">
        <f t="shared" ref="D1047:L1047" si="345">IF(((D1045="")*AND(D1046="")),"",(D1045-D1046)*1)</f>
        <v/>
      </c>
      <c r="E1047" s="38" t="str">
        <f t="shared" si="345"/>
        <v/>
      </c>
      <c r="F1047" s="38" t="str">
        <f t="shared" si="345"/>
        <v/>
      </c>
      <c r="G1047" s="38" t="str">
        <f t="shared" si="345"/>
        <v/>
      </c>
      <c r="H1047" s="38" t="str">
        <f t="shared" si="345"/>
        <v/>
      </c>
      <c r="I1047" s="38" t="str">
        <f t="shared" si="345"/>
        <v/>
      </c>
      <c r="J1047" s="38" t="str">
        <f t="shared" si="345"/>
        <v/>
      </c>
      <c r="K1047" s="38" t="str">
        <f t="shared" si="345"/>
        <v/>
      </c>
      <c r="L1047" s="38" t="str">
        <f t="shared" si="345"/>
        <v/>
      </c>
      <c r="M1047" s="135"/>
      <c r="N1047" s="135"/>
      <c r="O1047" s="135"/>
      <c r="P1047" s="135"/>
      <c r="Q1047" s="135"/>
      <c r="R1047" s="135"/>
      <c r="S1047" s="135"/>
      <c r="T1047" s="136"/>
      <c r="U1047" s="135"/>
      <c r="V1047" s="159"/>
    </row>
    <row r="1048" spans="1:25" x14ac:dyDescent="0.3">
      <c r="A1048" s="154"/>
      <c r="B1048" s="129" t="s">
        <v>124</v>
      </c>
      <c r="C1048" s="71" t="s">
        <v>88</v>
      </c>
      <c r="M1048" s="69" t="str">
        <f>IF((L1049=""),"",MAX(D1050:L1050))</f>
        <v/>
      </c>
      <c r="N1048" s="69" t="str">
        <f>IF(L1049="","",MIN(D1050:L1050))</f>
        <v/>
      </c>
      <c r="O1048" s="69" t="str">
        <f>IF((L1050=""),"",AVERAGE(D1050:L1050))</f>
        <v/>
      </c>
      <c r="P1048" s="69">
        <v>1600</v>
      </c>
      <c r="Q1048" s="69">
        <v>2000</v>
      </c>
      <c r="R1048" s="69" t="str">
        <f>IF((L1049=""),"",((M1048-N1048)/(M1048+N1048))*100)</f>
        <v/>
      </c>
      <c r="S1048" s="69">
        <v>23</v>
      </c>
      <c r="T1048" s="130" t="str">
        <f>IF(L1049="","",IF(R1049&lt;20,(IF(O1048&gt;1730,IF(O1048&lt;1970,"Pass","Fail"),"Fail"))))</f>
        <v/>
      </c>
      <c r="U1048" s="153"/>
      <c r="V1048" s="159"/>
      <c r="W1048" s="56">
        <v>1730</v>
      </c>
      <c r="X1048" s="56">
        <v>1970</v>
      </c>
      <c r="Y1048" s="56">
        <v>6.2</v>
      </c>
    </row>
    <row r="1049" spans="1:25" x14ac:dyDescent="0.3">
      <c r="A1049" s="155"/>
      <c r="B1049" s="147"/>
      <c r="C1049" s="71" t="s">
        <v>89</v>
      </c>
      <c r="M1049" s="77"/>
      <c r="N1049" s="77"/>
      <c r="O1049" s="77"/>
      <c r="P1049" s="77"/>
      <c r="Q1049" s="77"/>
      <c r="R1049" s="77"/>
      <c r="S1049" s="77"/>
      <c r="T1049" s="132"/>
      <c r="U1049" s="77"/>
      <c r="V1049" s="159"/>
    </row>
    <row r="1050" spans="1:25" ht="39.9" x14ac:dyDescent="0.3">
      <c r="A1050" s="156"/>
      <c r="B1050" s="149"/>
      <c r="C1050" s="71" t="s">
        <v>123</v>
      </c>
      <c r="D1050" s="38" t="str">
        <f t="shared" ref="D1050:L1050" si="346">IF(((D1048="")*AND(D1049="")),"",(D1048-D1049)*1)</f>
        <v/>
      </c>
      <c r="E1050" s="38" t="str">
        <f t="shared" si="346"/>
        <v/>
      </c>
      <c r="F1050" s="38" t="str">
        <f t="shared" si="346"/>
        <v/>
      </c>
      <c r="G1050" s="38" t="str">
        <f t="shared" si="346"/>
        <v/>
      </c>
      <c r="H1050" s="38" t="str">
        <f t="shared" si="346"/>
        <v/>
      </c>
      <c r="I1050" s="38" t="str">
        <f t="shared" si="346"/>
        <v/>
      </c>
      <c r="J1050" s="38" t="str">
        <f t="shared" si="346"/>
        <v/>
      </c>
      <c r="K1050" s="38" t="str">
        <f t="shared" si="346"/>
        <v/>
      </c>
      <c r="L1050" s="38" t="str">
        <f t="shared" si="346"/>
        <v/>
      </c>
      <c r="M1050" s="135"/>
      <c r="N1050" s="135"/>
      <c r="O1050" s="135"/>
      <c r="P1050" s="135"/>
      <c r="Q1050" s="135"/>
      <c r="R1050" s="135"/>
      <c r="S1050" s="135"/>
      <c r="T1050" s="136"/>
      <c r="U1050" s="135"/>
      <c r="V1050" s="159"/>
    </row>
    <row r="1051" spans="1:25" x14ac:dyDescent="0.3">
      <c r="A1051" s="154"/>
      <c r="B1051" s="129" t="s">
        <v>124</v>
      </c>
      <c r="C1051" s="71" t="s">
        <v>88</v>
      </c>
      <c r="M1051" s="69" t="str">
        <f>IF((L1052=""),"",MAX(D1053:L1053))</f>
        <v/>
      </c>
      <c r="N1051" s="69" t="str">
        <f>IF(L1052="","",MIN(D1053:L1053))</f>
        <v/>
      </c>
      <c r="O1051" s="69" t="str">
        <f>IF((L1053=""),"",AVERAGE(D1053:L1053))</f>
        <v/>
      </c>
      <c r="P1051" s="69">
        <v>1600</v>
      </c>
      <c r="Q1051" s="69">
        <v>2000</v>
      </c>
      <c r="R1051" s="69" t="str">
        <f>IF((L1052=""),"",((M1051-N1051)/(M1051+N1051))*100)</f>
        <v/>
      </c>
      <c r="S1051" s="69">
        <v>23</v>
      </c>
      <c r="T1051" s="130" t="str">
        <f>IF(L1052="","",IF(R1052&lt;20,(IF(O1051&gt;1730,IF(O1051&lt;1970,"Pass","Fail"),"Fail"))))</f>
        <v/>
      </c>
      <c r="U1051" s="153"/>
      <c r="V1051" s="159"/>
      <c r="W1051" s="56">
        <v>1730</v>
      </c>
      <c r="X1051" s="56">
        <v>1970</v>
      </c>
      <c r="Y1051" s="56">
        <v>6.2</v>
      </c>
    </row>
    <row r="1052" spans="1:25" x14ac:dyDescent="0.3">
      <c r="A1052" s="155"/>
      <c r="B1052" s="147"/>
      <c r="C1052" s="71" t="s">
        <v>89</v>
      </c>
      <c r="M1052" s="77"/>
      <c r="N1052" s="77"/>
      <c r="O1052" s="77"/>
      <c r="P1052" s="77"/>
      <c r="Q1052" s="77"/>
      <c r="R1052" s="77"/>
      <c r="S1052" s="77"/>
      <c r="T1052" s="132"/>
      <c r="U1052" s="77"/>
      <c r="V1052" s="159"/>
    </row>
    <row r="1053" spans="1:25" ht="39.9" x14ac:dyDescent="0.3">
      <c r="A1053" s="156"/>
      <c r="B1053" s="149"/>
      <c r="C1053" s="71" t="s">
        <v>123</v>
      </c>
      <c r="D1053" s="38" t="str">
        <f t="shared" ref="D1053:L1053" si="347">IF(((D1051="")*AND(D1052="")),"",(D1051-D1052)*1)</f>
        <v/>
      </c>
      <c r="E1053" s="38" t="str">
        <f t="shared" si="347"/>
        <v/>
      </c>
      <c r="F1053" s="38" t="str">
        <f t="shared" si="347"/>
        <v/>
      </c>
      <c r="G1053" s="38" t="str">
        <f t="shared" si="347"/>
        <v/>
      </c>
      <c r="H1053" s="38" t="str">
        <f t="shared" si="347"/>
        <v/>
      </c>
      <c r="I1053" s="38" t="str">
        <f t="shared" si="347"/>
        <v/>
      </c>
      <c r="J1053" s="38" t="str">
        <f t="shared" si="347"/>
        <v/>
      </c>
      <c r="K1053" s="38" t="str">
        <f t="shared" si="347"/>
        <v/>
      </c>
      <c r="L1053" s="38" t="str">
        <f t="shared" si="347"/>
        <v/>
      </c>
      <c r="M1053" s="135"/>
      <c r="N1053" s="135"/>
      <c r="O1053" s="135"/>
      <c r="P1053" s="135"/>
      <c r="Q1053" s="135"/>
      <c r="R1053" s="135"/>
      <c r="S1053" s="135"/>
      <c r="T1053" s="136"/>
      <c r="U1053" s="135"/>
      <c r="V1053" s="159"/>
    </row>
    <row r="1054" spans="1:25" x14ac:dyDescent="0.3">
      <c r="A1054" s="154"/>
      <c r="B1054" s="129" t="s">
        <v>124</v>
      </c>
      <c r="C1054" s="71" t="s">
        <v>88</v>
      </c>
      <c r="M1054" s="69" t="str">
        <f>IF((L1055=""),"",MAX(D1056:L1056))</f>
        <v/>
      </c>
      <c r="N1054" s="69" t="str">
        <f>IF(L1055="","",MIN(D1056:L1056))</f>
        <v/>
      </c>
      <c r="O1054" s="69" t="str">
        <f>IF((L1056=""),"",AVERAGE(D1056:L1056))</f>
        <v/>
      </c>
      <c r="P1054" s="69">
        <v>1600</v>
      </c>
      <c r="Q1054" s="69">
        <v>2000</v>
      </c>
      <c r="R1054" s="69" t="str">
        <f>IF((L1055=""),"",((M1054-N1054)/(M1054+N1054))*100)</f>
        <v/>
      </c>
      <c r="S1054" s="69">
        <v>23</v>
      </c>
      <c r="T1054" s="130" t="str">
        <f>IF(L1055="","",IF(R1055&lt;20,(IF(O1054&gt;1730,IF(O1054&lt;1970,"Pass","Fail"),"Fail"))))</f>
        <v/>
      </c>
      <c r="U1054" s="153"/>
      <c r="V1054" s="159"/>
      <c r="W1054" s="56">
        <v>1730</v>
      </c>
      <c r="X1054" s="56">
        <v>1970</v>
      </c>
      <c r="Y1054" s="56">
        <v>6.2</v>
      </c>
    </row>
    <row r="1055" spans="1:25" x14ac:dyDescent="0.3">
      <c r="A1055" s="155"/>
      <c r="B1055" s="147"/>
      <c r="C1055" s="71" t="s">
        <v>89</v>
      </c>
      <c r="M1055" s="77"/>
      <c r="N1055" s="77"/>
      <c r="O1055" s="77"/>
      <c r="P1055" s="77"/>
      <c r="Q1055" s="77"/>
      <c r="R1055" s="77"/>
      <c r="S1055" s="77"/>
      <c r="T1055" s="132"/>
      <c r="U1055" s="77"/>
      <c r="V1055" s="159"/>
    </row>
    <row r="1056" spans="1:25" ht="39.9" x14ac:dyDescent="0.3">
      <c r="A1056" s="156"/>
      <c r="B1056" s="149"/>
      <c r="C1056" s="71" t="s">
        <v>123</v>
      </c>
      <c r="D1056" s="38" t="str">
        <f t="shared" ref="D1056:L1056" si="348">IF(((D1054="")*AND(D1055="")),"",(D1054-D1055)*1)</f>
        <v/>
      </c>
      <c r="E1056" s="38" t="str">
        <f t="shared" si="348"/>
        <v/>
      </c>
      <c r="F1056" s="38" t="str">
        <f t="shared" si="348"/>
        <v/>
      </c>
      <c r="G1056" s="38" t="str">
        <f t="shared" si="348"/>
        <v/>
      </c>
      <c r="H1056" s="38" t="str">
        <f t="shared" si="348"/>
        <v/>
      </c>
      <c r="I1056" s="38" t="str">
        <f t="shared" si="348"/>
        <v/>
      </c>
      <c r="J1056" s="38" t="str">
        <f t="shared" si="348"/>
        <v/>
      </c>
      <c r="K1056" s="38" t="str">
        <f t="shared" si="348"/>
        <v/>
      </c>
      <c r="L1056" s="38" t="str">
        <f t="shared" si="348"/>
        <v/>
      </c>
      <c r="M1056" s="135"/>
      <c r="N1056" s="135"/>
      <c r="O1056" s="135"/>
      <c r="P1056" s="135"/>
      <c r="Q1056" s="135"/>
      <c r="R1056" s="135"/>
      <c r="S1056" s="135"/>
      <c r="T1056" s="136"/>
      <c r="U1056" s="135"/>
      <c r="V1056" s="159"/>
    </row>
    <row r="1057" spans="1:25" x14ac:dyDescent="0.3">
      <c r="A1057" s="154"/>
      <c r="B1057" s="129" t="s">
        <v>124</v>
      </c>
      <c r="C1057" s="71" t="s">
        <v>88</v>
      </c>
      <c r="M1057" s="69" t="str">
        <f>IF((L1058=""),"",MAX(D1059:L1059))</f>
        <v/>
      </c>
      <c r="N1057" s="69" t="str">
        <f>IF(L1058="","",MIN(D1059:L1059))</f>
        <v/>
      </c>
      <c r="O1057" s="69" t="str">
        <f>IF((L1059=""),"",AVERAGE(D1059:L1059))</f>
        <v/>
      </c>
      <c r="P1057" s="69">
        <v>1600</v>
      </c>
      <c r="Q1057" s="69">
        <v>2000</v>
      </c>
      <c r="R1057" s="69" t="str">
        <f>IF((L1058=""),"",((M1057-N1057)/(M1057+N1057))*100)</f>
        <v/>
      </c>
      <c r="S1057" s="69">
        <v>23</v>
      </c>
      <c r="T1057" s="130" t="str">
        <f>IF(L1058="","",IF(R1058&lt;20,(IF(O1057&gt;1730,IF(O1057&lt;1970,"Pass","Fail"),"Fail"))))</f>
        <v/>
      </c>
      <c r="U1057" s="153"/>
      <c r="V1057" s="159"/>
      <c r="W1057" s="56">
        <v>1730</v>
      </c>
      <c r="X1057" s="56">
        <v>1970</v>
      </c>
      <c r="Y1057" s="56">
        <v>6.2</v>
      </c>
    </row>
    <row r="1058" spans="1:25" x14ac:dyDescent="0.3">
      <c r="A1058" s="155"/>
      <c r="B1058" s="147"/>
      <c r="C1058" s="71" t="s">
        <v>89</v>
      </c>
      <c r="M1058" s="77"/>
      <c r="N1058" s="77"/>
      <c r="O1058" s="77"/>
      <c r="P1058" s="77"/>
      <c r="Q1058" s="77"/>
      <c r="R1058" s="77"/>
      <c r="S1058" s="77"/>
      <c r="T1058" s="132"/>
      <c r="U1058" s="77"/>
      <c r="V1058" s="159"/>
    </row>
    <row r="1059" spans="1:25" ht="39.9" x14ac:dyDescent="0.3">
      <c r="A1059" s="156"/>
      <c r="B1059" s="149"/>
      <c r="C1059" s="71" t="s">
        <v>123</v>
      </c>
      <c r="D1059" s="38" t="str">
        <f t="shared" ref="D1059:L1059" si="349">IF(((D1057="")*AND(D1058="")),"",(D1057-D1058)*1)</f>
        <v/>
      </c>
      <c r="E1059" s="38" t="str">
        <f t="shared" si="349"/>
        <v/>
      </c>
      <c r="F1059" s="38" t="str">
        <f t="shared" si="349"/>
        <v/>
      </c>
      <c r="G1059" s="38" t="str">
        <f t="shared" si="349"/>
        <v/>
      </c>
      <c r="H1059" s="38" t="str">
        <f t="shared" si="349"/>
        <v/>
      </c>
      <c r="I1059" s="38" t="str">
        <f t="shared" si="349"/>
        <v/>
      </c>
      <c r="J1059" s="38" t="str">
        <f t="shared" si="349"/>
        <v/>
      </c>
      <c r="K1059" s="38" t="str">
        <f t="shared" si="349"/>
        <v/>
      </c>
      <c r="L1059" s="38" t="str">
        <f t="shared" si="349"/>
        <v/>
      </c>
      <c r="M1059" s="135"/>
      <c r="N1059" s="135"/>
      <c r="O1059" s="135"/>
      <c r="P1059" s="135"/>
      <c r="Q1059" s="135"/>
      <c r="R1059" s="135"/>
      <c r="S1059" s="135"/>
      <c r="T1059" s="136"/>
      <c r="U1059" s="135"/>
      <c r="V1059" s="159"/>
    </row>
    <row r="1060" spans="1:25" x14ac:dyDescent="0.3">
      <c r="A1060" s="154"/>
      <c r="B1060" s="129" t="s">
        <v>124</v>
      </c>
      <c r="C1060" s="71" t="s">
        <v>88</v>
      </c>
      <c r="M1060" s="69" t="str">
        <f>IF((L1061=""),"",MAX(D1062:L1062))</f>
        <v/>
      </c>
      <c r="N1060" s="69" t="str">
        <f>IF(L1061="","",MIN(D1062:L1062))</f>
        <v/>
      </c>
      <c r="O1060" s="69" t="str">
        <f>IF((L1062=""),"",AVERAGE(D1062:L1062))</f>
        <v/>
      </c>
      <c r="P1060" s="69">
        <v>1600</v>
      </c>
      <c r="Q1060" s="69">
        <v>2000</v>
      </c>
      <c r="R1060" s="69" t="str">
        <f>IF((L1061=""),"",((M1060-N1060)/(M1060+N1060))*100)</f>
        <v/>
      </c>
      <c r="S1060" s="69">
        <v>23</v>
      </c>
      <c r="T1060" s="130" t="str">
        <f>IF(L1061="","",IF(R1061&lt;20,(IF(O1060&gt;1730,IF(O1060&lt;1970,"Pass","Fail"),"Fail"))))</f>
        <v/>
      </c>
      <c r="U1060" s="153"/>
      <c r="V1060" s="159"/>
      <c r="W1060" s="56">
        <v>1730</v>
      </c>
      <c r="X1060" s="56">
        <v>1970</v>
      </c>
      <c r="Y1060" s="56">
        <v>6.2</v>
      </c>
    </row>
    <row r="1061" spans="1:25" x14ac:dyDescent="0.3">
      <c r="A1061" s="155"/>
      <c r="B1061" s="147"/>
      <c r="C1061" s="71" t="s">
        <v>89</v>
      </c>
      <c r="M1061" s="77"/>
      <c r="N1061" s="77"/>
      <c r="O1061" s="77"/>
      <c r="P1061" s="77"/>
      <c r="Q1061" s="77"/>
      <c r="R1061" s="77"/>
      <c r="S1061" s="77"/>
      <c r="T1061" s="132"/>
      <c r="U1061" s="77"/>
      <c r="V1061" s="159"/>
    </row>
    <row r="1062" spans="1:25" ht="39.9" x14ac:dyDescent="0.3">
      <c r="A1062" s="156"/>
      <c r="B1062" s="149"/>
      <c r="C1062" s="71" t="s">
        <v>123</v>
      </c>
      <c r="D1062" s="38" t="str">
        <f t="shared" ref="D1062:L1062" si="350">IF(((D1060="")*AND(D1061="")),"",(D1060-D1061)*1)</f>
        <v/>
      </c>
      <c r="E1062" s="38" t="str">
        <f t="shared" si="350"/>
        <v/>
      </c>
      <c r="F1062" s="38" t="str">
        <f t="shared" si="350"/>
        <v/>
      </c>
      <c r="G1062" s="38" t="str">
        <f t="shared" si="350"/>
        <v/>
      </c>
      <c r="H1062" s="38" t="str">
        <f t="shared" si="350"/>
        <v/>
      </c>
      <c r="I1062" s="38" t="str">
        <f t="shared" si="350"/>
        <v/>
      </c>
      <c r="J1062" s="38" t="str">
        <f t="shared" si="350"/>
        <v/>
      </c>
      <c r="K1062" s="38" t="str">
        <f t="shared" si="350"/>
        <v/>
      </c>
      <c r="L1062" s="38" t="str">
        <f t="shared" si="350"/>
        <v/>
      </c>
      <c r="M1062" s="135"/>
      <c r="N1062" s="135"/>
      <c r="O1062" s="135"/>
      <c r="P1062" s="135"/>
      <c r="Q1062" s="135"/>
      <c r="R1062" s="135"/>
      <c r="S1062" s="135"/>
      <c r="T1062" s="136"/>
      <c r="U1062" s="135"/>
      <c r="V1062" s="159"/>
    </row>
    <row r="1063" spans="1:25" x14ac:dyDescent="0.3">
      <c r="A1063" s="154"/>
      <c r="B1063" s="129" t="s">
        <v>124</v>
      </c>
      <c r="C1063" s="71" t="s">
        <v>88</v>
      </c>
      <c r="M1063" s="69" t="str">
        <f>IF((L1064=""),"",MAX(D1065:L1065))</f>
        <v/>
      </c>
      <c r="N1063" s="69" t="str">
        <f>IF(L1064="","",MIN(D1065:L1065))</f>
        <v/>
      </c>
      <c r="O1063" s="69" t="str">
        <f>IF((L1065=""),"",AVERAGE(D1065:L1065))</f>
        <v/>
      </c>
      <c r="P1063" s="69">
        <v>1600</v>
      </c>
      <c r="Q1063" s="69">
        <v>2000</v>
      </c>
      <c r="R1063" s="69" t="str">
        <f>IF((L1064=""),"",((M1063-N1063)/(M1063+N1063))*100)</f>
        <v/>
      </c>
      <c r="S1063" s="69">
        <v>23</v>
      </c>
      <c r="T1063" s="130" t="str">
        <f>IF(L1064="","",IF(R1064&lt;20,(IF(O1063&gt;1730,IF(O1063&lt;1970,"Pass","Fail"),"Fail"))))</f>
        <v/>
      </c>
      <c r="U1063" s="153"/>
      <c r="V1063" s="159"/>
      <c r="W1063" s="56">
        <v>1730</v>
      </c>
      <c r="X1063" s="56">
        <v>1970</v>
      </c>
      <c r="Y1063" s="56">
        <v>6.2</v>
      </c>
    </row>
    <row r="1064" spans="1:25" x14ac:dyDescent="0.3">
      <c r="A1064" s="155"/>
      <c r="B1064" s="147"/>
      <c r="C1064" s="71" t="s">
        <v>89</v>
      </c>
      <c r="M1064" s="77"/>
      <c r="N1064" s="77"/>
      <c r="O1064" s="77"/>
      <c r="P1064" s="77"/>
      <c r="Q1064" s="77"/>
      <c r="R1064" s="77"/>
      <c r="S1064" s="77"/>
      <c r="T1064" s="132"/>
      <c r="U1064" s="77"/>
      <c r="V1064" s="159"/>
    </row>
    <row r="1065" spans="1:25" ht="39.9" x14ac:dyDescent="0.3">
      <c r="A1065" s="156"/>
      <c r="B1065" s="149"/>
      <c r="C1065" s="71" t="s">
        <v>123</v>
      </c>
      <c r="D1065" s="38" t="str">
        <f t="shared" ref="D1065:L1065" si="351">IF(((D1063="")*AND(D1064="")),"",(D1063-D1064)*1)</f>
        <v/>
      </c>
      <c r="E1065" s="38" t="str">
        <f t="shared" si="351"/>
        <v/>
      </c>
      <c r="F1065" s="38" t="str">
        <f t="shared" si="351"/>
        <v/>
      </c>
      <c r="G1065" s="38" t="str">
        <f t="shared" si="351"/>
        <v/>
      </c>
      <c r="H1065" s="38" t="str">
        <f t="shared" si="351"/>
        <v/>
      </c>
      <c r="I1065" s="38" t="str">
        <f t="shared" si="351"/>
        <v/>
      </c>
      <c r="J1065" s="38" t="str">
        <f t="shared" si="351"/>
        <v/>
      </c>
      <c r="K1065" s="38" t="str">
        <f t="shared" si="351"/>
        <v/>
      </c>
      <c r="L1065" s="38" t="str">
        <f t="shared" si="351"/>
        <v/>
      </c>
      <c r="M1065" s="135"/>
      <c r="N1065" s="135"/>
      <c r="O1065" s="135"/>
      <c r="P1065" s="135"/>
      <c r="Q1065" s="135"/>
      <c r="R1065" s="135"/>
      <c r="S1065" s="135"/>
      <c r="T1065" s="136"/>
      <c r="U1065" s="135"/>
      <c r="V1065" s="159"/>
    </row>
    <row r="1066" spans="1:25" x14ac:dyDescent="0.3">
      <c r="A1066" s="154"/>
      <c r="B1066" s="129" t="s">
        <v>124</v>
      </c>
      <c r="C1066" s="71" t="s">
        <v>88</v>
      </c>
      <c r="M1066" s="69" t="str">
        <f>IF((L1067=""),"",MAX(D1068:L1068))</f>
        <v/>
      </c>
      <c r="N1066" s="69" t="str">
        <f>IF(L1067="","",MIN(D1068:L1068))</f>
        <v/>
      </c>
      <c r="O1066" s="69" t="str">
        <f>IF((L1068=""),"",AVERAGE(D1068:L1068))</f>
        <v/>
      </c>
      <c r="P1066" s="69">
        <v>1600</v>
      </c>
      <c r="Q1066" s="69">
        <v>2000</v>
      </c>
      <c r="R1066" s="69" t="str">
        <f>IF((L1067=""),"",((M1066-N1066)/(M1066+N1066))*100)</f>
        <v/>
      </c>
      <c r="S1066" s="69">
        <v>23</v>
      </c>
      <c r="T1066" s="130" t="str">
        <f>IF(L1067="","",IF(R1067&lt;20,(IF(O1066&gt;1730,IF(O1066&lt;1970,"Pass","Fail"),"Fail"))))</f>
        <v/>
      </c>
      <c r="U1066" s="153"/>
      <c r="V1066" s="159"/>
      <c r="W1066" s="56">
        <v>1730</v>
      </c>
      <c r="X1066" s="56">
        <v>1970</v>
      </c>
      <c r="Y1066" s="56">
        <v>6.2</v>
      </c>
    </row>
    <row r="1067" spans="1:25" x14ac:dyDescent="0.3">
      <c r="A1067" s="155"/>
      <c r="B1067" s="147"/>
      <c r="C1067" s="71" t="s">
        <v>89</v>
      </c>
      <c r="M1067" s="77"/>
      <c r="N1067" s="77"/>
      <c r="O1067" s="77"/>
      <c r="P1067" s="77"/>
      <c r="Q1067" s="77"/>
      <c r="R1067" s="77"/>
      <c r="S1067" s="77"/>
      <c r="T1067" s="132"/>
      <c r="U1067" s="77"/>
      <c r="V1067" s="159"/>
    </row>
    <row r="1068" spans="1:25" ht="39.9" x14ac:dyDescent="0.3">
      <c r="A1068" s="156"/>
      <c r="B1068" s="149"/>
      <c r="C1068" s="71" t="s">
        <v>123</v>
      </c>
      <c r="D1068" s="38" t="str">
        <f t="shared" ref="D1068:L1068" si="352">IF(((D1066="")*AND(D1067="")),"",(D1066-D1067)*1)</f>
        <v/>
      </c>
      <c r="E1068" s="38" t="str">
        <f t="shared" si="352"/>
        <v/>
      </c>
      <c r="F1068" s="38" t="str">
        <f t="shared" si="352"/>
        <v/>
      </c>
      <c r="G1068" s="38" t="str">
        <f t="shared" si="352"/>
        <v/>
      </c>
      <c r="H1068" s="38" t="str">
        <f t="shared" si="352"/>
        <v/>
      </c>
      <c r="I1068" s="38" t="str">
        <f t="shared" si="352"/>
        <v/>
      </c>
      <c r="J1068" s="38" t="str">
        <f t="shared" si="352"/>
        <v/>
      </c>
      <c r="K1068" s="38" t="str">
        <f t="shared" si="352"/>
        <v/>
      </c>
      <c r="L1068" s="38" t="str">
        <f t="shared" si="352"/>
        <v/>
      </c>
      <c r="M1068" s="135"/>
      <c r="N1068" s="135"/>
      <c r="O1068" s="135"/>
      <c r="P1068" s="135"/>
      <c r="Q1068" s="135"/>
      <c r="R1068" s="135"/>
      <c r="S1068" s="135"/>
      <c r="T1068" s="136"/>
      <c r="U1068" s="135"/>
      <c r="V1068" s="159"/>
    </row>
    <row r="1069" spans="1:25" x14ac:dyDescent="0.3">
      <c r="A1069" s="154"/>
      <c r="B1069" s="129" t="s">
        <v>124</v>
      </c>
      <c r="C1069" s="71" t="s">
        <v>88</v>
      </c>
      <c r="M1069" s="69" t="str">
        <f>IF((L1070=""),"",MAX(D1071:L1071))</f>
        <v/>
      </c>
      <c r="N1069" s="69" t="str">
        <f>IF(L1070="","",MIN(D1071:L1071))</f>
        <v/>
      </c>
      <c r="O1069" s="69" t="str">
        <f>IF((L1071=""),"",AVERAGE(D1071:L1071))</f>
        <v/>
      </c>
      <c r="P1069" s="69">
        <v>1600</v>
      </c>
      <c r="Q1069" s="69">
        <v>2000</v>
      </c>
      <c r="R1069" s="69" t="str">
        <f>IF((L1070=""),"",((M1069-N1069)/(M1069+N1069))*100)</f>
        <v/>
      </c>
      <c r="S1069" s="69">
        <v>23</v>
      </c>
      <c r="T1069" s="130" t="str">
        <f>IF(L1070="","",IF(R1070&lt;20,(IF(O1069&gt;1730,IF(O1069&lt;1970,"Pass","Fail"),"Fail"))))</f>
        <v/>
      </c>
      <c r="U1069" s="153"/>
      <c r="V1069" s="159"/>
      <c r="W1069" s="56">
        <v>1730</v>
      </c>
      <c r="X1069" s="56">
        <v>1970</v>
      </c>
      <c r="Y1069" s="56">
        <v>6.2</v>
      </c>
    </row>
    <row r="1070" spans="1:25" x14ac:dyDescent="0.3">
      <c r="A1070" s="155"/>
      <c r="B1070" s="147"/>
      <c r="C1070" s="71" t="s">
        <v>89</v>
      </c>
      <c r="M1070" s="77"/>
      <c r="N1070" s="77"/>
      <c r="O1070" s="77"/>
      <c r="P1070" s="77"/>
      <c r="Q1070" s="77"/>
      <c r="R1070" s="77"/>
      <c r="S1070" s="77"/>
      <c r="T1070" s="132"/>
      <c r="U1070" s="77"/>
      <c r="V1070" s="159"/>
    </row>
    <row r="1071" spans="1:25" ht="39.9" x14ac:dyDescent="0.3">
      <c r="A1071" s="156"/>
      <c r="B1071" s="149"/>
      <c r="C1071" s="71" t="s">
        <v>123</v>
      </c>
      <c r="D1071" s="38" t="str">
        <f t="shared" ref="D1071:L1071" si="353">IF(((D1069="")*AND(D1070="")),"",(D1069-D1070)*1)</f>
        <v/>
      </c>
      <c r="E1071" s="38" t="str">
        <f t="shared" si="353"/>
        <v/>
      </c>
      <c r="F1071" s="38" t="str">
        <f t="shared" si="353"/>
        <v/>
      </c>
      <c r="G1071" s="38" t="str">
        <f t="shared" si="353"/>
        <v/>
      </c>
      <c r="H1071" s="38" t="str">
        <f t="shared" si="353"/>
        <v/>
      </c>
      <c r="I1071" s="38" t="str">
        <f t="shared" si="353"/>
        <v/>
      </c>
      <c r="J1071" s="38" t="str">
        <f t="shared" si="353"/>
        <v/>
      </c>
      <c r="K1071" s="38" t="str">
        <f t="shared" si="353"/>
        <v/>
      </c>
      <c r="L1071" s="38" t="str">
        <f t="shared" si="353"/>
        <v/>
      </c>
      <c r="M1071" s="135"/>
      <c r="N1071" s="135"/>
      <c r="O1071" s="135"/>
      <c r="P1071" s="135"/>
      <c r="Q1071" s="135"/>
      <c r="R1071" s="135"/>
      <c r="S1071" s="135"/>
      <c r="T1071" s="136"/>
      <c r="U1071" s="135"/>
      <c r="V1071" s="159"/>
    </row>
    <row r="1072" spans="1:25" x14ac:dyDescent="0.3">
      <c r="A1072" s="154"/>
      <c r="B1072" s="129" t="s">
        <v>124</v>
      </c>
      <c r="C1072" s="71" t="s">
        <v>88</v>
      </c>
      <c r="M1072" s="69" t="str">
        <f>IF((L1073=""),"",MAX(D1074:L1074))</f>
        <v/>
      </c>
      <c r="N1072" s="69" t="str">
        <f>IF(L1073="","",MIN(D1074:L1074))</f>
        <v/>
      </c>
      <c r="O1072" s="69" t="str">
        <f>IF((L1074=""),"",AVERAGE(D1074:L1074))</f>
        <v/>
      </c>
      <c r="P1072" s="69">
        <v>1600</v>
      </c>
      <c r="Q1072" s="69">
        <v>2000</v>
      </c>
      <c r="R1072" s="69" t="str">
        <f>IF((L1073=""),"",((M1072-N1072)/(M1072+N1072))*100)</f>
        <v/>
      </c>
      <c r="S1072" s="69">
        <v>23</v>
      </c>
      <c r="T1072" s="130" t="str">
        <f>IF(L1073="","",IF(R1073&lt;20,(IF(O1072&gt;1730,IF(O1072&lt;1970,"Pass","Fail"),"Fail"))))</f>
        <v/>
      </c>
      <c r="U1072" s="153"/>
      <c r="V1072" s="159"/>
      <c r="W1072" s="56">
        <v>1730</v>
      </c>
      <c r="X1072" s="56">
        <v>1970</v>
      </c>
      <c r="Y1072" s="56">
        <v>6.2</v>
      </c>
    </row>
    <row r="1073" spans="1:25" x14ac:dyDescent="0.3">
      <c r="A1073" s="155"/>
      <c r="B1073" s="147"/>
      <c r="C1073" s="71" t="s">
        <v>89</v>
      </c>
      <c r="M1073" s="77"/>
      <c r="N1073" s="77"/>
      <c r="O1073" s="77"/>
      <c r="P1073" s="77"/>
      <c r="Q1073" s="77"/>
      <c r="R1073" s="77"/>
      <c r="S1073" s="77"/>
      <c r="T1073" s="132"/>
      <c r="U1073" s="77"/>
      <c r="V1073" s="159"/>
    </row>
    <row r="1074" spans="1:25" ht="39.9" x14ac:dyDescent="0.3">
      <c r="A1074" s="156"/>
      <c r="B1074" s="149"/>
      <c r="C1074" s="71" t="s">
        <v>123</v>
      </c>
      <c r="D1074" s="38" t="str">
        <f t="shared" ref="D1074:L1074" si="354">IF(((D1072="")*AND(D1073="")),"",(D1072-D1073)*1)</f>
        <v/>
      </c>
      <c r="E1074" s="38" t="str">
        <f t="shared" si="354"/>
        <v/>
      </c>
      <c r="F1074" s="38" t="str">
        <f t="shared" si="354"/>
        <v/>
      </c>
      <c r="G1074" s="38" t="str">
        <f t="shared" si="354"/>
        <v/>
      </c>
      <c r="H1074" s="38" t="str">
        <f t="shared" si="354"/>
        <v/>
      </c>
      <c r="I1074" s="38" t="str">
        <f t="shared" si="354"/>
        <v/>
      </c>
      <c r="J1074" s="38" t="str">
        <f t="shared" si="354"/>
        <v/>
      </c>
      <c r="K1074" s="38" t="str">
        <f t="shared" si="354"/>
        <v/>
      </c>
      <c r="L1074" s="38" t="str">
        <f t="shared" si="354"/>
        <v/>
      </c>
      <c r="M1074" s="135"/>
      <c r="N1074" s="135"/>
      <c r="O1074" s="135"/>
      <c r="P1074" s="135"/>
      <c r="Q1074" s="135"/>
      <c r="R1074" s="135"/>
      <c r="S1074" s="135"/>
      <c r="T1074" s="136"/>
      <c r="U1074" s="135"/>
      <c r="V1074" s="159"/>
    </row>
    <row r="1075" spans="1:25" x14ac:dyDescent="0.3">
      <c r="A1075" s="154"/>
      <c r="B1075" s="129" t="s">
        <v>124</v>
      </c>
      <c r="C1075" s="71" t="s">
        <v>88</v>
      </c>
      <c r="M1075" s="69" t="str">
        <f>IF((L1076=""),"",MAX(D1077:L1077))</f>
        <v/>
      </c>
      <c r="N1075" s="69" t="str">
        <f>IF(L1076="","",MIN(D1077:L1077))</f>
        <v/>
      </c>
      <c r="O1075" s="69" t="str">
        <f>IF((L1077=""),"",AVERAGE(D1077:L1077))</f>
        <v/>
      </c>
      <c r="P1075" s="69">
        <v>1600</v>
      </c>
      <c r="Q1075" s="69">
        <v>2000</v>
      </c>
      <c r="R1075" s="69" t="str">
        <f>IF((L1076=""),"",((M1075-N1075)/(M1075+N1075))*100)</f>
        <v/>
      </c>
      <c r="S1075" s="69">
        <v>23</v>
      </c>
      <c r="T1075" s="130" t="str">
        <f>IF(L1076="","",IF(R1076&lt;20,(IF(O1075&gt;1730,IF(O1075&lt;1970,"Pass","Fail"),"Fail"))))</f>
        <v/>
      </c>
      <c r="U1075" s="153"/>
      <c r="V1075" s="159"/>
      <c r="W1075" s="56">
        <v>1730</v>
      </c>
      <c r="X1075" s="56">
        <v>1970</v>
      </c>
      <c r="Y1075" s="56">
        <v>6.2</v>
      </c>
    </row>
    <row r="1076" spans="1:25" x14ac:dyDescent="0.3">
      <c r="A1076" s="155"/>
      <c r="B1076" s="147"/>
      <c r="C1076" s="71" t="s">
        <v>89</v>
      </c>
      <c r="M1076" s="77"/>
      <c r="N1076" s="77"/>
      <c r="O1076" s="77"/>
      <c r="P1076" s="77"/>
      <c r="Q1076" s="77"/>
      <c r="R1076" s="77"/>
      <c r="S1076" s="77"/>
      <c r="T1076" s="132"/>
      <c r="U1076" s="77"/>
      <c r="V1076" s="159"/>
    </row>
    <row r="1077" spans="1:25" ht="39.9" x14ac:dyDescent="0.3">
      <c r="A1077" s="156"/>
      <c r="B1077" s="149"/>
      <c r="C1077" s="71" t="s">
        <v>123</v>
      </c>
      <c r="D1077" s="38" t="str">
        <f t="shared" ref="D1077:L1077" si="355">IF(((D1075="")*AND(D1076="")),"",(D1075-D1076)*1)</f>
        <v/>
      </c>
      <c r="E1077" s="38" t="str">
        <f t="shared" si="355"/>
        <v/>
      </c>
      <c r="F1077" s="38" t="str">
        <f t="shared" si="355"/>
        <v/>
      </c>
      <c r="G1077" s="38" t="str">
        <f t="shared" si="355"/>
        <v/>
      </c>
      <c r="H1077" s="38" t="str">
        <f t="shared" si="355"/>
        <v/>
      </c>
      <c r="I1077" s="38" t="str">
        <f t="shared" si="355"/>
        <v/>
      </c>
      <c r="J1077" s="38" t="str">
        <f t="shared" si="355"/>
        <v/>
      </c>
      <c r="K1077" s="38" t="str">
        <f t="shared" si="355"/>
        <v/>
      </c>
      <c r="L1077" s="38" t="str">
        <f t="shared" si="355"/>
        <v/>
      </c>
      <c r="M1077" s="135"/>
      <c r="N1077" s="135"/>
      <c r="O1077" s="135"/>
      <c r="P1077" s="135"/>
      <c r="Q1077" s="135"/>
      <c r="R1077" s="135"/>
      <c r="S1077" s="135"/>
      <c r="T1077" s="136"/>
      <c r="U1077" s="135"/>
      <c r="V1077" s="159"/>
    </row>
    <row r="1078" spans="1:25" x14ac:dyDescent="0.3">
      <c r="A1078" s="154"/>
      <c r="B1078" s="129" t="s">
        <v>124</v>
      </c>
      <c r="C1078" s="71" t="s">
        <v>88</v>
      </c>
      <c r="M1078" s="69" t="str">
        <f>IF((L1079=""),"",MAX(D1080:L1080))</f>
        <v/>
      </c>
      <c r="N1078" s="69" t="str">
        <f>IF(L1079="","",MIN(D1080:L1080))</f>
        <v/>
      </c>
      <c r="O1078" s="69" t="str">
        <f>IF((L1080=""),"",AVERAGE(D1080:L1080))</f>
        <v/>
      </c>
      <c r="P1078" s="69">
        <v>1600</v>
      </c>
      <c r="Q1078" s="69">
        <v>2000</v>
      </c>
      <c r="R1078" s="69" t="str">
        <f>IF((L1079=""),"",((M1078-N1078)/(M1078+N1078))*100)</f>
        <v/>
      </c>
      <c r="S1078" s="69">
        <v>23</v>
      </c>
      <c r="T1078" s="130" t="str">
        <f>IF(L1079="","",IF(R1079&lt;20,(IF(O1078&gt;1730,IF(O1078&lt;1970,"Pass","Fail"),"Fail"))))</f>
        <v/>
      </c>
      <c r="U1078" s="153"/>
      <c r="V1078" s="159"/>
      <c r="W1078" s="56">
        <v>1730</v>
      </c>
      <c r="X1078" s="56">
        <v>1970</v>
      </c>
      <c r="Y1078" s="56">
        <v>6.2</v>
      </c>
    </row>
    <row r="1079" spans="1:25" x14ac:dyDescent="0.3">
      <c r="A1079" s="155"/>
      <c r="B1079" s="147"/>
      <c r="C1079" s="71" t="s">
        <v>89</v>
      </c>
      <c r="M1079" s="77"/>
      <c r="N1079" s="77"/>
      <c r="O1079" s="77"/>
      <c r="P1079" s="77"/>
      <c r="Q1079" s="77"/>
      <c r="R1079" s="77"/>
      <c r="S1079" s="77"/>
      <c r="T1079" s="132"/>
      <c r="U1079" s="77"/>
      <c r="V1079" s="159"/>
    </row>
    <row r="1080" spans="1:25" ht="39.9" x14ac:dyDescent="0.3">
      <c r="A1080" s="156"/>
      <c r="B1080" s="149"/>
      <c r="C1080" s="71" t="s">
        <v>123</v>
      </c>
      <c r="D1080" s="38" t="str">
        <f t="shared" ref="D1080:L1080" si="356">IF(((D1078="")*AND(D1079="")),"",(D1078-D1079)*1)</f>
        <v/>
      </c>
      <c r="E1080" s="38" t="str">
        <f t="shared" si="356"/>
        <v/>
      </c>
      <c r="F1080" s="38" t="str">
        <f t="shared" si="356"/>
        <v/>
      </c>
      <c r="G1080" s="38" t="str">
        <f t="shared" si="356"/>
        <v/>
      </c>
      <c r="H1080" s="38" t="str">
        <f t="shared" si="356"/>
        <v/>
      </c>
      <c r="I1080" s="38" t="str">
        <f t="shared" si="356"/>
        <v/>
      </c>
      <c r="J1080" s="38" t="str">
        <f t="shared" si="356"/>
        <v/>
      </c>
      <c r="K1080" s="38" t="str">
        <f t="shared" si="356"/>
        <v/>
      </c>
      <c r="L1080" s="38" t="str">
        <f t="shared" si="356"/>
        <v/>
      </c>
      <c r="M1080" s="135"/>
      <c r="N1080" s="135"/>
      <c r="O1080" s="135"/>
      <c r="P1080" s="135"/>
      <c r="Q1080" s="135"/>
      <c r="R1080" s="135"/>
      <c r="S1080" s="135"/>
      <c r="T1080" s="136"/>
      <c r="U1080" s="135"/>
      <c r="V1080" s="159"/>
    </row>
    <row r="1081" spans="1:25" x14ac:dyDescent="0.3">
      <c r="A1081" s="154"/>
      <c r="B1081" s="129" t="s">
        <v>124</v>
      </c>
      <c r="C1081" s="71" t="s">
        <v>88</v>
      </c>
      <c r="M1081" s="69" t="str">
        <f>IF((L1082=""),"",MAX(D1083:L1083))</f>
        <v/>
      </c>
      <c r="N1081" s="69" t="str">
        <f>IF(L1082="","",MIN(D1083:L1083))</f>
        <v/>
      </c>
      <c r="O1081" s="69" t="str">
        <f>IF((L1083=""),"",AVERAGE(D1083:L1083))</f>
        <v/>
      </c>
      <c r="P1081" s="69">
        <v>1600</v>
      </c>
      <c r="Q1081" s="69">
        <v>2000</v>
      </c>
      <c r="R1081" s="69" t="str">
        <f>IF((L1082=""),"",((M1081-N1081)/(M1081+N1081))*100)</f>
        <v/>
      </c>
      <c r="S1081" s="69">
        <v>23</v>
      </c>
      <c r="T1081" s="130" t="str">
        <f>IF(L1082="","",IF(R1082&lt;20,(IF(O1081&gt;1730,IF(O1081&lt;1970,"Pass","Fail"),"Fail"))))</f>
        <v/>
      </c>
      <c r="U1081" s="153"/>
      <c r="V1081" s="159"/>
      <c r="W1081" s="56">
        <v>1730</v>
      </c>
      <c r="X1081" s="56">
        <v>1970</v>
      </c>
      <c r="Y1081" s="56">
        <v>6.2</v>
      </c>
    </row>
    <row r="1082" spans="1:25" x14ac:dyDescent="0.3">
      <c r="A1082" s="155"/>
      <c r="B1082" s="147"/>
      <c r="C1082" s="71" t="s">
        <v>89</v>
      </c>
      <c r="M1082" s="77"/>
      <c r="N1082" s="77"/>
      <c r="O1082" s="77"/>
      <c r="P1082" s="77"/>
      <c r="Q1082" s="77"/>
      <c r="R1082" s="77"/>
      <c r="S1082" s="77"/>
      <c r="T1082" s="132"/>
      <c r="U1082" s="77"/>
      <c r="V1082" s="159"/>
    </row>
    <row r="1083" spans="1:25" ht="39.9" x14ac:dyDescent="0.3">
      <c r="A1083" s="156"/>
      <c r="B1083" s="149"/>
      <c r="C1083" s="71" t="s">
        <v>123</v>
      </c>
      <c r="D1083" s="38" t="str">
        <f t="shared" ref="D1083:L1083" si="357">IF(((D1081="")*AND(D1082="")),"",(D1081-D1082)*1)</f>
        <v/>
      </c>
      <c r="E1083" s="38" t="str">
        <f t="shared" si="357"/>
        <v/>
      </c>
      <c r="F1083" s="38" t="str">
        <f t="shared" si="357"/>
        <v/>
      </c>
      <c r="G1083" s="38" t="str">
        <f t="shared" si="357"/>
        <v/>
      </c>
      <c r="H1083" s="38" t="str">
        <f t="shared" si="357"/>
        <v/>
      </c>
      <c r="I1083" s="38" t="str">
        <f t="shared" si="357"/>
        <v/>
      </c>
      <c r="J1083" s="38" t="str">
        <f t="shared" si="357"/>
        <v/>
      </c>
      <c r="K1083" s="38" t="str">
        <f t="shared" si="357"/>
        <v/>
      </c>
      <c r="L1083" s="38" t="str">
        <f t="shared" si="357"/>
        <v/>
      </c>
      <c r="M1083" s="135"/>
      <c r="N1083" s="135"/>
      <c r="O1083" s="135"/>
      <c r="P1083" s="135"/>
      <c r="Q1083" s="135"/>
      <c r="R1083" s="135"/>
      <c r="S1083" s="135"/>
      <c r="T1083" s="136"/>
      <c r="U1083" s="135"/>
      <c r="V1083" s="159"/>
    </row>
    <row r="1084" spans="1:25" x14ac:dyDescent="0.3">
      <c r="A1084" s="154"/>
      <c r="B1084" s="129" t="s">
        <v>124</v>
      </c>
      <c r="C1084" s="71" t="s">
        <v>88</v>
      </c>
      <c r="M1084" s="69" t="str">
        <f>IF((L1085=""),"",MAX(D1086:L1086))</f>
        <v/>
      </c>
      <c r="N1084" s="69" t="str">
        <f>IF(L1085="","",MIN(D1086:L1086))</f>
        <v/>
      </c>
      <c r="O1084" s="69" t="str">
        <f>IF((L1086=""),"",AVERAGE(D1086:L1086))</f>
        <v/>
      </c>
      <c r="P1084" s="69">
        <v>1600</v>
      </c>
      <c r="Q1084" s="69">
        <v>2000</v>
      </c>
      <c r="R1084" s="69" t="str">
        <f>IF((L1085=""),"",((M1084-N1084)/(M1084+N1084))*100)</f>
        <v/>
      </c>
      <c r="S1084" s="69">
        <v>23</v>
      </c>
      <c r="T1084" s="130" t="str">
        <f>IF(L1085="","",IF(R1085&lt;20,(IF(O1084&gt;1730,IF(O1084&lt;1970,"Pass","Fail"),"Fail"))))</f>
        <v/>
      </c>
      <c r="U1084" s="153"/>
      <c r="V1084" s="159"/>
      <c r="W1084" s="56">
        <v>1730</v>
      </c>
      <c r="X1084" s="56">
        <v>1970</v>
      </c>
      <c r="Y1084" s="56">
        <v>6.2</v>
      </c>
    </row>
    <row r="1085" spans="1:25" x14ac:dyDescent="0.3">
      <c r="A1085" s="155"/>
      <c r="B1085" s="147"/>
      <c r="C1085" s="71" t="s">
        <v>89</v>
      </c>
      <c r="M1085" s="77"/>
      <c r="N1085" s="77"/>
      <c r="O1085" s="77"/>
      <c r="P1085" s="77"/>
      <c r="Q1085" s="77"/>
      <c r="R1085" s="77"/>
      <c r="S1085" s="77"/>
      <c r="T1085" s="132"/>
      <c r="U1085" s="77"/>
      <c r="V1085" s="159"/>
    </row>
    <row r="1086" spans="1:25" ht="39.9" x14ac:dyDescent="0.3">
      <c r="A1086" s="156"/>
      <c r="B1086" s="149"/>
      <c r="C1086" s="71" t="s">
        <v>123</v>
      </c>
      <c r="D1086" s="38" t="str">
        <f t="shared" ref="D1086:L1086" si="358">IF(((D1084="")*AND(D1085="")),"",(D1084-D1085)*1)</f>
        <v/>
      </c>
      <c r="E1086" s="38" t="str">
        <f t="shared" si="358"/>
        <v/>
      </c>
      <c r="F1086" s="38" t="str">
        <f t="shared" si="358"/>
        <v/>
      </c>
      <c r="G1086" s="38" t="str">
        <f t="shared" si="358"/>
        <v/>
      </c>
      <c r="H1086" s="38" t="str">
        <f t="shared" si="358"/>
        <v/>
      </c>
      <c r="I1086" s="38" t="str">
        <f t="shared" si="358"/>
        <v/>
      </c>
      <c r="J1086" s="38" t="str">
        <f t="shared" si="358"/>
        <v/>
      </c>
      <c r="K1086" s="38" t="str">
        <f t="shared" si="358"/>
        <v/>
      </c>
      <c r="L1086" s="38" t="str">
        <f t="shared" si="358"/>
        <v/>
      </c>
      <c r="M1086" s="135"/>
      <c r="N1086" s="135"/>
      <c r="O1086" s="135"/>
      <c r="P1086" s="135"/>
      <c r="Q1086" s="135"/>
      <c r="R1086" s="135"/>
      <c r="S1086" s="135"/>
      <c r="T1086" s="136"/>
      <c r="U1086" s="135"/>
      <c r="V1086" s="159"/>
    </row>
    <row r="1087" spans="1:25" x14ac:dyDescent="0.3">
      <c r="A1087" s="154"/>
      <c r="B1087" s="129" t="s">
        <v>124</v>
      </c>
      <c r="C1087" s="71" t="s">
        <v>88</v>
      </c>
      <c r="M1087" s="69" t="str">
        <f>IF((L1088=""),"",MAX(D1089:L1089))</f>
        <v/>
      </c>
      <c r="N1087" s="69" t="str">
        <f>IF(L1088="","",MIN(D1089:L1089))</f>
        <v/>
      </c>
      <c r="O1087" s="69" t="str">
        <f>IF((L1089=""),"",AVERAGE(D1089:L1089))</f>
        <v/>
      </c>
      <c r="P1087" s="69">
        <v>1600</v>
      </c>
      <c r="Q1087" s="69">
        <v>2000</v>
      </c>
      <c r="R1087" s="69" t="str">
        <f>IF((L1088=""),"",((M1087-N1087)/(M1087+N1087))*100)</f>
        <v/>
      </c>
      <c r="S1087" s="69">
        <v>23</v>
      </c>
      <c r="T1087" s="130" t="str">
        <f>IF(L1088="","",IF(R1088&lt;20,(IF(O1087&gt;1730,IF(O1087&lt;1970,"Pass","Fail"),"Fail"))))</f>
        <v/>
      </c>
      <c r="U1087" s="153"/>
      <c r="V1087" s="159"/>
      <c r="W1087" s="56">
        <v>1730</v>
      </c>
      <c r="X1087" s="56">
        <v>1970</v>
      </c>
      <c r="Y1087" s="56">
        <v>6.2</v>
      </c>
    </row>
    <row r="1088" spans="1:25" x14ac:dyDescent="0.3">
      <c r="A1088" s="155"/>
      <c r="B1088" s="147"/>
      <c r="C1088" s="71" t="s">
        <v>89</v>
      </c>
      <c r="M1088" s="77"/>
      <c r="N1088" s="77"/>
      <c r="O1088" s="77"/>
      <c r="P1088" s="77"/>
      <c r="Q1088" s="77"/>
      <c r="R1088" s="77"/>
      <c r="S1088" s="77"/>
      <c r="T1088" s="132"/>
      <c r="U1088" s="77"/>
      <c r="V1088" s="159"/>
    </row>
    <row r="1089" spans="1:25" ht="39.9" x14ac:dyDescent="0.3">
      <c r="A1089" s="156"/>
      <c r="B1089" s="149"/>
      <c r="C1089" s="71" t="s">
        <v>123</v>
      </c>
      <c r="D1089" s="38" t="str">
        <f t="shared" ref="D1089:L1089" si="359">IF(((D1087="")*AND(D1088="")),"",(D1087-D1088)*1)</f>
        <v/>
      </c>
      <c r="E1089" s="38" t="str">
        <f t="shared" si="359"/>
        <v/>
      </c>
      <c r="F1089" s="38" t="str">
        <f t="shared" si="359"/>
        <v/>
      </c>
      <c r="G1089" s="38" t="str">
        <f t="shared" si="359"/>
        <v/>
      </c>
      <c r="H1089" s="38" t="str">
        <f t="shared" si="359"/>
        <v/>
      </c>
      <c r="I1089" s="38" t="str">
        <f t="shared" si="359"/>
        <v/>
      </c>
      <c r="J1089" s="38" t="str">
        <f t="shared" si="359"/>
        <v/>
      </c>
      <c r="K1089" s="38" t="str">
        <f t="shared" si="359"/>
        <v/>
      </c>
      <c r="L1089" s="38" t="str">
        <f t="shared" si="359"/>
        <v/>
      </c>
      <c r="M1089" s="135"/>
      <c r="N1089" s="135"/>
      <c r="O1089" s="135"/>
      <c r="P1089" s="135"/>
      <c r="Q1089" s="135"/>
      <c r="R1089" s="135"/>
      <c r="S1089" s="135"/>
      <c r="T1089" s="136"/>
      <c r="U1089" s="135"/>
      <c r="V1089" s="159"/>
    </row>
    <row r="1090" spans="1:25" x14ac:dyDescent="0.3">
      <c r="A1090" s="154"/>
      <c r="B1090" s="129" t="s">
        <v>124</v>
      </c>
      <c r="C1090" s="71" t="s">
        <v>88</v>
      </c>
      <c r="M1090" s="69" t="str">
        <f>IF((L1091=""),"",MAX(D1092:L1092))</f>
        <v/>
      </c>
      <c r="N1090" s="69" t="str">
        <f>IF(L1091="","",MIN(D1092:L1092))</f>
        <v/>
      </c>
      <c r="O1090" s="69" t="str">
        <f>IF((L1092=""),"",AVERAGE(D1092:L1092))</f>
        <v/>
      </c>
      <c r="P1090" s="69">
        <v>1600</v>
      </c>
      <c r="Q1090" s="69">
        <v>2000</v>
      </c>
      <c r="R1090" s="69" t="str">
        <f>IF((L1091=""),"",((M1090-N1090)/(M1090+N1090))*100)</f>
        <v/>
      </c>
      <c r="S1090" s="69">
        <v>23</v>
      </c>
      <c r="T1090" s="130" t="str">
        <f>IF(L1091="","",IF(R1091&lt;20,(IF(O1090&gt;1730,IF(O1090&lt;1970,"Pass","Fail"),"Fail"))))</f>
        <v/>
      </c>
      <c r="U1090" s="153"/>
      <c r="V1090" s="159"/>
      <c r="W1090" s="56">
        <v>1730</v>
      </c>
      <c r="X1090" s="56">
        <v>1970</v>
      </c>
      <c r="Y1090" s="56">
        <v>6.2</v>
      </c>
    </row>
    <row r="1091" spans="1:25" x14ac:dyDescent="0.3">
      <c r="A1091" s="155"/>
      <c r="B1091" s="147"/>
      <c r="C1091" s="71" t="s">
        <v>89</v>
      </c>
      <c r="M1091" s="77"/>
      <c r="N1091" s="77"/>
      <c r="O1091" s="77"/>
      <c r="P1091" s="77"/>
      <c r="Q1091" s="77"/>
      <c r="R1091" s="77"/>
      <c r="S1091" s="77"/>
      <c r="T1091" s="132"/>
      <c r="U1091" s="77"/>
      <c r="V1091" s="159"/>
    </row>
    <row r="1092" spans="1:25" ht="39.9" x14ac:dyDescent="0.3">
      <c r="A1092" s="156"/>
      <c r="B1092" s="149"/>
      <c r="C1092" s="71" t="s">
        <v>123</v>
      </c>
      <c r="D1092" s="38" t="str">
        <f t="shared" ref="D1092:L1092" si="360">IF(((D1090="")*AND(D1091="")),"",(D1090-D1091)*1)</f>
        <v/>
      </c>
      <c r="E1092" s="38" t="str">
        <f t="shared" si="360"/>
        <v/>
      </c>
      <c r="F1092" s="38" t="str">
        <f t="shared" si="360"/>
        <v/>
      </c>
      <c r="G1092" s="38" t="str">
        <f t="shared" si="360"/>
        <v/>
      </c>
      <c r="H1092" s="38" t="str">
        <f t="shared" si="360"/>
        <v/>
      </c>
      <c r="I1092" s="38" t="str">
        <f t="shared" si="360"/>
        <v/>
      </c>
      <c r="J1092" s="38" t="str">
        <f t="shared" si="360"/>
        <v/>
      </c>
      <c r="K1092" s="38" t="str">
        <f t="shared" si="360"/>
        <v/>
      </c>
      <c r="L1092" s="38" t="str">
        <f t="shared" si="360"/>
        <v/>
      </c>
      <c r="M1092" s="135"/>
      <c r="N1092" s="135"/>
      <c r="O1092" s="135"/>
      <c r="P1092" s="135"/>
      <c r="Q1092" s="135"/>
      <c r="R1092" s="135"/>
      <c r="S1092" s="135"/>
      <c r="T1092" s="136"/>
      <c r="U1092" s="135"/>
      <c r="V1092" s="159"/>
    </row>
    <row r="1093" spans="1:25" x14ac:dyDescent="0.3">
      <c r="A1093" s="154"/>
      <c r="B1093" s="129" t="s">
        <v>124</v>
      </c>
      <c r="C1093" s="71" t="s">
        <v>88</v>
      </c>
      <c r="M1093" s="69" t="str">
        <f>IF((L1094=""),"",MAX(D1095:L1095))</f>
        <v/>
      </c>
      <c r="N1093" s="69" t="str">
        <f>IF(L1094="","",MIN(D1095:L1095))</f>
        <v/>
      </c>
      <c r="O1093" s="69" t="str">
        <f>IF((L1095=""),"",AVERAGE(D1095:L1095))</f>
        <v/>
      </c>
      <c r="P1093" s="69">
        <v>1600</v>
      </c>
      <c r="Q1093" s="69">
        <v>2000</v>
      </c>
      <c r="R1093" s="69" t="str">
        <f>IF((L1094=""),"",((M1093-N1093)/(M1093+N1093))*100)</f>
        <v/>
      </c>
      <c r="S1093" s="69">
        <v>23</v>
      </c>
      <c r="T1093" s="130" t="str">
        <f>IF(L1094="","",IF(R1094&lt;20,(IF(O1093&gt;1730,IF(O1093&lt;1970,"Pass","Fail"),"Fail"))))</f>
        <v/>
      </c>
      <c r="U1093" s="153"/>
      <c r="V1093" s="159"/>
      <c r="W1093" s="56">
        <v>1730</v>
      </c>
      <c r="X1093" s="56">
        <v>1970</v>
      </c>
      <c r="Y1093" s="56">
        <v>6.2</v>
      </c>
    </row>
    <row r="1094" spans="1:25" x14ac:dyDescent="0.3">
      <c r="A1094" s="155"/>
      <c r="B1094" s="147"/>
      <c r="C1094" s="71" t="s">
        <v>89</v>
      </c>
      <c r="M1094" s="77"/>
      <c r="N1094" s="77"/>
      <c r="O1094" s="77"/>
      <c r="P1094" s="77"/>
      <c r="Q1094" s="77"/>
      <c r="R1094" s="77"/>
      <c r="S1094" s="77"/>
      <c r="T1094" s="132"/>
      <c r="U1094" s="77"/>
      <c r="V1094" s="159"/>
    </row>
    <row r="1095" spans="1:25" ht="39.9" x14ac:dyDescent="0.3">
      <c r="A1095" s="156"/>
      <c r="B1095" s="149"/>
      <c r="C1095" s="71" t="s">
        <v>123</v>
      </c>
      <c r="D1095" s="38" t="str">
        <f t="shared" ref="D1095:L1095" si="361">IF(((D1093="")*AND(D1094="")),"",(D1093-D1094)*1)</f>
        <v/>
      </c>
      <c r="E1095" s="38" t="str">
        <f t="shared" si="361"/>
        <v/>
      </c>
      <c r="F1095" s="38" t="str">
        <f t="shared" si="361"/>
        <v/>
      </c>
      <c r="G1095" s="38" t="str">
        <f t="shared" si="361"/>
        <v/>
      </c>
      <c r="H1095" s="38" t="str">
        <f t="shared" si="361"/>
        <v/>
      </c>
      <c r="I1095" s="38" t="str">
        <f t="shared" si="361"/>
        <v/>
      </c>
      <c r="J1095" s="38" t="str">
        <f t="shared" si="361"/>
        <v/>
      </c>
      <c r="K1095" s="38" t="str">
        <f t="shared" si="361"/>
        <v/>
      </c>
      <c r="L1095" s="38" t="str">
        <f t="shared" si="361"/>
        <v/>
      </c>
      <c r="M1095" s="135"/>
      <c r="N1095" s="135"/>
      <c r="O1095" s="135"/>
      <c r="P1095" s="135"/>
      <c r="Q1095" s="135"/>
      <c r="R1095" s="135"/>
      <c r="S1095" s="135"/>
      <c r="T1095" s="136"/>
      <c r="U1095" s="135"/>
      <c r="V1095" s="159"/>
    </row>
    <row r="1096" spans="1:25" x14ac:dyDescent="0.3">
      <c r="A1096" s="154"/>
      <c r="B1096" s="129" t="s">
        <v>124</v>
      </c>
      <c r="C1096" s="71" t="s">
        <v>88</v>
      </c>
      <c r="M1096" s="69" t="str">
        <f>IF((L1097=""),"",MAX(D1098:L1098))</f>
        <v/>
      </c>
      <c r="N1096" s="69" t="str">
        <f>IF(L1097="","",MIN(D1098:L1098))</f>
        <v/>
      </c>
      <c r="O1096" s="69" t="str">
        <f>IF((L1098=""),"",AVERAGE(D1098:L1098))</f>
        <v/>
      </c>
      <c r="P1096" s="69">
        <v>1600</v>
      </c>
      <c r="Q1096" s="69">
        <v>2000</v>
      </c>
      <c r="R1096" s="69" t="str">
        <f>IF((L1097=""),"",((M1096-N1096)/(M1096+N1096))*100)</f>
        <v/>
      </c>
      <c r="S1096" s="69">
        <v>23</v>
      </c>
      <c r="T1096" s="130" t="str">
        <f>IF(L1097="","",IF(R1097&lt;20,(IF(O1096&gt;1730,IF(O1096&lt;1970,"Pass","Fail"),"Fail"))))</f>
        <v/>
      </c>
      <c r="U1096" s="153"/>
      <c r="V1096" s="159"/>
      <c r="W1096" s="56">
        <v>1730</v>
      </c>
      <c r="X1096" s="56">
        <v>1970</v>
      </c>
      <c r="Y1096" s="56">
        <v>6.2</v>
      </c>
    </row>
    <row r="1097" spans="1:25" x14ac:dyDescent="0.3">
      <c r="A1097" s="155"/>
      <c r="B1097" s="147"/>
      <c r="C1097" s="71" t="s">
        <v>89</v>
      </c>
      <c r="M1097" s="77"/>
      <c r="N1097" s="77"/>
      <c r="O1097" s="77"/>
      <c r="P1097" s="77"/>
      <c r="Q1097" s="77"/>
      <c r="R1097" s="77"/>
      <c r="S1097" s="77"/>
      <c r="T1097" s="132"/>
      <c r="U1097" s="77"/>
      <c r="V1097" s="159"/>
    </row>
    <row r="1098" spans="1:25" ht="39.9" x14ac:dyDescent="0.3">
      <c r="A1098" s="156"/>
      <c r="B1098" s="149"/>
      <c r="C1098" s="71" t="s">
        <v>123</v>
      </c>
      <c r="D1098" s="38" t="str">
        <f t="shared" ref="D1098:L1098" si="362">IF(((D1096="")*AND(D1097="")),"",(D1096-D1097)*1)</f>
        <v/>
      </c>
      <c r="E1098" s="38" t="str">
        <f t="shared" si="362"/>
        <v/>
      </c>
      <c r="F1098" s="38" t="str">
        <f t="shared" si="362"/>
        <v/>
      </c>
      <c r="G1098" s="38" t="str">
        <f t="shared" si="362"/>
        <v/>
      </c>
      <c r="H1098" s="38" t="str">
        <f t="shared" si="362"/>
        <v/>
      </c>
      <c r="I1098" s="38" t="str">
        <f t="shared" si="362"/>
        <v/>
      </c>
      <c r="J1098" s="38" t="str">
        <f t="shared" si="362"/>
        <v/>
      </c>
      <c r="K1098" s="38" t="str">
        <f t="shared" si="362"/>
        <v/>
      </c>
      <c r="L1098" s="38" t="str">
        <f t="shared" si="362"/>
        <v/>
      </c>
      <c r="M1098" s="135"/>
      <c r="N1098" s="135"/>
      <c r="O1098" s="135"/>
      <c r="P1098" s="135"/>
      <c r="Q1098" s="135"/>
      <c r="R1098" s="135"/>
      <c r="S1098" s="135"/>
      <c r="T1098" s="136"/>
      <c r="U1098" s="135"/>
      <c r="V1098" s="159"/>
    </row>
    <row r="1099" spans="1:25" x14ac:dyDescent="0.3">
      <c r="A1099" s="154"/>
      <c r="B1099" s="129" t="s">
        <v>124</v>
      </c>
      <c r="C1099" s="71" t="s">
        <v>88</v>
      </c>
      <c r="M1099" s="69" t="str">
        <f>IF((L1100=""),"",MAX(D1101:L1101))</f>
        <v/>
      </c>
      <c r="N1099" s="69" t="str">
        <f>IF(L1100="","",MIN(D1101:L1101))</f>
        <v/>
      </c>
      <c r="O1099" s="69" t="str">
        <f>IF((L1101=""),"",AVERAGE(D1101:L1101))</f>
        <v/>
      </c>
      <c r="P1099" s="69">
        <v>1600</v>
      </c>
      <c r="Q1099" s="69">
        <v>2000</v>
      </c>
      <c r="R1099" s="69" t="str">
        <f>IF((L1100=""),"",((M1099-N1099)/(M1099+N1099))*100)</f>
        <v/>
      </c>
      <c r="S1099" s="69">
        <v>23</v>
      </c>
      <c r="T1099" s="130" t="str">
        <f>IF(L1100="","",IF(R1100&lt;20,(IF(O1099&gt;1730,IF(O1099&lt;1970,"Pass","Fail"),"Fail"))))</f>
        <v/>
      </c>
      <c r="U1099" s="153"/>
      <c r="V1099" s="159"/>
      <c r="W1099" s="56">
        <v>1730</v>
      </c>
      <c r="X1099" s="56">
        <v>1970</v>
      </c>
      <c r="Y1099" s="56">
        <v>6.2</v>
      </c>
    </row>
    <row r="1100" spans="1:25" x14ac:dyDescent="0.3">
      <c r="A1100" s="155"/>
      <c r="B1100" s="147"/>
      <c r="C1100" s="71" t="s">
        <v>89</v>
      </c>
      <c r="M1100" s="77"/>
      <c r="N1100" s="77"/>
      <c r="O1100" s="77"/>
      <c r="P1100" s="77"/>
      <c r="Q1100" s="77"/>
      <c r="R1100" s="77"/>
      <c r="S1100" s="77"/>
      <c r="T1100" s="132"/>
      <c r="U1100" s="77"/>
      <c r="V1100" s="159"/>
    </row>
    <row r="1101" spans="1:25" ht="39.9" x14ac:dyDescent="0.3">
      <c r="A1101" s="156"/>
      <c r="B1101" s="149"/>
      <c r="C1101" s="71" t="s">
        <v>123</v>
      </c>
      <c r="D1101" s="38" t="str">
        <f t="shared" ref="D1101:L1101" si="363">IF(((D1099="")*AND(D1100="")),"",(D1099-D1100)*1)</f>
        <v/>
      </c>
      <c r="E1101" s="38" t="str">
        <f t="shared" si="363"/>
        <v/>
      </c>
      <c r="F1101" s="38" t="str">
        <f t="shared" si="363"/>
        <v/>
      </c>
      <c r="G1101" s="38" t="str">
        <f t="shared" si="363"/>
        <v/>
      </c>
      <c r="H1101" s="38" t="str">
        <f t="shared" si="363"/>
        <v/>
      </c>
      <c r="I1101" s="38" t="str">
        <f t="shared" si="363"/>
        <v/>
      </c>
      <c r="J1101" s="38" t="str">
        <f t="shared" si="363"/>
        <v/>
      </c>
      <c r="K1101" s="38" t="str">
        <f t="shared" si="363"/>
        <v/>
      </c>
      <c r="L1101" s="38" t="str">
        <f t="shared" si="363"/>
        <v/>
      </c>
      <c r="M1101" s="135"/>
      <c r="N1101" s="135"/>
      <c r="O1101" s="135"/>
      <c r="P1101" s="135"/>
      <c r="Q1101" s="135"/>
      <c r="R1101" s="135"/>
      <c r="S1101" s="135"/>
      <c r="T1101" s="136"/>
      <c r="U1101" s="135"/>
      <c r="V1101" s="159"/>
    </row>
    <row r="1102" spans="1:25" x14ac:dyDescent="0.3">
      <c r="A1102" s="154"/>
      <c r="B1102" s="129" t="s">
        <v>124</v>
      </c>
      <c r="C1102" s="71" t="s">
        <v>88</v>
      </c>
      <c r="M1102" s="69" t="str">
        <f>IF((L1103=""),"",MAX(D1104:L1104))</f>
        <v/>
      </c>
      <c r="N1102" s="69" t="str">
        <f>IF(L1103="","",MIN(D1104:L1104))</f>
        <v/>
      </c>
      <c r="O1102" s="69" t="str">
        <f>IF((L1104=""),"",AVERAGE(D1104:L1104))</f>
        <v/>
      </c>
      <c r="P1102" s="69">
        <v>1600</v>
      </c>
      <c r="Q1102" s="69">
        <v>2000</v>
      </c>
      <c r="R1102" s="69" t="str">
        <f>IF((L1103=""),"",((M1102-N1102)/(M1102+N1102))*100)</f>
        <v/>
      </c>
      <c r="S1102" s="69">
        <v>23</v>
      </c>
      <c r="T1102" s="130" t="str">
        <f>IF(L1103="","",IF(R1103&lt;20,(IF(O1102&gt;1730,IF(O1102&lt;1970,"Pass","Fail"),"Fail"))))</f>
        <v/>
      </c>
      <c r="U1102" s="153"/>
      <c r="V1102" s="159"/>
      <c r="W1102" s="56">
        <v>1730</v>
      </c>
      <c r="X1102" s="56">
        <v>1970</v>
      </c>
      <c r="Y1102" s="56">
        <v>6.2</v>
      </c>
    </row>
    <row r="1103" spans="1:25" x14ac:dyDescent="0.3">
      <c r="A1103" s="155"/>
      <c r="B1103" s="147"/>
      <c r="C1103" s="71" t="s">
        <v>89</v>
      </c>
      <c r="M1103" s="77"/>
      <c r="N1103" s="77"/>
      <c r="O1103" s="77"/>
      <c r="P1103" s="77"/>
      <c r="Q1103" s="77"/>
      <c r="R1103" s="77"/>
      <c r="S1103" s="77"/>
      <c r="T1103" s="132"/>
      <c r="U1103" s="77"/>
      <c r="V1103" s="159"/>
    </row>
    <row r="1104" spans="1:25" ht="39.9" x14ac:dyDescent="0.3">
      <c r="A1104" s="156"/>
      <c r="B1104" s="149"/>
      <c r="C1104" s="71" t="s">
        <v>123</v>
      </c>
      <c r="D1104" s="38" t="str">
        <f t="shared" ref="D1104:L1104" si="364">IF(((D1102="")*AND(D1103="")),"",(D1102-D1103)*1)</f>
        <v/>
      </c>
      <c r="E1104" s="38" t="str">
        <f t="shared" si="364"/>
        <v/>
      </c>
      <c r="F1104" s="38" t="str">
        <f t="shared" si="364"/>
        <v/>
      </c>
      <c r="G1104" s="38" t="str">
        <f t="shared" si="364"/>
        <v/>
      </c>
      <c r="H1104" s="38" t="str">
        <f t="shared" si="364"/>
        <v/>
      </c>
      <c r="I1104" s="38" t="str">
        <f t="shared" si="364"/>
        <v/>
      </c>
      <c r="J1104" s="38" t="str">
        <f t="shared" si="364"/>
        <v/>
      </c>
      <c r="K1104" s="38" t="str">
        <f t="shared" si="364"/>
        <v/>
      </c>
      <c r="L1104" s="38" t="str">
        <f t="shared" si="364"/>
        <v/>
      </c>
      <c r="M1104" s="135"/>
      <c r="N1104" s="135"/>
      <c r="O1104" s="135"/>
      <c r="P1104" s="135"/>
      <c r="Q1104" s="135"/>
      <c r="R1104" s="135"/>
      <c r="S1104" s="135"/>
      <c r="T1104" s="136"/>
      <c r="U1104" s="135"/>
      <c r="V1104" s="159"/>
    </row>
    <row r="1105" spans="1:25" x14ac:dyDescent="0.3">
      <c r="A1105" s="154"/>
      <c r="B1105" s="129" t="s">
        <v>124</v>
      </c>
      <c r="C1105" s="71" t="s">
        <v>88</v>
      </c>
      <c r="M1105" s="69" t="str">
        <f>IF((L1106=""),"",MAX(D1107:L1107))</f>
        <v/>
      </c>
      <c r="N1105" s="69" t="str">
        <f>IF(L1106="","",MIN(D1107:L1107))</f>
        <v/>
      </c>
      <c r="O1105" s="69" t="str">
        <f>IF((L1107=""),"",AVERAGE(D1107:L1107))</f>
        <v/>
      </c>
      <c r="P1105" s="69">
        <v>1600</v>
      </c>
      <c r="Q1105" s="69">
        <v>2000</v>
      </c>
      <c r="R1105" s="69" t="str">
        <f>IF((L1106=""),"",((M1105-N1105)/(M1105+N1105))*100)</f>
        <v/>
      </c>
      <c r="S1105" s="69">
        <v>23</v>
      </c>
      <c r="T1105" s="130" t="str">
        <f>IF(L1106="","",IF(R1106&lt;20,(IF(O1105&gt;1730,IF(O1105&lt;1970,"Pass","Fail"),"Fail"))))</f>
        <v/>
      </c>
      <c r="U1105" s="153"/>
      <c r="V1105" s="159"/>
      <c r="W1105" s="56">
        <v>1730</v>
      </c>
      <c r="X1105" s="56">
        <v>1970</v>
      </c>
      <c r="Y1105" s="56">
        <v>6.2</v>
      </c>
    </row>
    <row r="1106" spans="1:25" x14ac:dyDescent="0.3">
      <c r="A1106" s="155"/>
      <c r="B1106" s="147"/>
      <c r="C1106" s="71" t="s">
        <v>89</v>
      </c>
      <c r="M1106" s="77"/>
      <c r="N1106" s="77"/>
      <c r="O1106" s="77"/>
      <c r="P1106" s="77"/>
      <c r="Q1106" s="77"/>
      <c r="R1106" s="77"/>
      <c r="S1106" s="77"/>
      <c r="T1106" s="132"/>
      <c r="U1106" s="77"/>
      <c r="V1106" s="159"/>
    </row>
    <row r="1107" spans="1:25" ht="39.9" x14ac:dyDescent="0.3">
      <c r="A1107" s="156"/>
      <c r="B1107" s="149"/>
      <c r="C1107" s="71" t="s">
        <v>123</v>
      </c>
      <c r="D1107" s="38" t="str">
        <f t="shared" ref="D1107:L1107" si="365">IF(((D1105="")*AND(D1106="")),"",(D1105-D1106)*1)</f>
        <v/>
      </c>
      <c r="E1107" s="38" t="str">
        <f t="shared" si="365"/>
        <v/>
      </c>
      <c r="F1107" s="38" t="str">
        <f t="shared" si="365"/>
        <v/>
      </c>
      <c r="G1107" s="38" t="str">
        <f t="shared" si="365"/>
        <v/>
      </c>
      <c r="H1107" s="38" t="str">
        <f t="shared" si="365"/>
        <v/>
      </c>
      <c r="I1107" s="38" t="str">
        <f t="shared" si="365"/>
        <v/>
      </c>
      <c r="J1107" s="38" t="str">
        <f t="shared" si="365"/>
        <v/>
      </c>
      <c r="K1107" s="38" t="str">
        <f t="shared" si="365"/>
        <v/>
      </c>
      <c r="L1107" s="38" t="str">
        <f t="shared" si="365"/>
        <v/>
      </c>
      <c r="M1107" s="135"/>
      <c r="N1107" s="135"/>
      <c r="O1107" s="135"/>
      <c r="P1107" s="135"/>
      <c r="Q1107" s="135"/>
      <c r="R1107" s="135"/>
      <c r="S1107" s="135"/>
      <c r="T1107" s="136"/>
      <c r="U1107" s="135"/>
      <c r="V1107" s="159"/>
    </row>
    <row r="1108" spans="1:25" x14ac:dyDescent="0.3">
      <c r="A1108" s="154"/>
      <c r="B1108" s="129" t="s">
        <v>124</v>
      </c>
      <c r="C1108" s="71" t="s">
        <v>88</v>
      </c>
      <c r="M1108" s="69" t="str">
        <f>IF((L1109=""),"",MAX(D1110:L1110))</f>
        <v/>
      </c>
      <c r="N1108" s="69" t="str">
        <f>IF(L1109="","",MIN(D1110:L1110))</f>
        <v/>
      </c>
      <c r="O1108" s="69" t="str">
        <f>IF((L1110=""),"",AVERAGE(D1110:L1110))</f>
        <v/>
      </c>
      <c r="P1108" s="69">
        <v>1600</v>
      </c>
      <c r="Q1108" s="69">
        <v>2000</v>
      </c>
      <c r="R1108" s="69" t="str">
        <f>IF((L1109=""),"",((M1108-N1108)/(M1108+N1108))*100)</f>
        <v/>
      </c>
      <c r="S1108" s="69">
        <v>23</v>
      </c>
      <c r="T1108" s="130" t="str">
        <f>IF(L1109="","",IF(R1109&lt;20,(IF(O1108&gt;1730,IF(O1108&lt;1970,"Pass","Fail"),"Fail"))))</f>
        <v/>
      </c>
      <c r="U1108" s="153"/>
      <c r="V1108" s="159"/>
      <c r="W1108" s="56">
        <v>1730</v>
      </c>
      <c r="X1108" s="56">
        <v>1970</v>
      </c>
      <c r="Y1108" s="56">
        <v>6.2</v>
      </c>
    </row>
    <row r="1109" spans="1:25" x14ac:dyDescent="0.3">
      <c r="A1109" s="155"/>
      <c r="B1109" s="147"/>
      <c r="C1109" s="71" t="s">
        <v>89</v>
      </c>
      <c r="M1109" s="77"/>
      <c r="N1109" s="77"/>
      <c r="O1109" s="77"/>
      <c r="P1109" s="77"/>
      <c r="Q1109" s="77"/>
      <c r="R1109" s="77"/>
      <c r="S1109" s="77"/>
      <c r="T1109" s="132"/>
      <c r="U1109" s="77"/>
      <c r="V1109" s="159"/>
    </row>
    <row r="1110" spans="1:25" ht="39.9" x14ac:dyDescent="0.3">
      <c r="A1110" s="156"/>
      <c r="B1110" s="149"/>
      <c r="C1110" s="71" t="s">
        <v>123</v>
      </c>
      <c r="D1110" s="38" t="str">
        <f t="shared" ref="D1110:L1110" si="366">IF(((D1108="")*AND(D1109="")),"",(D1108-D1109)*1)</f>
        <v/>
      </c>
      <c r="E1110" s="38" t="str">
        <f t="shared" si="366"/>
        <v/>
      </c>
      <c r="F1110" s="38" t="str">
        <f t="shared" si="366"/>
        <v/>
      </c>
      <c r="G1110" s="38" t="str">
        <f t="shared" si="366"/>
        <v/>
      </c>
      <c r="H1110" s="38" t="str">
        <f t="shared" si="366"/>
        <v/>
      </c>
      <c r="I1110" s="38" t="str">
        <f t="shared" si="366"/>
        <v/>
      </c>
      <c r="J1110" s="38" t="str">
        <f t="shared" si="366"/>
        <v/>
      </c>
      <c r="K1110" s="38" t="str">
        <f t="shared" si="366"/>
        <v/>
      </c>
      <c r="L1110" s="38" t="str">
        <f t="shared" si="366"/>
        <v/>
      </c>
      <c r="M1110" s="135"/>
      <c r="N1110" s="135"/>
      <c r="O1110" s="135"/>
      <c r="P1110" s="135"/>
      <c r="Q1110" s="135"/>
      <c r="R1110" s="135"/>
      <c r="S1110" s="135"/>
      <c r="T1110" s="136"/>
      <c r="U1110" s="135"/>
      <c r="V1110" s="159"/>
    </row>
    <row r="1111" spans="1:25" x14ac:dyDescent="0.3">
      <c r="A1111" s="154"/>
      <c r="B1111" s="129" t="s">
        <v>124</v>
      </c>
      <c r="C1111" s="71" t="s">
        <v>88</v>
      </c>
      <c r="M1111" s="69" t="str">
        <f>IF((L1112=""),"",MAX(D1113:L1113))</f>
        <v/>
      </c>
      <c r="N1111" s="69" t="str">
        <f>IF(L1112="","",MIN(D1113:L1113))</f>
        <v/>
      </c>
      <c r="O1111" s="69" t="str">
        <f>IF((L1113=""),"",AVERAGE(D1113:L1113))</f>
        <v/>
      </c>
      <c r="P1111" s="69">
        <v>1600</v>
      </c>
      <c r="Q1111" s="69">
        <v>2000</v>
      </c>
      <c r="R1111" s="69" t="str">
        <f>IF((L1112=""),"",((M1111-N1111)/(M1111+N1111))*100)</f>
        <v/>
      </c>
      <c r="S1111" s="69">
        <v>23</v>
      </c>
      <c r="T1111" s="130" t="str">
        <f>IF(L1112="","",IF(R1112&lt;20,(IF(O1111&gt;1730,IF(O1111&lt;1970,"Pass","Fail"),"Fail"))))</f>
        <v/>
      </c>
      <c r="U1111" s="153"/>
      <c r="V1111" s="159"/>
      <c r="W1111" s="56">
        <v>1730</v>
      </c>
      <c r="X1111" s="56">
        <v>1970</v>
      </c>
      <c r="Y1111" s="56">
        <v>6.2</v>
      </c>
    </row>
    <row r="1112" spans="1:25" x14ac:dyDescent="0.3">
      <c r="A1112" s="155"/>
      <c r="B1112" s="147"/>
      <c r="C1112" s="71" t="s">
        <v>89</v>
      </c>
      <c r="M1112" s="77"/>
      <c r="N1112" s="77"/>
      <c r="O1112" s="77"/>
      <c r="P1112" s="77"/>
      <c r="Q1112" s="77"/>
      <c r="R1112" s="77"/>
      <c r="S1112" s="77"/>
      <c r="T1112" s="132"/>
      <c r="U1112" s="77"/>
      <c r="V1112" s="159"/>
    </row>
    <row r="1113" spans="1:25" ht="39.9" x14ac:dyDescent="0.3">
      <c r="A1113" s="156"/>
      <c r="B1113" s="149"/>
      <c r="C1113" s="71" t="s">
        <v>123</v>
      </c>
      <c r="D1113" s="38" t="str">
        <f t="shared" ref="D1113:L1113" si="367">IF(((D1111="")*AND(D1112="")),"",(D1111-D1112)*1)</f>
        <v/>
      </c>
      <c r="E1113" s="38" t="str">
        <f t="shared" si="367"/>
        <v/>
      </c>
      <c r="F1113" s="38" t="str">
        <f t="shared" si="367"/>
        <v/>
      </c>
      <c r="G1113" s="38" t="str">
        <f t="shared" si="367"/>
        <v/>
      </c>
      <c r="H1113" s="38" t="str">
        <f t="shared" si="367"/>
        <v/>
      </c>
      <c r="I1113" s="38" t="str">
        <f t="shared" si="367"/>
        <v/>
      </c>
      <c r="J1113" s="38" t="str">
        <f t="shared" si="367"/>
        <v/>
      </c>
      <c r="K1113" s="38" t="str">
        <f t="shared" si="367"/>
        <v/>
      </c>
      <c r="L1113" s="38" t="str">
        <f t="shared" si="367"/>
        <v/>
      </c>
      <c r="M1113" s="135"/>
      <c r="N1113" s="135"/>
      <c r="O1113" s="135"/>
      <c r="P1113" s="135"/>
      <c r="Q1113" s="135"/>
      <c r="R1113" s="135"/>
      <c r="S1113" s="135"/>
      <c r="T1113" s="136"/>
      <c r="U1113" s="135"/>
      <c r="V1113" s="159"/>
    </row>
    <row r="1114" spans="1:25" x14ac:dyDescent="0.3">
      <c r="A1114" s="154"/>
      <c r="B1114" s="129" t="s">
        <v>124</v>
      </c>
      <c r="C1114" s="71" t="s">
        <v>88</v>
      </c>
      <c r="M1114" s="69" t="str">
        <f>IF((L1115=""),"",MAX(D1116:L1116))</f>
        <v/>
      </c>
      <c r="N1114" s="69" t="str">
        <f>IF(L1115="","",MIN(D1116:L1116))</f>
        <v/>
      </c>
      <c r="O1114" s="69" t="str">
        <f>IF((L1116=""),"",AVERAGE(D1116:L1116))</f>
        <v/>
      </c>
      <c r="P1114" s="69">
        <v>1600</v>
      </c>
      <c r="Q1114" s="69">
        <v>2000</v>
      </c>
      <c r="R1114" s="69" t="str">
        <f>IF((L1115=""),"",((M1114-N1114)/(M1114+N1114))*100)</f>
        <v/>
      </c>
      <c r="S1114" s="69">
        <v>23</v>
      </c>
      <c r="T1114" s="130" t="str">
        <f>IF(L1115="","",IF(R1115&lt;20,(IF(O1114&gt;1730,IF(O1114&lt;1970,"Pass","Fail"),"Fail"))))</f>
        <v/>
      </c>
      <c r="U1114" s="153"/>
      <c r="V1114" s="159"/>
      <c r="W1114" s="56">
        <v>1730</v>
      </c>
      <c r="X1114" s="56">
        <v>1970</v>
      </c>
      <c r="Y1114" s="56">
        <v>6.2</v>
      </c>
    </row>
    <row r="1115" spans="1:25" x14ac:dyDescent="0.3">
      <c r="A1115" s="155"/>
      <c r="B1115" s="147"/>
      <c r="C1115" s="71" t="s">
        <v>89</v>
      </c>
      <c r="M1115" s="77"/>
      <c r="N1115" s="77"/>
      <c r="O1115" s="77"/>
      <c r="P1115" s="77"/>
      <c r="Q1115" s="77"/>
      <c r="R1115" s="77"/>
      <c r="S1115" s="77"/>
      <c r="T1115" s="132"/>
      <c r="U1115" s="77"/>
      <c r="V1115" s="159"/>
    </row>
    <row r="1116" spans="1:25" ht="39.9" x14ac:dyDescent="0.3">
      <c r="A1116" s="156"/>
      <c r="B1116" s="149"/>
      <c r="C1116" s="71" t="s">
        <v>123</v>
      </c>
      <c r="D1116" s="38" t="str">
        <f t="shared" ref="D1116:L1116" si="368">IF(((D1114="")*AND(D1115="")),"",(D1114-D1115)*1)</f>
        <v/>
      </c>
      <c r="E1116" s="38" t="str">
        <f t="shared" si="368"/>
        <v/>
      </c>
      <c r="F1116" s="38" t="str">
        <f t="shared" si="368"/>
        <v/>
      </c>
      <c r="G1116" s="38" t="str">
        <f t="shared" si="368"/>
        <v/>
      </c>
      <c r="H1116" s="38" t="str">
        <f t="shared" si="368"/>
        <v/>
      </c>
      <c r="I1116" s="38" t="str">
        <f t="shared" si="368"/>
        <v/>
      </c>
      <c r="J1116" s="38" t="str">
        <f t="shared" si="368"/>
        <v/>
      </c>
      <c r="K1116" s="38" t="str">
        <f t="shared" si="368"/>
        <v/>
      </c>
      <c r="L1116" s="38" t="str">
        <f t="shared" si="368"/>
        <v/>
      </c>
      <c r="M1116" s="135"/>
      <c r="N1116" s="135"/>
      <c r="O1116" s="135"/>
      <c r="P1116" s="135"/>
      <c r="Q1116" s="135"/>
      <c r="R1116" s="135"/>
      <c r="S1116" s="135"/>
      <c r="T1116" s="136"/>
      <c r="U1116" s="135"/>
      <c r="V1116" s="159"/>
    </row>
    <row r="1117" spans="1:25" x14ac:dyDescent="0.3">
      <c r="A1117" s="154"/>
      <c r="B1117" s="129" t="s">
        <v>124</v>
      </c>
      <c r="C1117" s="71" t="s">
        <v>88</v>
      </c>
      <c r="M1117" s="69" t="str">
        <f>IF((L1118=""),"",MAX(D1119:L1119))</f>
        <v/>
      </c>
      <c r="N1117" s="69" t="str">
        <f>IF(L1118="","",MIN(D1119:L1119))</f>
        <v/>
      </c>
      <c r="O1117" s="69" t="str">
        <f>IF((L1119=""),"",AVERAGE(D1119:L1119))</f>
        <v/>
      </c>
      <c r="P1117" s="69">
        <v>1600</v>
      </c>
      <c r="Q1117" s="69">
        <v>2000</v>
      </c>
      <c r="R1117" s="69" t="str">
        <f>IF((L1118=""),"",((M1117-N1117)/(M1117+N1117))*100)</f>
        <v/>
      </c>
      <c r="S1117" s="69">
        <v>23</v>
      </c>
      <c r="T1117" s="130" t="str">
        <f>IF(L1118="","",IF(R1118&lt;20,(IF(O1117&gt;1730,IF(O1117&lt;1970,"Pass","Fail"),"Fail"))))</f>
        <v/>
      </c>
      <c r="U1117" s="153"/>
      <c r="V1117" s="159"/>
      <c r="W1117" s="56">
        <v>1730</v>
      </c>
      <c r="X1117" s="56">
        <v>1970</v>
      </c>
      <c r="Y1117" s="56">
        <v>6.2</v>
      </c>
    </row>
    <row r="1118" spans="1:25" x14ac:dyDescent="0.3">
      <c r="A1118" s="155"/>
      <c r="B1118" s="147"/>
      <c r="C1118" s="71" t="s">
        <v>89</v>
      </c>
      <c r="M1118" s="77"/>
      <c r="N1118" s="77"/>
      <c r="O1118" s="77"/>
      <c r="P1118" s="77"/>
      <c r="Q1118" s="77"/>
      <c r="R1118" s="77"/>
      <c r="S1118" s="77"/>
      <c r="T1118" s="132"/>
      <c r="U1118" s="77"/>
      <c r="V1118" s="159"/>
    </row>
    <row r="1119" spans="1:25" ht="39.9" x14ac:dyDescent="0.3">
      <c r="A1119" s="156"/>
      <c r="B1119" s="149"/>
      <c r="C1119" s="71" t="s">
        <v>123</v>
      </c>
      <c r="D1119" s="38" t="str">
        <f t="shared" ref="D1119:L1119" si="369">IF(((D1117="")*AND(D1118="")),"",(D1117-D1118)*1)</f>
        <v/>
      </c>
      <c r="E1119" s="38" t="str">
        <f t="shared" si="369"/>
        <v/>
      </c>
      <c r="F1119" s="38" t="str">
        <f t="shared" si="369"/>
        <v/>
      </c>
      <c r="G1119" s="38" t="str">
        <f t="shared" si="369"/>
        <v/>
      </c>
      <c r="H1119" s="38" t="str">
        <f t="shared" si="369"/>
        <v/>
      </c>
      <c r="I1119" s="38" t="str">
        <f t="shared" si="369"/>
        <v/>
      </c>
      <c r="J1119" s="38" t="str">
        <f t="shared" si="369"/>
        <v/>
      </c>
      <c r="K1119" s="38" t="str">
        <f t="shared" si="369"/>
        <v/>
      </c>
      <c r="L1119" s="38" t="str">
        <f t="shared" si="369"/>
        <v/>
      </c>
      <c r="M1119" s="135"/>
      <c r="N1119" s="135"/>
      <c r="O1119" s="135"/>
      <c r="P1119" s="135"/>
      <c r="Q1119" s="135"/>
      <c r="R1119" s="135"/>
      <c r="S1119" s="135"/>
      <c r="T1119" s="136"/>
      <c r="U1119" s="135"/>
      <c r="V1119" s="159"/>
    </row>
    <row r="1120" spans="1:25" x14ac:dyDescent="0.3">
      <c r="A1120" s="154"/>
      <c r="B1120" s="129" t="s">
        <v>124</v>
      </c>
      <c r="C1120" s="71" t="s">
        <v>88</v>
      </c>
      <c r="M1120" s="69" t="str">
        <f>IF((L1121=""),"",MAX(D1122:L1122))</f>
        <v/>
      </c>
      <c r="N1120" s="69" t="str">
        <f>IF(L1121="","",MIN(D1122:L1122))</f>
        <v/>
      </c>
      <c r="O1120" s="69" t="str">
        <f>IF((L1122=""),"",AVERAGE(D1122:L1122))</f>
        <v/>
      </c>
      <c r="P1120" s="69">
        <v>1600</v>
      </c>
      <c r="Q1120" s="69">
        <v>2000</v>
      </c>
      <c r="R1120" s="69" t="str">
        <f>IF((L1121=""),"",((M1120-N1120)/(M1120+N1120))*100)</f>
        <v/>
      </c>
      <c r="S1120" s="69">
        <v>23</v>
      </c>
      <c r="T1120" s="130" t="str">
        <f>IF(L1121="","",IF(R1121&lt;20,(IF(O1120&gt;1730,IF(O1120&lt;1970,"Pass","Fail"),"Fail"))))</f>
        <v/>
      </c>
      <c r="U1120" s="153"/>
      <c r="V1120" s="159"/>
      <c r="W1120" s="56">
        <v>1730</v>
      </c>
      <c r="X1120" s="56">
        <v>1970</v>
      </c>
      <c r="Y1120" s="56">
        <v>6.2</v>
      </c>
    </row>
    <row r="1121" spans="1:25" x14ac:dyDescent="0.3">
      <c r="A1121" s="155"/>
      <c r="B1121" s="147"/>
      <c r="C1121" s="71" t="s">
        <v>89</v>
      </c>
      <c r="M1121" s="77"/>
      <c r="N1121" s="77"/>
      <c r="O1121" s="77"/>
      <c r="P1121" s="77"/>
      <c r="Q1121" s="77"/>
      <c r="R1121" s="77"/>
      <c r="S1121" s="77"/>
      <c r="T1121" s="132"/>
      <c r="U1121" s="77"/>
      <c r="V1121" s="159"/>
    </row>
    <row r="1122" spans="1:25" ht="39.9" x14ac:dyDescent="0.3">
      <c r="A1122" s="156"/>
      <c r="B1122" s="149"/>
      <c r="C1122" s="71" t="s">
        <v>123</v>
      </c>
      <c r="D1122" s="38" t="str">
        <f t="shared" ref="D1122:L1122" si="370">IF(((D1120="")*AND(D1121="")),"",(D1120-D1121)*1)</f>
        <v/>
      </c>
      <c r="E1122" s="38" t="str">
        <f t="shared" si="370"/>
        <v/>
      </c>
      <c r="F1122" s="38" t="str">
        <f t="shared" si="370"/>
        <v/>
      </c>
      <c r="G1122" s="38" t="str">
        <f t="shared" si="370"/>
        <v/>
      </c>
      <c r="H1122" s="38" t="str">
        <f t="shared" si="370"/>
        <v/>
      </c>
      <c r="I1122" s="38" t="str">
        <f t="shared" si="370"/>
        <v/>
      </c>
      <c r="J1122" s="38" t="str">
        <f t="shared" si="370"/>
        <v/>
      </c>
      <c r="K1122" s="38" t="str">
        <f t="shared" si="370"/>
        <v/>
      </c>
      <c r="L1122" s="38" t="str">
        <f t="shared" si="370"/>
        <v/>
      </c>
      <c r="M1122" s="135"/>
      <c r="N1122" s="135"/>
      <c r="O1122" s="135"/>
      <c r="P1122" s="135"/>
      <c r="Q1122" s="135"/>
      <c r="R1122" s="135"/>
      <c r="S1122" s="135"/>
      <c r="T1122" s="136"/>
      <c r="U1122" s="135"/>
      <c r="V1122" s="159"/>
    </row>
    <row r="1123" spans="1:25" x14ac:dyDescent="0.3">
      <c r="A1123" s="154"/>
      <c r="B1123" s="129" t="s">
        <v>124</v>
      </c>
      <c r="C1123" s="71" t="s">
        <v>88</v>
      </c>
      <c r="M1123" s="69" t="str">
        <f>IF((L1124=""),"",MAX(D1125:L1125))</f>
        <v/>
      </c>
      <c r="N1123" s="69" t="str">
        <f>IF(L1124="","",MIN(D1125:L1125))</f>
        <v/>
      </c>
      <c r="O1123" s="69" t="str">
        <f>IF((L1125=""),"",AVERAGE(D1125:L1125))</f>
        <v/>
      </c>
      <c r="P1123" s="69">
        <v>1600</v>
      </c>
      <c r="Q1123" s="69">
        <v>2000</v>
      </c>
      <c r="R1123" s="69" t="str">
        <f>IF((L1124=""),"",((M1123-N1123)/(M1123+N1123))*100)</f>
        <v/>
      </c>
      <c r="S1123" s="69">
        <v>23</v>
      </c>
      <c r="T1123" s="130" t="str">
        <f>IF(L1124="","",IF(R1124&lt;20,(IF(O1123&gt;1730,IF(O1123&lt;1970,"Pass","Fail"),"Fail"))))</f>
        <v/>
      </c>
      <c r="U1123" s="153"/>
      <c r="V1123" s="159"/>
      <c r="W1123" s="56">
        <v>1730</v>
      </c>
      <c r="X1123" s="56">
        <v>1970</v>
      </c>
      <c r="Y1123" s="56">
        <v>6.2</v>
      </c>
    </row>
    <row r="1124" spans="1:25" x14ac:dyDescent="0.3">
      <c r="A1124" s="155"/>
      <c r="B1124" s="147"/>
      <c r="C1124" s="71" t="s">
        <v>89</v>
      </c>
      <c r="M1124" s="77"/>
      <c r="N1124" s="77"/>
      <c r="O1124" s="77"/>
      <c r="P1124" s="77"/>
      <c r="Q1124" s="77"/>
      <c r="R1124" s="77"/>
      <c r="S1124" s="77"/>
      <c r="T1124" s="132"/>
      <c r="U1124" s="77"/>
      <c r="V1124" s="159"/>
    </row>
    <row r="1125" spans="1:25" ht="39.9" x14ac:dyDescent="0.3">
      <c r="A1125" s="156"/>
      <c r="B1125" s="149"/>
      <c r="C1125" s="71" t="s">
        <v>123</v>
      </c>
      <c r="D1125" s="38" t="str">
        <f t="shared" ref="D1125:L1125" si="371">IF(((D1123="")*AND(D1124="")),"",(D1123-D1124)*1)</f>
        <v/>
      </c>
      <c r="E1125" s="38" t="str">
        <f t="shared" si="371"/>
        <v/>
      </c>
      <c r="F1125" s="38" t="str">
        <f t="shared" si="371"/>
        <v/>
      </c>
      <c r="G1125" s="38" t="str">
        <f t="shared" si="371"/>
        <v/>
      </c>
      <c r="H1125" s="38" t="str">
        <f t="shared" si="371"/>
        <v/>
      </c>
      <c r="I1125" s="38" t="str">
        <f t="shared" si="371"/>
        <v/>
      </c>
      <c r="J1125" s="38" t="str">
        <f t="shared" si="371"/>
        <v/>
      </c>
      <c r="K1125" s="38" t="str">
        <f t="shared" si="371"/>
        <v/>
      </c>
      <c r="L1125" s="38" t="str">
        <f t="shared" si="371"/>
        <v/>
      </c>
      <c r="M1125" s="135"/>
      <c r="N1125" s="135"/>
      <c r="O1125" s="135"/>
      <c r="P1125" s="135"/>
      <c r="Q1125" s="135"/>
      <c r="R1125" s="135"/>
      <c r="S1125" s="135"/>
      <c r="T1125" s="136"/>
      <c r="U1125" s="135"/>
      <c r="V1125" s="159"/>
    </row>
    <row r="1126" spans="1:25" x14ac:dyDescent="0.3">
      <c r="A1126" s="154"/>
      <c r="B1126" s="129" t="s">
        <v>124</v>
      </c>
      <c r="C1126" s="71" t="s">
        <v>88</v>
      </c>
      <c r="M1126" s="69" t="str">
        <f>IF((L1127=""),"",MAX(D1128:L1128))</f>
        <v/>
      </c>
      <c r="N1126" s="69" t="str">
        <f>IF(L1127="","",MIN(D1128:L1128))</f>
        <v/>
      </c>
      <c r="O1126" s="69" t="str">
        <f>IF((L1128=""),"",AVERAGE(D1128:L1128))</f>
        <v/>
      </c>
      <c r="P1126" s="69">
        <v>1600</v>
      </c>
      <c r="Q1126" s="69">
        <v>2000</v>
      </c>
      <c r="R1126" s="69" t="str">
        <f>IF((L1127=""),"",((M1126-N1126)/(M1126+N1126))*100)</f>
        <v/>
      </c>
      <c r="S1126" s="69">
        <v>23</v>
      </c>
      <c r="T1126" s="130" t="str">
        <f>IF(L1127="","",IF(R1127&lt;20,(IF(O1126&gt;1730,IF(O1126&lt;1970,"Pass","Fail"),"Fail"))))</f>
        <v/>
      </c>
      <c r="U1126" s="153"/>
      <c r="V1126" s="159"/>
      <c r="W1126" s="56">
        <v>1730</v>
      </c>
      <c r="X1126" s="56">
        <v>1970</v>
      </c>
      <c r="Y1126" s="56">
        <v>6.2</v>
      </c>
    </row>
    <row r="1127" spans="1:25" x14ac:dyDescent="0.3">
      <c r="A1127" s="155"/>
      <c r="B1127" s="147"/>
      <c r="C1127" s="71" t="s">
        <v>89</v>
      </c>
      <c r="M1127" s="77"/>
      <c r="N1127" s="77"/>
      <c r="O1127" s="77"/>
      <c r="P1127" s="77"/>
      <c r="Q1127" s="77"/>
      <c r="R1127" s="77"/>
      <c r="S1127" s="77"/>
      <c r="T1127" s="132"/>
      <c r="U1127" s="77"/>
      <c r="V1127" s="159"/>
    </row>
    <row r="1128" spans="1:25" ht="39.9" x14ac:dyDescent="0.3">
      <c r="A1128" s="156"/>
      <c r="B1128" s="149"/>
      <c r="C1128" s="71" t="s">
        <v>123</v>
      </c>
      <c r="D1128" s="38" t="str">
        <f t="shared" ref="D1128:L1128" si="372">IF(((D1126="")*AND(D1127="")),"",(D1126-D1127)*1)</f>
        <v/>
      </c>
      <c r="E1128" s="38" t="str">
        <f t="shared" si="372"/>
        <v/>
      </c>
      <c r="F1128" s="38" t="str">
        <f t="shared" si="372"/>
        <v/>
      </c>
      <c r="G1128" s="38" t="str">
        <f t="shared" si="372"/>
        <v/>
      </c>
      <c r="H1128" s="38" t="str">
        <f t="shared" si="372"/>
        <v/>
      </c>
      <c r="I1128" s="38" t="str">
        <f t="shared" si="372"/>
        <v/>
      </c>
      <c r="J1128" s="38" t="str">
        <f t="shared" si="372"/>
        <v/>
      </c>
      <c r="K1128" s="38" t="str">
        <f t="shared" si="372"/>
        <v/>
      </c>
      <c r="L1128" s="38" t="str">
        <f t="shared" si="372"/>
        <v/>
      </c>
      <c r="M1128" s="135"/>
      <c r="N1128" s="135"/>
      <c r="O1128" s="135"/>
      <c r="P1128" s="135"/>
      <c r="Q1128" s="135"/>
      <c r="R1128" s="135"/>
      <c r="S1128" s="135"/>
      <c r="T1128" s="136"/>
      <c r="U1128" s="135"/>
      <c r="V1128" s="159"/>
    </row>
    <row r="1129" spans="1:25" x14ac:dyDescent="0.3">
      <c r="A1129" s="154"/>
      <c r="B1129" s="129" t="s">
        <v>124</v>
      </c>
      <c r="C1129" s="71" t="s">
        <v>88</v>
      </c>
      <c r="M1129" s="69" t="str">
        <f>IF((L1130=""),"",MAX(D1131:L1131))</f>
        <v/>
      </c>
      <c r="N1129" s="69" t="str">
        <f>IF(L1130="","",MIN(D1131:L1131))</f>
        <v/>
      </c>
      <c r="O1129" s="69" t="str">
        <f>IF((L1131=""),"",AVERAGE(D1131:L1131))</f>
        <v/>
      </c>
      <c r="P1129" s="69">
        <v>1600</v>
      </c>
      <c r="Q1129" s="69">
        <v>2000</v>
      </c>
      <c r="R1129" s="69" t="str">
        <f>IF((L1130=""),"",((M1129-N1129)/(M1129+N1129))*100)</f>
        <v/>
      </c>
      <c r="S1129" s="69">
        <v>23</v>
      </c>
      <c r="T1129" s="130" t="str">
        <f>IF(L1130="","",IF(R1130&lt;20,(IF(O1129&gt;1730,IF(O1129&lt;1970,"Pass","Fail"),"Fail"))))</f>
        <v/>
      </c>
      <c r="U1129" s="153"/>
      <c r="V1129" s="159"/>
      <c r="W1129" s="56">
        <v>1730</v>
      </c>
      <c r="X1129" s="56">
        <v>1970</v>
      </c>
      <c r="Y1129" s="56">
        <v>6.2</v>
      </c>
    </row>
    <row r="1130" spans="1:25" x14ac:dyDescent="0.3">
      <c r="A1130" s="155"/>
      <c r="B1130" s="147"/>
      <c r="C1130" s="71" t="s">
        <v>89</v>
      </c>
      <c r="M1130" s="77"/>
      <c r="N1130" s="77"/>
      <c r="O1130" s="77"/>
      <c r="P1130" s="77"/>
      <c r="Q1130" s="77"/>
      <c r="R1130" s="77"/>
      <c r="S1130" s="77"/>
      <c r="T1130" s="132"/>
      <c r="U1130" s="77"/>
      <c r="V1130" s="159"/>
    </row>
    <row r="1131" spans="1:25" ht="39.9" x14ac:dyDescent="0.3">
      <c r="A1131" s="156"/>
      <c r="B1131" s="149"/>
      <c r="C1131" s="71" t="s">
        <v>123</v>
      </c>
      <c r="D1131" s="38" t="str">
        <f t="shared" ref="D1131:L1131" si="373">IF(((D1129="")*AND(D1130="")),"",(D1129-D1130)*1)</f>
        <v/>
      </c>
      <c r="E1131" s="38" t="str">
        <f t="shared" si="373"/>
        <v/>
      </c>
      <c r="F1131" s="38" t="str">
        <f t="shared" si="373"/>
        <v/>
      </c>
      <c r="G1131" s="38" t="str">
        <f t="shared" si="373"/>
        <v/>
      </c>
      <c r="H1131" s="38" t="str">
        <f t="shared" si="373"/>
        <v/>
      </c>
      <c r="I1131" s="38" t="str">
        <f t="shared" si="373"/>
        <v/>
      </c>
      <c r="J1131" s="38" t="str">
        <f t="shared" si="373"/>
        <v/>
      </c>
      <c r="K1131" s="38" t="str">
        <f t="shared" si="373"/>
        <v/>
      </c>
      <c r="L1131" s="38" t="str">
        <f t="shared" si="373"/>
        <v/>
      </c>
      <c r="M1131" s="135"/>
      <c r="N1131" s="135"/>
      <c r="O1131" s="135"/>
      <c r="P1131" s="135"/>
      <c r="Q1131" s="135"/>
      <c r="R1131" s="135"/>
      <c r="S1131" s="135"/>
      <c r="T1131" s="136"/>
      <c r="U1131" s="135"/>
      <c r="V1131" s="159"/>
    </row>
    <row r="1132" spans="1:25" x14ac:dyDescent="0.3">
      <c r="A1132" s="154"/>
      <c r="B1132" s="129" t="s">
        <v>124</v>
      </c>
      <c r="C1132" s="71" t="s">
        <v>88</v>
      </c>
      <c r="M1132" s="69" t="str">
        <f>IF((L1133=""),"",MAX(D1134:L1134))</f>
        <v/>
      </c>
      <c r="N1132" s="69" t="str">
        <f>IF(L1133="","",MIN(D1134:L1134))</f>
        <v/>
      </c>
      <c r="O1132" s="69" t="str">
        <f>IF((L1134=""),"",AVERAGE(D1134:L1134))</f>
        <v/>
      </c>
      <c r="P1132" s="69">
        <v>1600</v>
      </c>
      <c r="Q1132" s="69">
        <v>2000</v>
      </c>
      <c r="R1132" s="69" t="str">
        <f>IF((L1133=""),"",((M1132-N1132)/(M1132+N1132))*100)</f>
        <v/>
      </c>
      <c r="S1132" s="69">
        <v>23</v>
      </c>
      <c r="T1132" s="130" t="str">
        <f>IF(L1133="","",IF(R1133&lt;20,(IF(O1132&gt;1730,IF(O1132&lt;1970,"Pass","Fail"),"Fail"))))</f>
        <v/>
      </c>
      <c r="U1132" s="153"/>
      <c r="V1132" s="159"/>
      <c r="W1132" s="56">
        <v>1730</v>
      </c>
      <c r="X1132" s="56">
        <v>1970</v>
      </c>
      <c r="Y1132" s="56">
        <v>6.2</v>
      </c>
    </row>
    <row r="1133" spans="1:25" x14ac:dyDescent="0.3">
      <c r="A1133" s="155"/>
      <c r="B1133" s="147"/>
      <c r="C1133" s="71" t="s">
        <v>89</v>
      </c>
      <c r="M1133" s="77"/>
      <c r="N1133" s="77"/>
      <c r="O1133" s="77"/>
      <c r="P1133" s="77"/>
      <c r="Q1133" s="77"/>
      <c r="R1133" s="77"/>
      <c r="S1133" s="77"/>
      <c r="T1133" s="132"/>
      <c r="U1133" s="77"/>
      <c r="V1133" s="159"/>
    </row>
    <row r="1134" spans="1:25" ht="39.9" x14ac:dyDescent="0.3">
      <c r="A1134" s="156"/>
      <c r="B1134" s="149"/>
      <c r="C1134" s="71" t="s">
        <v>123</v>
      </c>
      <c r="D1134" s="38" t="str">
        <f t="shared" ref="D1134:L1134" si="374">IF(((D1132="")*AND(D1133="")),"",(D1132-D1133)*1)</f>
        <v/>
      </c>
      <c r="E1134" s="38" t="str">
        <f t="shared" si="374"/>
        <v/>
      </c>
      <c r="F1134" s="38" t="str">
        <f t="shared" si="374"/>
        <v/>
      </c>
      <c r="G1134" s="38" t="str">
        <f t="shared" si="374"/>
        <v/>
      </c>
      <c r="H1134" s="38" t="str">
        <f t="shared" si="374"/>
        <v/>
      </c>
      <c r="I1134" s="38" t="str">
        <f t="shared" si="374"/>
        <v/>
      </c>
      <c r="J1134" s="38" t="str">
        <f t="shared" si="374"/>
        <v/>
      </c>
      <c r="K1134" s="38" t="str">
        <f t="shared" si="374"/>
        <v/>
      </c>
      <c r="L1134" s="38" t="str">
        <f t="shared" si="374"/>
        <v/>
      </c>
      <c r="M1134" s="135"/>
      <c r="N1134" s="135"/>
      <c r="O1134" s="135"/>
      <c r="P1134" s="135"/>
      <c r="Q1134" s="135"/>
      <c r="R1134" s="135"/>
      <c r="S1134" s="135"/>
      <c r="T1134" s="136"/>
      <c r="U1134" s="135"/>
      <c r="V1134" s="159"/>
    </row>
    <row r="1135" spans="1:25" x14ac:dyDescent="0.3">
      <c r="A1135" s="154"/>
      <c r="B1135" s="129" t="s">
        <v>124</v>
      </c>
      <c r="C1135" s="71" t="s">
        <v>88</v>
      </c>
      <c r="M1135" s="69" t="str">
        <f>IF((L1136=""),"",MAX(D1137:L1137))</f>
        <v/>
      </c>
      <c r="N1135" s="69" t="str">
        <f>IF(L1136="","",MIN(D1137:L1137))</f>
        <v/>
      </c>
      <c r="O1135" s="69" t="str">
        <f>IF((L1137=""),"",AVERAGE(D1137:L1137))</f>
        <v/>
      </c>
      <c r="P1135" s="69">
        <v>1600</v>
      </c>
      <c r="Q1135" s="69">
        <v>2000</v>
      </c>
      <c r="R1135" s="69" t="str">
        <f>IF((L1136=""),"",((M1135-N1135)/(M1135+N1135))*100)</f>
        <v/>
      </c>
      <c r="S1135" s="69">
        <v>23</v>
      </c>
      <c r="T1135" s="130" t="str">
        <f>IF(L1136="","",IF(R1136&lt;20,(IF(O1135&gt;1730,IF(O1135&lt;1970,"Pass","Fail"),"Fail"))))</f>
        <v/>
      </c>
      <c r="U1135" s="153"/>
      <c r="V1135" s="159"/>
      <c r="W1135" s="56">
        <v>1730</v>
      </c>
      <c r="X1135" s="56">
        <v>1970</v>
      </c>
      <c r="Y1135" s="56">
        <v>6.2</v>
      </c>
    </row>
    <row r="1136" spans="1:25" x14ac:dyDescent="0.3">
      <c r="A1136" s="155"/>
      <c r="B1136" s="147"/>
      <c r="C1136" s="71" t="s">
        <v>89</v>
      </c>
      <c r="M1136" s="77"/>
      <c r="N1136" s="77"/>
      <c r="O1136" s="77"/>
      <c r="P1136" s="77"/>
      <c r="Q1136" s="77"/>
      <c r="R1136" s="77"/>
      <c r="S1136" s="77"/>
      <c r="T1136" s="132"/>
      <c r="U1136" s="77"/>
      <c r="V1136" s="159"/>
    </row>
    <row r="1137" spans="1:25" ht="39.9" x14ac:dyDescent="0.3">
      <c r="A1137" s="156"/>
      <c r="B1137" s="149"/>
      <c r="C1137" s="71" t="s">
        <v>123</v>
      </c>
      <c r="D1137" s="38" t="str">
        <f t="shared" ref="D1137:L1137" si="375">IF(((D1135="")*AND(D1136="")),"",(D1135-D1136)*1)</f>
        <v/>
      </c>
      <c r="E1137" s="38" t="str">
        <f t="shared" si="375"/>
        <v/>
      </c>
      <c r="F1137" s="38" t="str">
        <f t="shared" si="375"/>
        <v/>
      </c>
      <c r="G1137" s="38" t="str">
        <f t="shared" si="375"/>
        <v/>
      </c>
      <c r="H1137" s="38" t="str">
        <f t="shared" si="375"/>
        <v/>
      </c>
      <c r="I1137" s="38" t="str">
        <f t="shared" si="375"/>
        <v/>
      </c>
      <c r="J1137" s="38" t="str">
        <f t="shared" si="375"/>
        <v/>
      </c>
      <c r="K1137" s="38" t="str">
        <f t="shared" si="375"/>
        <v/>
      </c>
      <c r="L1137" s="38" t="str">
        <f t="shared" si="375"/>
        <v/>
      </c>
      <c r="M1137" s="135"/>
      <c r="N1137" s="135"/>
      <c r="O1137" s="135"/>
      <c r="P1137" s="135"/>
      <c r="Q1137" s="135"/>
      <c r="R1137" s="135"/>
      <c r="S1137" s="135"/>
      <c r="T1137" s="136"/>
      <c r="U1137" s="135"/>
      <c r="V1137" s="159"/>
    </row>
    <row r="1138" spans="1:25" x14ac:dyDescent="0.3">
      <c r="A1138" s="154"/>
      <c r="B1138" s="129" t="s">
        <v>124</v>
      </c>
      <c r="C1138" s="71" t="s">
        <v>88</v>
      </c>
      <c r="M1138" s="69" t="str">
        <f>IF((L1139=""),"",MAX(D1140:L1140))</f>
        <v/>
      </c>
      <c r="N1138" s="69" t="str">
        <f>IF(L1139="","",MIN(D1140:L1140))</f>
        <v/>
      </c>
      <c r="O1138" s="69" t="str">
        <f>IF((L1140=""),"",AVERAGE(D1140:L1140))</f>
        <v/>
      </c>
      <c r="P1138" s="69">
        <v>1600</v>
      </c>
      <c r="Q1138" s="69">
        <v>2000</v>
      </c>
      <c r="R1138" s="69" t="str">
        <f>IF((L1139=""),"",((M1138-N1138)/(M1138+N1138))*100)</f>
        <v/>
      </c>
      <c r="S1138" s="69">
        <v>23</v>
      </c>
      <c r="T1138" s="130" t="str">
        <f>IF(L1139="","",IF(R1139&lt;20,(IF(O1138&gt;1730,IF(O1138&lt;1970,"Pass","Fail"),"Fail"))))</f>
        <v/>
      </c>
      <c r="U1138" s="153"/>
      <c r="V1138" s="159"/>
      <c r="W1138" s="56">
        <v>1730</v>
      </c>
      <c r="X1138" s="56">
        <v>1970</v>
      </c>
      <c r="Y1138" s="56">
        <v>6.2</v>
      </c>
    </row>
    <row r="1139" spans="1:25" x14ac:dyDescent="0.3">
      <c r="A1139" s="155"/>
      <c r="B1139" s="147"/>
      <c r="C1139" s="71" t="s">
        <v>89</v>
      </c>
      <c r="M1139" s="77"/>
      <c r="N1139" s="77"/>
      <c r="O1139" s="77"/>
      <c r="P1139" s="77"/>
      <c r="Q1139" s="77"/>
      <c r="R1139" s="77"/>
      <c r="S1139" s="77"/>
      <c r="T1139" s="132"/>
      <c r="U1139" s="77"/>
      <c r="V1139" s="159"/>
    </row>
    <row r="1140" spans="1:25" ht="39.9" x14ac:dyDescent="0.3">
      <c r="A1140" s="156"/>
      <c r="B1140" s="149"/>
      <c r="C1140" s="71" t="s">
        <v>123</v>
      </c>
      <c r="D1140" s="38" t="str">
        <f t="shared" ref="D1140:L1140" si="376">IF(((D1138="")*AND(D1139="")),"",(D1138-D1139)*1)</f>
        <v/>
      </c>
      <c r="E1140" s="38" t="str">
        <f t="shared" si="376"/>
        <v/>
      </c>
      <c r="F1140" s="38" t="str">
        <f t="shared" si="376"/>
        <v/>
      </c>
      <c r="G1140" s="38" t="str">
        <f t="shared" si="376"/>
        <v/>
      </c>
      <c r="H1140" s="38" t="str">
        <f t="shared" si="376"/>
        <v/>
      </c>
      <c r="I1140" s="38" t="str">
        <f t="shared" si="376"/>
        <v/>
      </c>
      <c r="J1140" s="38" t="str">
        <f t="shared" si="376"/>
        <v/>
      </c>
      <c r="K1140" s="38" t="str">
        <f t="shared" si="376"/>
        <v/>
      </c>
      <c r="L1140" s="38" t="str">
        <f t="shared" si="376"/>
        <v/>
      </c>
      <c r="M1140" s="135"/>
      <c r="N1140" s="135"/>
      <c r="O1140" s="135"/>
      <c r="P1140" s="135"/>
      <c r="Q1140" s="135"/>
      <c r="R1140" s="135"/>
      <c r="S1140" s="135"/>
      <c r="T1140" s="136"/>
      <c r="U1140" s="135"/>
      <c r="V1140" s="159"/>
    </row>
    <row r="1141" spans="1:25" x14ac:dyDescent="0.3">
      <c r="A1141" s="154"/>
      <c r="B1141" s="129" t="s">
        <v>124</v>
      </c>
      <c r="C1141" s="71" t="s">
        <v>88</v>
      </c>
      <c r="M1141" s="69" t="str">
        <f>IF((L1142=""),"",MAX(D1143:L1143))</f>
        <v/>
      </c>
      <c r="N1141" s="69" t="str">
        <f>IF(L1142="","",MIN(D1143:L1143))</f>
        <v/>
      </c>
      <c r="O1141" s="69" t="str">
        <f>IF((L1143=""),"",AVERAGE(D1143:L1143))</f>
        <v/>
      </c>
      <c r="P1141" s="69">
        <v>1600</v>
      </c>
      <c r="Q1141" s="69">
        <v>2000</v>
      </c>
      <c r="R1141" s="69" t="str">
        <f>IF((L1142=""),"",((M1141-N1141)/(M1141+N1141))*100)</f>
        <v/>
      </c>
      <c r="S1141" s="69">
        <v>23</v>
      </c>
      <c r="T1141" s="130" t="str">
        <f>IF(L1142="","",IF(R1142&lt;20,(IF(O1141&gt;1730,IF(O1141&lt;1970,"Pass","Fail"),"Fail"))))</f>
        <v/>
      </c>
      <c r="U1141" s="153"/>
      <c r="V1141" s="159"/>
      <c r="W1141" s="56">
        <v>1730</v>
      </c>
      <c r="X1141" s="56">
        <v>1970</v>
      </c>
      <c r="Y1141" s="56">
        <v>6.2</v>
      </c>
    </row>
    <row r="1142" spans="1:25" x14ac:dyDescent="0.3">
      <c r="A1142" s="155"/>
      <c r="B1142" s="147"/>
      <c r="C1142" s="71" t="s">
        <v>89</v>
      </c>
      <c r="M1142" s="77"/>
      <c r="N1142" s="77"/>
      <c r="O1142" s="77"/>
      <c r="P1142" s="77"/>
      <c r="Q1142" s="77"/>
      <c r="R1142" s="77"/>
      <c r="S1142" s="77"/>
      <c r="T1142" s="132"/>
      <c r="U1142" s="77"/>
      <c r="V1142" s="159"/>
    </row>
    <row r="1143" spans="1:25" ht="39.9" x14ac:dyDescent="0.3">
      <c r="A1143" s="156"/>
      <c r="B1143" s="149"/>
      <c r="C1143" s="71" t="s">
        <v>123</v>
      </c>
      <c r="D1143" s="38" t="str">
        <f t="shared" ref="D1143:L1143" si="377">IF(((D1141="")*AND(D1142="")),"",(D1141-D1142)*1)</f>
        <v/>
      </c>
      <c r="E1143" s="38" t="str">
        <f t="shared" si="377"/>
        <v/>
      </c>
      <c r="F1143" s="38" t="str">
        <f t="shared" si="377"/>
        <v/>
      </c>
      <c r="G1143" s="38" t="str">
        <f t="shared" si="377"/>
        <v/>
      </c>
      <c r="H1143" s="38" t="str">
        <f t="shared" si="377"/>
        <v/>
      </c>
      <c r="I1143" s="38" t="str">
        <f t="shared" si="377"/>
        <v/>
      </c>
      <c r="J1143" s="38" t="str">
        <f t="shared" si="377"/>
        <v/>
      </c>
      <c r="K1143" s="38" t="str">
        <f t="shared" si="377"/>
        <v/>
      </c>
      <c r="L1143" s="38" t="str">
        <f t="shared" si="377"/>
        <v/>
      </c>
      <c r="M1143" s="135"/>
      <c r="N1143" s="135"/>
      <c r="O1143" s="135"/>
      <c r="P1143" s="135"/>
      <c r="Q1143" s="135"/>
      <c r="R1143" s="135"/>
      <c r="S1143" s="135"/>
      <c r="T1143" s="136"/>
      <c r="U1143" s="135"/>
      <c r="V1143" s="159"/>
    </row>
    <row r="1144" spans="1:25" x14ac:dyDescent="0.3">
      <c r="A1144" s="154"/>
      <c r="B1144" s="129" t="s">
        <v>124</v>
      </c>
      <c r="C1144" s="71" t="s">
        <v>88</v>
      </c>
      <c r="M1144" s="69" t="str">
        <f>IF((L1145=""),"",MAX(D1146:L1146))</f>
        <v/>
      </c>
      <c r="N1144" s="69" t="str">
        <f>IF(L1145="","",MIN(D1146:L1146))</f>
        <v/>
      </c>
      <c r="O1144" s="69" t="str">
        <f>IF((L1146=""),"",AVERAGE(D1146:L1146))</f>
        <v/>
      </c>
      <c r="P1144" s="69">
        <v>1600</v>
      </c>
      <c r="Q1144" s="69">
        <v>2000</v>
      </c>
      <c r="R1144" s="69" t="str">
        <f>IF((L1145=""),"",((M1144-N1144)/(M1144+N1144))*100)</f>
        <v/>
      </c>
      <c r="S1144" s="69">
        <v>23</v>
      </c>
      <c r="T1144" s="130" t="str">
        <f>IF(L1145="","",IF(R1145&lt;20,(IF(O1144&gt;1730,IF(O1144&lt;1970,"Pass","Fail"),"Fail"))))</f>
        <v/>
      </c>
      <c r="U1144" s="153"/>
      <c r="V1144" s="159"/>
      <c r="W1144" s="56">
        <v>1730</v>
      </c>
      <c r="X1144" s="56">
        <v>1970</v>
      </c>
      <c r="Y1144" s="56">
        <v>6.2</v>
      </c>
    </row>
    <row r="1145" spans="1:25" x14ac:dyDescent="0.3">
      <c r="A1145" s="155"/>
      <c r="B1145" s="147"/>
      <c r="C1145" s="71" t="s">
        <v>89</v>
      </c>
      <c r="M1145" s="77"/>
      <c r="N1145" s="77"/>
      <c r="O1145" s="77"/>
      <c r="P1145" s="77"/>
      <c r="Q1145" s="77"/>
      <c r="R1145" s="77"/>
      <c r="S1145" s="77"/>
      <c r="T1145" s="132"/>
      <c r="U1145" s="77"/>
      <c r="V1145" s="159"/>
    </row>
    <row r="1146" spans="1:25" ht="39.9" x14ac:dyDescent="0.3">
      <c r="A1146" s="156"/>
      <c r="B1146" s="149"/>
      <c r="C1146" s="71" t="s">
        <v>123</v>
      </c>
      <c r="D1146" s="38" t="str">
        <f t="shared" ref="D1146:L1146" si="378">IF(((D1144="")*AND(D1145="")),"",(D1144-D1145)*1)</f>
        <v/>
      </c>
      <c r="E1146" s="38" t="str">
        <f t="shared" si="378"/>
        <v/>
      </c>
      <c r="F1146" s="38" t="str">
        <f t="shared" si="378"/>
        <v/>
      </c>
      <c r="G1146" s="38" t="str">
        <f t="shared" si="378"/>
        <v/>
      </c>
      <c r="H1146" s="38" t="str">
        <f t="shared" si="378"/>
        <v/>
      </c>
      <c r="I1146" s="38" t="str">
        <f t="shared" si="378"/>
        <v/>
      </c>
      <c r="J1146" s="38" t="str">
        <f t="shared" si="378"/>
        <v/>
      </c>
      <c r="K1146" s="38" t="str">
        <f t="shared" si="378"/>
        <v/>
      </c>
      <c r="L1146" s="38" t="str">
        <f t="shared" si="378"/>
        <v/>
      </c>
      <c r="M1146" s="135"/>
      <c r="N1146" s="135"/>
      <c r="O1146" s="135"/>
      <c r="P1146" s="135"/>
      <c r="Q1146" s="135"/>
      <c r="R1146" s="135"/>
      <c r="S1146" s="135"/>
      <c r="T1146" s="136"/>
      <c r="U1146" s="135"/>
      <c r="V1146" s="159"/>
    </row>
    <row r="1147" spans="1:25" x14ac:dyDescent="0.3">
      <c r="A1147" s="154"/>
      <c r="B1147" s="129" t="s">
        <v>124</v>
      </c>
      <c r="C1147" s="71" t="s">
        <v>88</v>
      </c>
      <c r="M1147" s="69" t="str">
        <f>IF((L1148=""),"",MAX(D1149:L1149))</f>
        <v/>
      </c>
      <c r="N1147" s="69" t="str">
        <f>IF(L1148="","",MIN(D1149:L1149))</f>
        <v/>
      </c>
      <c r="O1147" s="69" t="str">
        <f>IF((L1149=""),"",AVERAGE(D1149:L1149))</f>
        <v/>
      </c>
      <c r="P1147" s="69">
        <v>1600</v>
      </c>
      <c r="Q1147" s="69">
        <v>2000</v>
      </c>
      <c r="R1147" s="69" t="str">
        <f>IF((L1148=""),"",((M1147-N1147)/(M1147+N1147))*100)</f>
        <v/>
      </c>
      <c r="S1147" s="69">
        <v>23</v>
      </c>
      <c r="T1147" s="130" t="str">
        <f>IF(L1148="","",IF(R1148&lt;20,(IF(O1147&gt;1730,IF(O1147&lt;1970,"Pass","Fail"),"Fail"))))</f>
        <v/>
      </c>
      <c r="U1147" s="153"/>
      <c r="V1147" s="159"/>
      <c r="W1147" s="56">
        <v>1730</v>
      </c>
      <c r="X1147" s="56">
        <v>1970</v>
      </c>
      <c r="Y1147" s="56">
        <v>6.2</v>
      </c>
    </row>
    <row r="1148" spans="1:25" x14ac:dyDescent="0.3">
      <c r="A1148" s="155"/>
      <c r="B1148" s="147"/>
      <c r="C1148" s="71" t="s">
        <v>89</v>
      </c>
      <c r="M1148" s="77"/>
      <c r="N1148" s="77"/>
      <c r="O1148" s="77"/>
      <c r="P1148" s="77"/>
      <c r="Q1148" s="77"/>
      <c r="R1148" s="77"/>
      <c r="S1148" s="77"/>
      <c r="T1148" s="132"/>
      <c r="U1148" s="77"/>
      <c r="V1148" s="159"/>
    </row>
    <row r="1149" spans="1:25" ht="39.9" x14ac:dyDescent="0.3">
      <c r="A1149" s="156"/>
      <c r="B1149" s="149"/>
      <c r="C1149" s="71" t="s">
        <v>123</v>
      </c>
      <c r="D1149" s="38" t="str">
        <f t="shared" ref="D1149:L1149" si="379">IF(((D1147="")*AND(D1148="")),"",(D1147-D1148)*1)</f>
        <v/>
      </c>
      <c r="E1149" s="38" t="str">
        <f t="shared" si="379"/>
        <v/>
      </c>
      <c r="F1149" s="38" t="str">
        <f t="shared" si="379"/>
        <v/>
      </c>
      <c r="G1149" s="38" t="str">
        <f t="shared" si="379"/>
        <v/>
      </c>
      <c r="H1149" s="38" t="str">
        <f t="shared" si="379"/>
        <v/>
      </c>
      <c r="I1149" s="38" t="str">
        <f t="shared" si="379"/>
        <v/>
      </c>
      <c r="J1149" s="38" t="str">
        <f t="shared" si="379"/>
        <v/>
      </c>
      <c r="K1149" s="38" t="str">
        <f t="shared" si="379"/>
        <v/>
      </c>
      <c r="L1149" s="38" t="str">
        <f t="shared" si="379"/>
        <v/>
      </c>
      <c r="M1149" s="135"/>
      <c r="N1149" s="135"/>
      <c r="O1149" s="135"/>
      <c r="P1149" s="135"/>
      <c r="Q1149" s="135"/>
      <c r="R1149" s="135"/>
      <c r="S1149" s="135"/>
      <c r="T1149" s="136"/>
      <c r="U1149" s="135"/>
      <c r="V1149" s="159"/>
    </row>
    <row r="1150" spans="1:25" x14ac:dyDescent="0.3">
      <c r="A1150" s="154"/>
      <c r="B1150" s="129" t="s">
        <v>124</v>
      </c>
      <c r="C1150" s="71" t="s">
        <v>88</v>
      </c>
      <c r="M1150" s="69" t="str">
        <f>IF((L1151=""),"",MAX(D1152:L1152))</f>
        <v/>
      </c>
      <c r="N1150" s="69" t="str">
        <f>IF(L1151="","",MIN(D1152:L1152))</f>
        <v/>
      </c>
      <c r="O1150" s="69" t="str">
        <f>IF((L1152=""),"",AVERAGE(D1152:L1152))</f>
        <v/>
      </c>
      <c r="P1150" s="69">
        <v>1600</v>
      </c>
      <c r="Q1150" s="69">
        <v>2000</v>
      </c>
      <c r="R1150" s="69" t="str">
        <f>IF((L1151=""),"",((M1150-N1150)/(M1150+N1150))*100)</f>
        <v/>
      </c>
      <c r="S1150" s="69">
        <v>23</v>
      </c>
      <c r="T1150" s="130" t="str">
        <f>IF(L1151="","",IF(R1151&lt;20,(IF(O1150&gt;1730,IF(O1150&lt;1970,"Pass","Fail"),"Fail"))))</f>
        <v/>
      </c>
      <c r="U1150" s="153"/>
      <c r="V1150" s="159"/>
      <c r="W1150" s="56">
        <v>1730</v>
      </c>
      <c r="X1150" s="56">
        <v>1970</v>
      </c>
      <c r="Y1150" s="56">
        <v>6.2</v>
      </c>
    </row>
    <row r="1151" spans="1:25" x14ac:dyDescent="0.3">
      <c r="A1151" s="155"/>
      <c r="B1151" s="147"/>
      <c r="C1151" s="71" t="s">
        <v>89</v>
      </c>
      <c r="M1151" s="77"/>
      <c r="N1151" s="77"/>
      <c r="O1151" s="77"/>
      <c r="P1151" s="77"/>
      <c r="Q1151" s="77"/>
      <c r="R1151" s="77"/>
      <c r="S1151" s="77"/>
      <c r="T1151" s="132"/>
      <c r="U1151" s="77"/>
      <c r="V1151" s="159"/>
    </row>
    <row r="1152" spans="1:25" ht="39.9" x14ac:dyDescent="0.3">
      <c r="A1152" s="156"/>
      <c r="B1152" s="149"/>
      <c r="C1152" s="71" t="s">
        <v>123</v>
      </c>
      <c r="D1152" s="38" t="str">
        <f t="shared" ref="D1152:L1152" si="380">IF(((D1150="")*AND(D1151="")),"",(D1150-D1151)*1)</f>
        <v/>
      </c>
      <c r="E1152" s="38" t="str">
        <f t="shared" si="380"/>
        <v/>
      </c>
      <c r="F1152" s="38" t="str">
        <f t="shared" si="380"/>
        <v/>
      </c>
      <c r="G1152" s="38" t="str">
        <f t="shared" si="380"/>
        <v/>
      </c>
      <c r="H1152" s="38" t="str">
        <f t="shared" si="380"/>
        <v/>
      </c>
      <c r="I1152" s="38" t="str">
        <f t="shared" si="380"/>
        <v/>
      </c>
      <c r="J1152" s="38" t="str">
        <f t="shared" si="380"/>
        <v/>
      </c>
      <c r="K1152" s="38" t="str">
        <f t="shared" si="380"/>
        <v/>
      </c>
      <c r="L1152" s="38" t="str">
        <f t="shared" si="380"/>
        <v/>
      </c>
      <c r="M1152" s="135"/>
      <c r="N1152" s="135"/>
      <c r="O1152" s="135"/>
      <c r="P1152" s="135"/>
      <c r="Q1152" s="135"/>
      <c r="R1152" s="135"/>
      <c r="S1152" s="135"/>
      <c r="T1152" s="136"/>
      <c r="U1152" s="135"/>
      <c r="V1152" s="159"/>
    </row>
    <row r="1153" spans="1:25" x14ac:dyDescent="0.3">
      <c r="A1153" s="154"/>
      <c r="B1153" s="129" t="s">
        <v>124</v>
      </c>
      <c r="C1153" s="71" t="s">
        <v>88</v>
      </c>
      <c r="M1153" s="69" t="str">
        <f>IF((L1154=""),"",MAX(D1155:L1155))</f>
        <v/>
      </c>
      <c r="N1153" s="69" t="str">
        <f>IF(L1154="","",MIN(D1155:L1155))</f>
        <v/>
      </c>
      <c r="O1153" s="69" t="str">
        <f>IF((L1155=""),"",AVERAGE(D1155:L1155))</f>
        <v/>
      </c>
      <c r="P1153" s="69">
        <v>1600</v>
      </c>
      <c r="Q1153" s="69">
        <v>2000</v>
      </c>
      <c r="R1153" s="69" t="str">
        <f>IF((L1154=""),"",((M1153-N1153)/(M1153+N1153))*100)</f>
        <v/>
      </c>
      <c r="S1153" s="69">
        <v>23</v>
      </c>
      <c r="T1153" s="130" t="str">
        <f>IF(L1154="","",IF(R1154&lt;20,(IF(O1153&gt;1730,IF(O1153&lt;1970,"Pass","Fail"),"Fail"))))</f>
        <v/>
      </c>
      <c r="U1153" s="153"/>
      <c r="V1153" s="159"/>
      <c r="W1153" s="56">
        <v>1730</v>
      </c>
      <c r="X1153" s="56">
        <v>1970</v>
      </c>
      <c r="Y1153" s="56">
        <v>6.2</v>
      </c>
    </row>
    <row r="1154" spans="1:25" x14ac:dyDescent="0.3">
      <c r="A1154" s="155"/>
      <c r="B1154" s="147"/>
      <c r="C1154" s="71" t="s">
        <v>89</v>
      </c>
      <c r="M1154" s="77"/>
      <c r="N1154" s="77"/>
      <c r="O1154" s="77"/>
      <c r="P1154" s="77"/>
      <c r="Q1154" s="77"/>
      <c r="R1154" s="77"/>
      <c r="S1154" s="77"/>
      <c r="T1154" s="132"/>
      <c r="U1154" s="77"/>
      <c r="V1154" s="159"/>
    </row>
    <row r="1155" spans="1:25" ht="39.9" x14ac:dyDescent="0.3">
      <c r="A1155" s="156"/>
      <c r="B1155" s="149"/>
      <c r="C1155" s="71" t="s">
        <v>123</v>
      </c>
      <c r="D1155" s="38" t="str">
        <f t="shared" ref="D1155:L1155" si="381">IF(((D1153="")*AND(D1154="")),"",(D1153-D1154)*1)</f>
        <v/>
      </c>
      <c r="E1155" s="38" t="str">
        <f t="shared" si="381"/>
        <v/>
      </c>
      <c r="F1155" s="38" t="str">
        <f t="shared" si="381"/>
        <v/>
      </c>
      <c r="G1155" s="38" t="str">
        <f t="shared" si="381"/>
        <v/>
      </c>
      <c r="H1155" s="38" t="str">
        <f t="shared" si="381"/>
        <v/>
      </c>
      <c r="I1155" s="38" t="str">
        <f t="shared" si="381"/>
        <v/>
      </c>
      <c r="J1155" s="38" t="str">
        <f t="shared" si="381"/>
        <v/>
      </c>
      <c r="K1155" s="38" t="str">
        <f t="shared" si="381"/>
        <v/>
      </c>
      <c r="L1155" s="38" t="str">
        <f t="shared" si="381"/>
        <v/>
      </c>
      <c r="M1155" s="135"/>
      <c r="N1155" s="135"/>
      <c r="O1155" s="135"/>
      <c r="P1155" s="135"/>
      <c r="Q1155" s="135"/>
      <c r="R1155" s="135"/>
      <c r="S1155" s="135"/>
      <c r="T1155" s="136"/>
      <c r="U1155" s="135"/>
      <c r="V1155" s="159"/>
    </row>
    <row r="1156" spans="1:25" x14ac:dyDescent="0.3">
      <c r="A1156" s="154"/>
      <c r="B1156" s="129" t="s">
        <v>124</v>
      </c>
      <c r="C1156" s="71" t="s">
        <v>88</v>
      </c>
      <c r="M1156" s="69" t="str">
        <f>IF((L1157=""),"",MAX(D1158:L1158))</f>
        <v/>
      </c>
      <c r="N1156" s="69" t="str">
        <f>IF(L1157="","",MIN(D1158:L1158))</f>
        <v/>
      </c>
      <c r="O1156" s="69" t="str">
        <f>IF((L1158=""),"",AVERAGE(D1158:L1158))</f>
        <v/>
      </c>
      <c r="P1156" s="69">
        <v>1600</v>
      </c>
      <c r="Q1156" s="69">
        <v>2000</v>
      </c>
      <c r="R1156" s="69" t="str">
        <f>IF((L1157=""),"",((M1156-N1156)/(M1156+N1156))*100)</f>
        <v/>
      </c>
      <c r="S1156" s="69">
        <v>23</v>
      </c>
      <c r="T1156" s="130" t="str">
        <f>IF(L1157="","",IF(R1157&lt;20,(IF(O1156&gt;1730,IF(O1156&lt;1970,"Pass","Fail"),"Fail"))))</f>
        <v/>
      </c>
      <c r="U1156" s="153"/>
      <c r="V1156" s="159"/>
      <c r="W1156" s="56">
        <v>1730</v>
      </c>
      <c r="X1156" s="56">
        <v>1970</v>
      </c>
      <c r="Y1156" s="56">
        <v>6.2</v>
      </c>
    </row>
    <row r="1157" spans="1:25" x14ac:dyDescent="0.3">
      <c r="A1157" s="155"/>
      <c r="B1157" s="147"/>
      <c r="C1157" s="71" t="s">
        <v>89</v>
      </c>
      <c r="M1157" s="77"/>
      <c r="N1157" s="77"/>
      <c r="O1157" s="77"/>
      <c r="P1157" s="77"/>
      <c r="Q1157" s="77"/>
      <c r="R1157" s="77"/>
      <c r="S1157" s="77"/>
      <c r="T1157" s="132"/>
      <c r="U1157" s="77"/>
      <c r="V1157" s="159"/>
    </row>
    <row r="1158" spans="1:25" ht="39.9" x14ac:dyDescent="0.3">
      <c r="A1158" s="156"/>
      <c r="B1158" s="149"/>
      <c r="C1158" s="71" t="s">
        <v>123</v>
      </c>
      <c r="D1158" s="38" t="str">
        <f t="shared" ref="D1158:L1158" si="382">IF(((D1156="")*AND(D1157="")),"",(D1156-D1157)*1)</f>
        <v/>
      </c>
      <c r="E1158" s="38" t="str">
        <f t="shared" si="382"/>
        <v/>
      </c>
      <c r="F1158" s="38" t="str">
        <f t="shared" si="382"/>
        <v/>
      </c>
      <c r="G1158" s="38" t="str">
        <f t="shared" si="382"/>
        <v/>
      </c>
      <c r="H1158" s="38" t="str">
        <f t="shared" si="382"/>
        <v/>
      </c>
      <c r="I1158" s="38" t="str">
        <f t="shared" si="382"/>
        <v/>
      </c>
      <c r="J1158" s="38" t="str">
        <f t="shared" si="382"/>
        <v/>
      </c>
      <c r="K1158" s="38" t="str">
        <f t="shared" si="382"/>
        <v/>
      </c>
      <c r="L1158" s="38" t="str">
        <f t="shared" si="382"/>
        <v/>
      </c>
      <c r="M1158" s="135"/>
      <c r="N1158" s="135"/>
      <c r="O1158" s="135"/>
      <c r="P1158" s="135"/>
      <c r="Q1158" s="135"/>
      <c r="R1158" s="135"/>
      <c r="S1158" s="135"/>
      <c r="T1158" s="136"/>
      <c r="U1158" s="135"/>
      <c r="V1158" s="159"/>
    </row>
    <row r="1159" spans="1:25" x14ac:dyDescent="0.3">
      <c r="A1159" s="154"/>
      <c r="B1159" s="129" t="s">
        <v>124</v>
      </c>
      <c r="C1159" s="71" t="s">
        <v>88</v>
      </c>
      <c r="M1159" s="69" t="str">
        <f>IF((L1160=""),"",MAX(D1161:L1161))</f>
        <v/>
      </c>
      <c r="N1159" s="69" t="str">
        <f>IF(L1160="","",MIN(D1161:L1161))</f>
        <v/>
      </c>
      <c r="O1159" s="69" t="str">
        <f>IF((L1161=""),"",AVERAGE(D1161:L1161))</f>
        <v/>
      </c>
      <c r="P1159" s="69">
        <v>1600</v>
      </c>
      <c r="Q1159" s="69">
        <v>2000</v>
      </c>
      <c r="R1159" s="69" t="str">
        <f>IF((L1160=""),"",((M1159-N1159)/(M1159+N1159))*100)</f>
        <v/>
      </c>
      <c r="S1159" s="69">
        <v>23</v>
      </c>
      <c r="T1159" s="130" t="str">
        <f>IF(L1160="","",IF(R1160&lt;20,(IF(O1159&gt;1730,IF(O1159&lt;1970,"Pass","Fail"),"Fail"))))</f>
        <v/>
      </c>
      <c r="U1159" s="153"/>
      <c r="V1159" s="159"/>
      <c r="W1159" s="56">
        <v>1730</v>
      </c>
      <c r="X1159" s="56">
        <v>1970</v>
      </c>
      <c r="Y1159" s="56">
        <v>6.2</v>
      </c>
    </row>
    <row r="1160" spans="1:25" x14ac:dyDescent="0.3">
      <c r="A1160" s="155"/>
      <c r="B1160" s="147"/>
      <c r="C1160" s="71" t="s">
        <v>89</v>
      </c>
      <c r="M1160" s="77"/>
      <c r="N1160" s="77"/>
      <c r="O1160" s="77"/>
      <c r="P1160" s="77"/>
      <c r="Q1160" s="77"/>
      <c r="R1160" s="77"/>
      <c r="S1160" s="77"/>
      <c r="T1160" s="132"/>
      <c r="U1160" s="77"/>
      <c r="V1160" s="159"/>
    </row>
    <row r="1161" spans="1:25" ht="39.9" x14ac:dyDescent="0.3">
      <c r="A1161" s="156"/>
      <c r="B1161" s="149"/>
      <c r="C1161" s="71" t="s">
        <v>123</v>
      </c>
      <c r="D1161" s="38" t="str">
        <f t="shared" ref="D1161:L1161" si="383">IF(((D1159="")*AND(D1160="")),"",(D1159-D1160)*1)</f>
        <v/>
      </c>
      <c r="E1161" s="38" t="str">
        <f t="shared" si="383"/>
        <v/>
      </c>
      <c r="F1161" s="38" t="str">
        <f t="shared" si="383"/>
        <v/>
      </c>
      <c r="G1161" s="38" t="str">
        <f t="shared" si="383"/>
        <v/>
      </c>
      <c r="H1161" s="38" t="str">
        <f t="shared" si="383"/>
        <v/>
      </c>
      <c r="I1161" s="38" t="str">
        <f t="shared" si="383"/>
        <v/>
      </c>
      <c r="J1161" s="38" t="str">
        <f t="shared" si="383"/>
        <v/>
      </c>
      <c r="K1161" s="38" t="str">
        <f t="shared" si="383"/>
        <v/>
      </c>
      <c r="L1161" s="38" t="str">
        <f t="shared" si="383"/>
        <v/>
      </c>
      <c r="M1161" s="135"/>
      <c r="N1161" s="135"/>
      <c r="O1161" s="135"/>
      <c r="P1161" s="135"/>
      <c r="Q1161" s="135"/>
      <c r="R1161" s="135"/>
      <c r="S1161" s="135"/>
      <c r="T1161" s="136"/>
      <c r="U1161" s="135"/>
      <c r="V1161" s="159"/>
    </row>
    <row r="1162" spans="1:25" x14ac:dyDescent="0.3">
      <c r="A1162" s="154"/>
      <c r="B1162" s="129" t="s">
        <v>124</v>
      </c>
      <c r="C1162" s="71" t="s">
        <v>88</v>
      </c>
      <c r="M1162" s="69" t="str">
        <f>IF((L1163=""),"",MAX(D1164:L1164))</f>
        <v/>
      </c>
      <c r="N1162" s="69" t="str">
        <f>IF(L1163="","",MIN(D1164:L1164))</f>
        <v/>
      </c>
      <c r="O1162" s="69" t="str">
        <f>IF((L1164=""),"",AVERAGE(D1164:L1164))</f>
        <v/>
      </c>
      <c r="P1162" s="69">
        <v>1600</v>
      </c>
      <c r="Q1162" s="69">
        <v>2000</v>
      </c>
      <c r="R1162" s="69" t="str">
        <f>IF((L1163=""),"",((M1162-N1162)/(M1162+N1162))*100)</f>
        <v/>
      </c>
      <c r="S1162" s="69">
        <v>23</v>
      </c>
      <c r="T1162" s="130" t="str">
        <f>IF(L1163="","",IF(R1163&lt;20,(IF(O1162&gt;1730,IF(O1162&lt;1970,"Pass","Fail"),"Fail"))))</f>
        <v/>
      </c>
      <c r="U1162" s="153"/>
      <c r="V1162" s="159"/>
      <c r="W1162" s="56">
        <v>1730</v>
      </c>
      <c r="X1162" s="56">
        <v>1970</v>
      </c>
      <c r="Y1162" s="56">
        <v>6.2</v>
      </c>
    </row>
    <row r="1163" spans="1:25" x14ac:dyDescent="0.3">
      <c r="A1163" s="155"/>
      <c r="B1163" s="147"/>
      <c r="C1163" s="71" t="s">
        <v>89</v>
      </c>
      <c r="M1163" s="77"/>
      <c r="N1163" s="77"/>
      <c r="O1163" s="77"/>
      <c r="P1163" s="77"/>
      <c r="Q1163" s="77"/>
      <c r="R1163" s="77"/>
      <c r="S1163" s="77"/>
      <c r="T1163" s="132"/>
      <c r="U1163" s="77"/>
      <c r="V1163" s="159"/>
    </row>
    <row r="1164" spans="1:25" ht="39.9" x14ac:dyDescent="0.3">
      <c r="A1164" s="156"/>
      <c r="B1164" s="149"/>
      <c r="C1164" s="71" t="s">
        <v>123</v>
      </c>
      <c r="D1164" s="38" t="str">
        <f t="shared" ref="D1164:L1164" si="384">IF(((D1162="")*AND(D1163="")),"",(D1162-D1163)*1)</f>
        <v/>
      </c>
      <c r="E1164" s="38" t="str">
        <f t="shared" si="384"/>
        <v/>
      </c>
      <c r="F1164" s="38" t="str">
        <f t="shared" si="384"/>
        <v/>
      </c>
      <c r="G1164" s="38" t="str">
        <f t="shared" si="384"/>
        <v/>
      </c>
      <c r="H1164" s="38" t="str">
        <f t="shared" si="384"/>
        <v/>
      </c>
      <c r="I1164" s="38" t="str">
        <f t="shared" si="384"/>
        <v/>
      </c>
      <c r="J1164" s="38" t="str">
        <f t="shared" si="384"/>
        <v/>
      </c>
      <c r="K1164" s="38" t="str">
        <f t="shared" si="384"/>
        <v/>
      </c>
      <c r="L1164" s="38" t="str">
        <f t="shared" si="384"/>
        <v/>
      </c>
      <c r="M1164" s="135"/>
      <c r="N1164" s="135"/>
      <c r="O1164" s="135"/>
      <c r="P1164" s="135"/>
      <c r="Q1164" s="135"/>
      <c r="R1164" s="135"/>
      <c r="S1164" s="135"/>
      <c r="T1164" s="136"/>
      <c r="U1164" s="135"/>
      <c r="V1164" s="159"/>
    </row>
    <row r="1165" spans="1:25" x14ac:dyDescent="0.3">
      <c r="A1165" s="154"/>
      <c r="B1165" s="129" t="s">
        <v>124</v>
      </c>
      <c r="C1165" s="71" t="s">
        <v>88</v>
      </c>
      <c r="M1165" s="69" t="str">
        <f>IF((L1166=""),"",MAX(D1167:L1167))</f>
        <v/>
      </c>
      <c r="N1165" s="69" t="str">
        <f>IF(L1166="","",MIN(D1167:L1167))</f>
        <v/>
      </c>
      <c r="O1165" s="69" t="str">
        <f>IF((L1167=""),"",AVERAGE(D1167:L1167))</f>
        <v/>
      </c>
      <c r="P1165" s="69">
        <v>1600</v>
      </c>
      <c r="Q1165" s="69">
        <v>2000</v>
      </c>
      <c r="R1165" s="69" t="str">
        <f>IF((L1166=""),"",((M1165-N1165)/(M1165+N1165))*100)</f>
        <v/>
      </c>
      <c r="S1165" s="69">
        <v>23</v>
      </c>
      <c r="T1165" s="130" t="str">
        <f>IF(L1166="","",IF(R1166&lt;20,(IF(O1165&gt;1730,IF(O1165&lt;1970,"Pass","Fail"),"Fail"))))</f>
        <v/>
      </c>
      <c r="U1165" s="153"/>
      <c r="V1165" s="159"/>
      <c r="W1165" s="56">
        <v>1730</v>
      </c>
      <c r="X1165" s="56">
        <v>1970</v>
      </c>
      <c r="Y1165" s="56">
        <v>6.2</v>
      </c>
    </row>
    <row r="1166" spans="1:25" x14ac:dyDescent="0.3">
      <c r="A1166" s="155"/>
      <c r="B1166" s="147"/>
      <c r="C1166" s="71" t="s">
        <v>89</v>
      </c>
      <c r="M1166" s="77"/>
      <c r="N1166" s="77"/>
      <c r="O1166" s="77"/>
      <c r="P1166" s="77"/>
      <c r="Q1166" s="77"/>
      <c r="R1166" s="77"/>
      <c r="S1166" s="77"/>
      <c r="T1166" s="132"/>
      <c r="U1166" s="77"/>
      <c r="V1166" s="159"/>
    </row>
    <row r="1167" spans="1:25" ht="39.9" x14ac:dyDescent="0.3">
      <c r="A1167" s="156"/>
      <c r="B1167" s="149"/>
      <c r="C1167" s="71" t="s">
        <v>123</v>
      </c>
      <c r="D1167" s="38" t="str">
        <f t="shared" ref="D1167:L1167" si="385">IF(((D1165="")*AND(D1166="")),"",(D1165-D1166)*1)</f>
        <v/>
      </c>
      <c r="E1167" s="38" t="str">
        <f t="shared" si="385"/>
        <v/>
      </c>
      <c r="F1167" s="38" t="str">
        <f t="shared" si="385"/>
        <v/>
      </c>
      <c r="G1167" s="38" t="str">
        <f t="shared" si="385"/>
        <v/>
      </c>
      <c r="H1167" s="38" t="str">
        <f t="shared" si="385"/>
        <v/>
      </c>
      <c r="I1167" s="38" t="str">
        <f t="shared" si="385"/>
        <v/>
      </c>
      <c r="J1167" s="38" t="str">
        <f t="shared" si="385"/>
        <v/>
      </c>
      <c r="K1167" s="38" t="str">
        <f t="shared" si="385"/>
        <v/>
      </c>
      <c r="L1167" s="38" t="str">
        <f t="shared" si="385"/>
        <v/>
      </c>
      <c r="M1167" s="135"/>
      <c r="N1167" s="135"/>
      <c r="O1167" s="135"/>
      <c r="P1167" s="135"/>
      <c r="Q1167" s="135"/>
      <c r="R1167" s="135"/>
      <c r="S1167" s="135"/>
      <c r="T1167" s="136"/>
      <c r="U1167" s="135"/>
      <c r="V1167" s="159"/>
    </row>
    <row r="1168" spans="1:25" x14ac:dyDescent="0.3">
      <c r="A1168" s="154"/>
      <c r="B1168" s="129" t="s">
        <v>124</v>
      </c>
      <c r="C1168" s="71" t="s">
        <v>88</v>
      </c>
      <c r="M1168" s="69" t="str">
        <f>IF((L1169=""),"",MAX(D1170:L1170))</f>
        <v/>
      </c>
      <c r="N1168" s="69" t="str">
        <f>IF(L1169="","",MIN(D1170:L1170))</f>
        <v/>
      </c>
      <c r="O1168" s="69" t="str">
        <f>IF((L1170=""),"",AVERAGE(D1170:L1170))</f>
        <v/>
      </c>
      <c r="P1168" s="69">
        <v>1600</v>
      </c>
      <c r="Q1168" s="69">
        <v>2000</v>
      </c>
      <c r="R1168" s="69" t="str">
        <f>IF((L1169=""),"",((M1168-N1168)/(M1168+N1168))*100)</f>
        <v/>
      </c>
      <c r="S1168" s="69">
        <v>23</v>
      </c>
      <c r="T1168" s="130" t="str">
        <f>IF(L1169="","",IF(R1169&lt;20,(IF(O1168&gt;1730,IF(O1168&lt;1970,"Pass","Fail"),"Fail"))))</f>
        <v/>
      </c>
      <c r="U1168" s="153"/>
      <c r="V1168" s="159"/>
      <c r="W1168" s="56">
        <v>1730</v>
      </c>
      <c r="X1168" s="56">
        <v>1970</v>
      </c>
      <c r="Y1168" s="56">
        <v>6.2</v>
      </c>
    </row>
    <row r="1169" spans="1:25" x14ac:dyDescent="0.3">
      <c r="A1169" s="155"/>
      <c r="B1169" s="147"/>
      <c r="C1169" s="71" t="s">
        <v>89</v>
      </c>
      <c r="M1169" s="77"/>
      <c r="N1169" s="77"/>
      <c r="O1169" s="77"/>
      <c r="P1169" s="77"/>
      <c r="Q1169" s="77"/>
      <c r="R1169" s="77"/>
      <c r="S1169" s="77"/>
      <c r="T1169" s="132"/>
      <c r="U1169" s="77"/>
      <c r="V1169" s="159"/>
    </row>
    <row r="1170" spans="1:25" ht="39.9" x14ac:dyDescent="0.3">
      <c r="A1170" s="156"/>
      <c r="B1170" s="149"/>
      <c r="C1170" s="71" t="s">
        <v>123</v>
      </c>
      <c r="D1170" s="38" t="str">
        <f t="shared" ref="D1170:L1170" si="386">IF(((D1168="")*AND(D1169="")),"",(D1168-D1169)*1)</f>
        <v/>
      </c>
      <c r="E1170" s="38" t="str">
        <f t="shared" si="386"/>
        <v/>
      </c>
      <c r="F1170" s="38" t="str">
        <f t="shared" si="386"/>
        <v/>
      </c>
      <c r="G1170" s="38" t="str">
        <f t="shared" si="386"/>
        <v/>
      </c>
      <c r="H1170" s="38" t="str">
        <f t="shared" si="386"/>
        <v/>
      </c>
      <c r="I1170" s="38" t="str">
        <f t="shared" si="386"/>
        <v/>
      </c>
      <c r="J1170" s="38" t="str">
        <f t="shared" si="386"/>
        <v/>
      </c>
      <c r="K1170" s="38" t="str">
        <f t="shared" si="386"/>
        <v/>
      </c>
      <c r="L1170" s="38" t="str">
        <f t="shared" si="386"/>
        <v/>
      </c>
      <c r="M1170" s="135"/>
      <c r="N1170" s="135"/>
      <c r="O1170" s="135"/>
      <c r="P1170" s="135"/>
      <c r="Q1170" s="135"/>
      <c r="R1170" s="135"/>
      <c r="S1170" s="135"/>
      <c r="T1170" s="136"/>
      <c r="U1170" s="135"/>
      <c r="V1170" s="159"/>
    </row>
    <row r="1171" spans="1:25" x14ac:dyDescent="0.3">
      <c r="A1171" s="154"/>
      <c r="B1171" s="129" t="s">
        <v>124</v>
      </c>
      <c r="C1171" s="71" t="s">
        <v>88</v>
      </c>
      <c r="M1171" s="69" t="str">
        <f>IF((L1172=""),"",MAX(D1173:L1173))</f>
        <v/>
      </c>
      <c r="N1171" s="69" t="str">
        <f>IF(L1172="","",MIN(D1173:L1173))</f>
        <v/>
      </c>
      <c r="O1171" s="69" t="str">
        <f>IF((L1173=""),"",AVERAGE(D1173:L1173))</f>
        <v/>
      </c>
      <c r="P1171" s="69">
        <v>1600</v>
      </c>
      <c r="Q1171" s="69">
        <v>2000</v>
      </c>
      <c r="R1171" s="69" t="str">
        <f>IF((L1172=""),"",((M1171-N1171)/(M1171+N1171))*100)</f>
        <v/>
      </c>
      <c r="S1171" s="69">
        <v>23</v>
      </c>
      <c r="T1171" s="130" t="str">
        <f>IF(L1172="","",IF(R1172&lt;20,(IF(O1171&gt;1730,IF(O1171&lt;1970,"Pass","Fail"),"Fail"))))</f>
        <v/>
      </c>
      <c r="U1171" s="153"/>
      <c r="V1171" s="159"/>
      <c r="W1171" s="56">
        <v>1730</v>
      </c>
      <c r="X1171" s="56">
        <v>1970</v>
      </c>
      <c r="Y1171" s="56">
        <v>6.2</v>
      </c>
    </row>
    <row r="1172" spans="1:25" x14ac:dyDescent="0.3">
      <c r="A1172" s="155"/>
      <c r="B1172" s="147"/>
      <c r="C1172" s="71" t="s">
        <v>89</v>
      </c>
      <c r="M1172" s="77"/>
      <c r="N1172" s="77"/>
      <c r="O1172" s="77"/>
      <c r="P1172" s="77"/>
      <c r="Q1172" s="77"/>
      <c r="R1172" s="77"/>
      <c r="S1172" s="77"/>
      <c r="T1172" s="132"/>
      <c r="U1172" s="77"/>
      <c r="V1172" s="159"/>
    </row>
    <row r="1173" spans="1:25" ht="39.9" x14ac:dyDescent="0.3">
      <c r="A1173" s="156"/>
      <c r="B1173" s="149"/>
      <c r="C1173" s="71" t="s">
        <v>123</v>
      </c>
      <c r="D1173" s="38" t="str">
        <f t="shared" ref="D1173:L1173" si="387">IF(((D1171="")*AND(D1172="")),"",(D1171-D1172)*1)</f>
        <v/>
      </c>
      <c r="E1173" s="38" t="str">
        <f t="shared" si="387"/>
        <v/>
      </c>
      <c r="F1173" s="38" t="str">
        <f t="shared" si="387"/>
        <v/>
      </c>
      <c r="G1173" s="38" t="str">
        <f t="shared" si="387"/>
        <v/>
      </c>
      <c r="H1173" s="38" t="str">
        <f t="shared" si="387"/>
        <v/>
      </c>
      <c r="I1173" s="38" t="str">
        <f t="shared" si="387"/>
        <v/>
      </c>
      <c r="J1173" s="38" t="str">
        <f t="shared" si="387"/>
        <v/>
      </c>
      <c r="K1173" s="38" t="str">
        <f t="shared" si="387"/>
        <v/>
      </c>
      <c r="L1173" s="38" t="str">
        <f t="shared" si="387"/>
        <v/>
      </c>
      <c r="M1173" s="135"/>
      <c r="N1173" s="135"/>
      <c r="O1173" s="135"/>
      <c r="P1173" s="135"/>
      <c r="Q1173" s="135"/>
      <c r="R1173" s="135"/>
      <c r="S1173" s="135"/>
      <c r="T1173" s="136"/>
      <c r="U1173" s="135"/>
      <c r="V1173" s="159"/>
    </row>
    <row r="1174" spans="1:25" x14ac:dyDescent="0.3">
      <c r="A1174" s="154"/>
      <c r="B1174" s="129" t="s">
        <v>124</v>
      </c>
      <c r="C1174" s="71" t="s">
        <v>88</v>
      </c>
      <c r="M1174" s="69" t="str">
        <f>IF((L1175=""),"",MAX(D1176:L1176))</f>
        <v/>
      </c>
      <c r="N1174" s="69" t="str">
        <f>IF(L1175="","",MIN(D1176:L1176))</f>
        <v/>
      </c>
      <c r="O1174" s="69" t="str">
        <f>IF((L1176=""),"",AVERAGE(D1176:L1176))</f>
        <v/>
      </c>
      <c r="P1174" s="69">
        <v>1600</v>
      </c>
      <c r="Q1174" s="69">
        <v>2000</v>
      </c>
      <c r="R1174" s="69" t="str">
        <f>IF((L1175=""),"",((M1174-N1174)/(M1174+N1174))*100)</f>
        <v/>
      </c>
      <c r="S1174" s="69">
        <v>23</v>
      </c>
      <c r="T1174" s="130" t="str">
        <f>IF(L1175="","",IF(R1175&lt;20,(IF(O1174&gt;1730,IF(O1174&lt;1970,"Pass","Fail"),"Fail"))))</f>
        <v/>
      </c>
      <c r="U1174" s="153"/>
      <c r="V1174" s="159"/>
      <c r="W1174" s="56">
        <v>1730</v>
      </c>
      <c r="X1174" s="56">
        <v>1970</v>
      </c>
      <c r="Y1174" s="56">
        <v>6.2</v>
      </c>
    </row>
    <row r="1175" spans="1:25" x14ac:dyDescent="0.3">
      <c r="A1175" s="155"/>
      <c r="B1175" s="147"/>
      <c r="C1175" s="71" t="s">
        <v>89</v>
      </c>
      <c r="M1175" s="77"/>
      <c r="N1175" s="77"/>
      <c r="O1175" s="77"/>
      <c r="P1175" s="77"/>
      <c r="Q1175" s="77"/>
      <c r="R1175" s="77"/>
      <c r="S1175" s="77"/>
      <c r="T1175" s="132"/>
      <c r="U1175" s="77"/>
      <c r="V1175" s="159"/>
    </row>
    <row r="1176" spans="1:25" ht="39.9" x14ac:dyDescent="0.3">
      <c r="A1176" s="156"/>
      <c r="B1176" s="149"/>
      <c r="C1176" s="71" t="s">
        <v>123</v>
      </c>
      <c r="D1176" s="38" t="str">
        <f t="shared" ref="D1176:L1176" si="388">IF(((D1174="")*AND(D1175="")),"",(D1174-D1175)*1)</f>
        <v/>
      </c>
      <c r="E1176" s="38" t="str">
        <f t="shared" si="388"/>
        <v/>
      </c>
      <c r="F1176" s="38" t="str">
        <f t="shared" si="388"/>
        <v/>
      </c>
      <c r="G1176" s="38" t="str">
        <f t="shared" si="388"/>
        <v/>
      </c>
      <c r="H1176" s="38" t="str">
        <f t="shared" si="388"/>
        <v/>
      </c>
      <c r="I1176" s="38" t="str">
        <f t="shared" si="388"/>
        <v/>
      </c>
      <c r="J1176" s="38" t="str">
        <f t="shared" si="388"/>
        <v/>
      </c>
      <c r="K1176" s="38" t="str">
        <f t="shared" si="388"/>
        <v/>
      </c>
      <c r="L1176" s="38" t="str">
        <f t="shared" si="388"/>
        <v/>
      </c>
      <c r="M1176" s="135"/>
      <c r="N1176" s="135"/>
      <c r="O1176" s="135"/>
      <c r="P1176" s="135"/>
      <c r="Q1176" s="135"/>
      <c r="R1176" s="135"/>
      <c r="S1176" s="135"/>
      <c r="T1176" s="136"/>
      <c r="U1176" s="135"/>
      <c r="V1176" s="159"/>
    </row>
    <row r="1177" spans="1:25" x14ac:dyDescent="0.3">
      <c r="A1177" s="154"/>
      <c r="B1177" s="129" t="s">
        <v>124</v>
      </c>
      <c r="C1177" s="71" t="s">
        <v>88</v>
      </c>
      <c r="M1177" s="69" t="str">
        <f>IF((L1178=""),"",MAX(D1179:L1179))</f>
        <v/>
      </c>
      <c r="N1177" s="69" t="str">
        <f>IF(L1178="","",MIN(D1179:L1179))</f>
        <v/>
      </c>
      <c r="O1177" s="69" t="str">
        <f>IF((L1179=""),"",AVERAGE(D1179:L1179))</f>
        <v/>
      </c>
      <c r="P1177" s="69">
        <v>1600</v>
      </c>
      <c r="Q1177" s="69">
        <v>2000</v>
      </c>
      <c r="R1177" s="69" t="str">
        <f>IF((L1178=""),"",((M1177-N1177)/(M1177+N1177))*100)</f>
        <v/>
      </c>
      <c r="S1177" s="69">
        <v>23</v>
      </c>
      <c r="T1177" s="130" t="str">
        <f>IF(L1178="","",IF(R1178&lt;20,(IF(O1177&gt;1730,IF(O1177&lt;1970,"Pass","Fail"),"Fail"))))</f>
        <v/>
      </c>
      <c r="U1177" s="153"/>
      <c r="V1177" s="159"/>
      <c r="W1177" s="56">
        <v>1730</v>
      </c>
      <c r="X1177" s="56">
        <v>1970</v>
      </c>
      <c r="Y1177" s="56">
        <v>6.2</v>
      </c>
    </row>
    <row r="1178" spans="1:25" x14ac:dyDescent="0.3">
      <c r="A1178" s="155"/>
      <c r="B1178" s="147"/>
      <c r="C1178" s="71" t="s">
        <v>89</v>
      </c>
      <c r="M1178" s="77"/>
      <c r="N1178" s="77"/>
      <c r="O1178" s="77"/>
      <c r="P1178" s="77"/>
      <c r="Q1178" s="77"/>
      <c r="R1178" s="77"/>
      <c r="S1178" s="77"/>
      <c r="T1178" s="132"/>
      <c r="U1178" s="77"/>
      <c r="V1178" s="159"/>
    </row>
    <row r="1179" spans="1:25" ht="39.9" x14ac:dyDescent="0.3">
      <c r="A1179" s="156"/>
      <c r="B1179" s="149"/>
      <c r="C1179" s="71" t="s">
        <v>123</v>
      </c>
      <c r="D1179" s="38" t="str">
        <f t="shared" ref="D1179:L1179" si="389">IF(((D1177="")*AND(D1178="")),"",(D1177-D1178)*1)</f>
        <v/>
      </c>
      <c r="E1179" s="38" t="str">
        <f t="shared" si="389"/>
        <v/>
      </c>
      <c r="F1179" s="38" t="str">
        <f t="shared" si="389"/>
        <v/>
      </c>
      <c r="G1179" s="38" t="str">
        <f t="shared" si="389"/>
        <v/>
      </c>
      <c r="H1179" s="38" t="str">
        <f t="shared" si="389"/>
        <v/>
      </c>
      <c r="I1179" s="38" t="str">
        <f t="shared" si="389"/>
        <v/>
      </c>
      <c r="J1179" s="38" t="str">
        <f t="shared" si="389"/>
        <v/>
      </c>
      <c r="K1179" s="38" t="str">
        <f t="shared" si="389"/>
        <v/>
      </c>
      <c r="L1179" s="38" t="str">
        <f t="shared" si="389"/>
        <v/>
      </c>
      <c r="M1179" s="135"/>
      <c r="N1179" s="135"/>
      <c r="O1179" s="135"/>
      <c r="P1179" s="135"/>
      <c r="Q1179" s="135"/>
      <c r="R1179" s="135"/>
      <c r="S1179" s="135"/>
      <c r="T1179" s="136"/>
      <c r="U1179" s="135"/>
      <c r="V1179" s="159"/>
    </row>
    <row r="1180" spans="1:25" x14ac:dyDescent="0.3">
      <c r="A1180" s="154"/>
      <c r="B1180" s="129" t="s">
        <v>124</v>
      </c>
      <c r="C1180" s="71" t="s">
        <v>88</v>
      </c>
      <c r="M1180" s="69" t="str">
        <f>IF((L1181=""),"",MAX(D1182:L1182))</f>
        <v/>
      </c>
      <c r="N1180" s="69" t="str">
        <f>IF(L1181="","",MIN(D1182:L1182))</f>
        <v/>
      </c>
      <c r="O1180" s="69" t="str">
        <f>IF((L1182=""),"",AVERAGE(D1182:L1182))</f>
        <v/>
      </c>
      <c r="P1180" s="69">
        <v>1600</v>
      </c>
      <c r="Q1180" s="69">
        <v>2000</v>
      </c>
      <c r="R1180" s="69" t="str">
        <f>IF((L1181=""),"",((M1180-N1180)/(M1180+N1180))*100)</f>
        <v/>
      </c>
      <c r="S1180" s="69">
        <v>23</v>
      </c>
      <c r="T1180" s="130" t="str">
        <f>IF(L1181="","",IF(R1181&lt;20,(IF(O1180&gt;1730,IF(O1180&lt;1970,"Pass","Fail"),"Fail"))))</f>
        <v/>
      </c>
      <c r="U1180" s="153"/>
      <c r="V1180" s="159"/>
      <c r="W1180" s="56">
        <v>1730</v>
      </c>
      <c r="X1180" s="56">
        <v>1970</v>
      </c>
      <c r="Y1180" s="56">
        <v>6.2</v>
      </c>
    </row>
    <row r="1181" spans="1:25" x14ac:dyDescent="0.3">
      <c r="A1181" s="155"/>
      <c r="B1181" s="147"/>
      <c r="C1181" s="71" t="s">
        <v>89</v>
      </c>
      <c r="M1181" s="77"/>
      <c r="N1181" s="77"/>
      <c r="O1181" s="77"/>
      <c r="P1181" s="77"/>
      <c r="Q1181" s="77"/>
      <c r="R1181" s="77"/>
      <c r="S1181" s="77"/>
      <c r="T1181" s="132"/>
      <c r="U1181" s="77"/>
      <c r="V1181" s="159"/>
    </row>
    <row r="1182" spans="1:25" ht="39.9" x14ac:dyDescent="0.3">
      <c r="A1182" s="156"/>
      <c r="B1182" s="149"/>
      <c r="C1182" s="71" t="s">
        <v>123</v>
      </c>
      <c r="D1182" s="38" t="str">
        <f t="shared" ref="D1182:L1182" si="390">IF(((D1180="")*AND(D1181="")),"",(D1180-D1181)*1)</f>
        <v/>
      </c>
      <c r="E1182" s="38" t="str">
        <f t="shared" si="390"/>
        <v/>
      </c>
      <c r="F1182" s="38" t="str">
        <f t="shared" si="390"/>
        <v/>
      </c>
      <c r="G1182" s="38" t="str">
        <f t="shared" si="390"/>
        <v/>
      </c>
      <c r="H1182" s="38" t="str">
        <f t="shared" si="390"/>
        <v/>
      </c>
      <c r="I1182" s="38" t="str">
        <f t="shared" si="390"/>
        <v/>
      </c>
      <c r="J1182" s="38" t="str">
        <f t="shared" si="390"/>
        <v/>
      </c>
      <c r="K1182" s="38" t="str">
        <f t="shared" si="390"/>
        <v/>
      </c>
      <c r="L1182" s="38" t="str">
        <f t="shared" si="390"/>
        <v/>
      </c>
      <c r="M1182" s="135"/>
      <c r="N1182" s="135"/>
      <c r="O1182" s="135"/>
      <c r="P1182" s="135"/>
      <c r="Q1182" s="135"/>
      <c r="R1182" s="135"/>
      <c r="S1182" s="135"/>
      <c r="T1182" s="136"/>
      <c r="U1182" s="135"/>
      <c r="V1182" s="159"/>
    </row>
    <row r="1183" spans="1:25" x14ac:dyDescent="0.3">
      <c r="A1183" s="154"/>
      <c r="B1183" s="129" t="s">
        <v>124</v>
      </c>
      <c r="C1183" s="71" t="s">
        <v>88</v>
      </c>
      <c r="M1183" s="69" t="str">
        <f>IF((L1184=""),"",MAX(D1185:L1185))</f>
        <v/>
      </c>
      <c r="N1183" s="69" t="str">
        <f>IF(L1184="","",MIN(D1185:L1185))</f>
        <v/>
      </c>
      <c r="O1183" s="69" t="str">
        <f>IF((L1185=""),"",AVERAGE(D1185:L1185))</f>
        <v/>
      </c>
      <c r="P1183" s="69">
        <v>1600</v>
      </c>
      <c r="Q1183" s="69">
        <v>2000</v>
      </c>
      <c r="R1183" s="69" t="str">
        <f>IF((L1184=""),"",((M1183-N1183)/(M1183+N1183))*100)</f>
        <v/>
      </c>
      <c r="S1183" s="69">
        <v>23</v>
      </c>
      <c r="T1183" s="130" t="str">
        <f>IF(L1184="","",IF(R1184&lt;20,(IF(O1183&gt;1730,IF(O1183&lt;1970,"Pass","Fail"),"Fail"))))</f>
        <v/>
      </c>
      <c r="U1183" s="153"/>
      <c r="V1183" s="159"/>
      <c r="W1183" s="56">
        <v>1730</v>
      </c>
      <c r="X1183" s="56">
        <v>1970</v>
      </c>
      <c r="Y1183" s="56">
        <v>6.2</v>
      </c>
    </row>
    <row r="1184" spans="1:25" x14ac:dyDescent="0.3">
      <c r="A1184" s="155"/>
      <c r="B1184" s="147"/>
      <c r="C1184" s="71" t="s">
        <v>89</v>
      </c>
      <c r="M1184" s="77"/>
      <c r="N1184" s="77"/>
      <c r="O1184" s="77"/>
      <c r="P1184" s="77"/>
      <c r="Q1184" s="77"/>
      <c r="R1184" s="77"/>
      <c r="S1184" s="77"/>
      <c r="T1184" s="132"/>
      <c r="U1184" s="77"/>
      <c r="V1184" s="159"/>
    </row>
    <row r="1185" spans="1:25" ht="39.9" x14ac:dyDescent="0.3">
      <c r="A1185" s="156"/>
      <c r="B1185" s="149"/>
      <c r="C1185" s="71" t="s">
        <v>123</v>
      </c>
      <c r="D1185" s="38" t="str">
        <f t="shared" ref="D1185:L1185" si="391">IF(((D1183="")*AND(D1184="")),"",(D1183-D1184)*1)</f>
        <v/>
      </c>
      <c r="E1185" s="38" t="str">
        <f t="shared" si="391"/>
        <v/>
      </c>
      <c r="F1185" s="38" t="str">
        <f t="shared" si="391"/>
        <v/>
      </c>
      <c r="G1185" s="38" t="str">
        <f t="shared" si="391"/>
        <v/>
      </c>
      <c r="H1185" s="38" t="str">
        <f t="shared" si="391"/>
        <v/>
      </c>
      <c r="I1185" s="38" t="str">
        <f t="shared" si="391"/>
        <v/>
      </c>
      <c r="J1185" s="38" t="str">
        <f t="shared" si="391"/>
        <v/>
      </c>
      <c r="K1185" s="38" t="str">
        <f t="shared" si="391"/>
        <v/>
      </c>
      <c r="L1185" s="38" t="str">
        <f t="shared" si="391"/>
        <v/>
      </c>
      <c r="M1185" s="135"/>
      <c r="N1185" s="135"/>
      <c r="O1185" s="135"/>
      <c r="P1185" s="135"/>
      <c r="Q1185" s="135"/>
      <c r="R1185" s="135"/>
      <c r="S1185" s="135"/>
      <c r="T1185" s="136"/>
      <c r="U1185" s="135"/>
      <c r="V1185" s="159"/>
    </row>
    <row r="1186" spans="1:25" x14ac:dyDescent="0.3">
      <c r="A1186" s="154"/>
      <c r="B1186" s="129" t="s">
        <v>124</v>
      </c>
      <c r="C1186" s="71" t="s">
        <v>88</v>
      </c>
      <c r="M1186" s="69" t="str">
        <f>IF((L1187=""),"",MAX(D1188:L1188))</f>
        <v/>
      </c>
      <c r="N1186" s="69" t="str">
        <f>IF(L1187="","",MIN(D1188:L1188))</f>
        <v/>
      </c>
      <c r="O1186" s="69" t="str">
        <f>IF((L1188=""),"",AVERAGE(D1188:L1188))</f>
        <v/>
      </c>
      <c r="P1186" s="69">
        <v>1600</v>
      </c>
      <c r="Q1186" s="69">
        <v>2000</v>
      </c>
      <c r="R1186" s="69" t="str">
        <f>IF((L1187=""),"",((M1186-N1186)/(M1186+N1186))*100)</f>
        <v/>
      </c>
      <c r="S1186" s="69">
        <v>23</v>
      </c>
      <c r="T1186" s="130" t="str">
        <f>IF(L1187="","",IF(R1187&lt;20,(IF(O1186&gt;1730,IF(O1186&lt;1970,"Pass","Fail"),"Fail"))))</f>
        <v/>
      </c>
      <c r="U1186" s="153"/>
      <c r="V1186" s="159"/>
      <c r="W1186" s="56">
        <v>1730</v>
      </c>
      <c r="X1186" s="56">
        <v>1970</v>
      </c>
      <c r="Y1186" s="56">
        <v>6.2</v>
      </c>
    </row>
    <row r="1187" spans="1:25" x14ac:dyDescent="0.3">
      <c r="A1187" s="155"/>
      <c r="B1187" s="147"/>
      <c r="C1187" s="71" t="s">
        <v>89</v>
      </c>
      <c r="M1187" s="77"/>
      <c r="N1187" s="77"/>
      <c r="O1187" s="77"/>
      <c r="P1187" s="77"/>
      <c r="Q1187" s="77"/>
      <c r="R1187" s="77"/>
      <c r="S1187" s="77"/>
      <c r="T1187" s="132"/>
      <c r="U1187" s="77"/>
      <c r="V1187" s="159"/>
    </row>
    <row r="1188" spans="1:25" ht="39.9" x14ac:dyDescent="0.3">
      <c r="A1188" s="156"/>
      <c r="B1188" s="149"/>
      <c r="C1188" s="71" t="s">
        <v>123</v>
      </c>
      <c r="D1188" s="38" t="str">
        <f t="shared" ref="D1188:L1188" si="392">IF(((D1186="")*AND(D1187="")),"",(D1186-D1187)*1)</f>
        <v/>
      </c>
      <c r="E1188" s="38" t="str">
        <f t="shared" si="392"/>
        <v/>
      </c>
      <c r="F1188" s="38" t="str">
        <f t="shared" si="392"/>
        <v/>
      </c>
      <c r="G1188" s="38" t="str">
        <f t="shared" si="392"/>
        <v/>
      </c>
      <c r="H1188" s="38" t="str">
        <f t="shared" si="392"/>
        <v/>
      </c>
      <c r="I1188" s="38" t="str">
        <f t="shared" si="392"/>
        <v/>
      </c>
      <c r="J1188" s="38" t="str">
        <f t="shared" si="392"/>
        <v/>
      </c>
      <c r="K1188" s="38" t="str">
        <f t="shared" si="392"/>
        <v/>
      </c>
      <c r="L1188" s="38" t="str">
        <f t="shared" si="392"/>
        <v/>
      </c>
      <c r="M1188" s="135"/>
      <c r="N1188" s="135"/>
      <c r="O1188" s="135"/>
      <c r="P1188" s="135"/>
      <c r="Q1188" s="135"/>
      <c r="R1188" s="135"/>
      <c r="S1188" s="135"/>
      <c r="T1188" s="136"/>
      <c r="U1188" s="135"/>
      <c r="V1188" s="159"/>
    </row>
    <row r="1189" spans="1:25" x14ac:dyDescent="0.3">
      <c r="A1189" s="154"/>
      <c r="B1189" s="129" t="s">
        <v>124</v>
      </c>
      <c r="C1189" s="71" t="s">
        <v>88</v>
      </c>
      <c r="M1189" s="69" t="str">
        <f>IF((L1190=""),"",MAX(D1191:L1191))</f>
        <v/>
      </c>
      <c r="N1189" s="69" t="str">
        <f>IF(L1190="","",MIN(D1191:L1191))</f>
        <v/>
      </c>
      <c r="O1189" s="69" t="str">
        <f>IF((L1191=""),"",AVERAGE(D1191:L1191))</f>
        <v/>
      </c>
      <c r="P1189" s="69">
        <v>1600</v>
      </c>
      <c r="Q1189" s="69">
        <v>2000</v>
      </c>
      <c r="R1189" s="69" t="str">
        <f>IF((L1190=""),"",((M1189-N1189)/(M1189+N1189))*100)</f>
        <v/>
      </c>
      <c r="S1189" s="69">
        <v>23</v>
      </c>
      <c r="T1189" s="130" t="str">
        <f>IF(L1190="","",IF(R1190&lt;20,(IF(O1189&gt;1730,IF(O1189&lt;1970,"Pass","Fail"),"Fail"))))</f>
        <v/>
      </c>
      <c r="U1189" s="153"/>
      <c r="V1189" s="159"/>
      <c r="W1189" s="56">
        <v>1730</v>
      </c>
      <c r="X1189" s="56">
        <v>1970</v>
      </c>
      <c r="Y1189" s="56">
        <v>6.2</v>
      </c>
    </row>
    <row r="1190" spans="1:25" x14ac:dyDescent="0.3">
      <c r="A1190" s="155"/>
      <c r="B1190" s="147"/>
      <c r="C1190" s="71" t="s">
        <v>89</v>
      </c>
      <c r="M1190" s="77"/>
      <c r="N1190" s="77"/>
      <c r="O1190" s="77"/>
      <c r="P1190" s="77"/>
      <c r="Q1190" s="77"/>
      <c r="R1190" s="77"/>
      <c r="S1190" s="77"/>
      <c r="T1190" s="132"/>
      <c r="U1190" s="77"/>
      <c r="V1190" s="159"/>
    </row>
    <row r="1191" spans="1:25" ht="39.9" x14ac:dyDescent="0.3">
      <c r="A1191" s="156"/>
      <c r="B1191" s="149"/>
      <c r="C1191" s="71" t="s">
        <v>123</v>
      </c>
      <c r="D1191" s="38" t="str">
        <f t="shared" ref="D1191:L1191" si="393">IF(((D1189="")*AND(D1190="")),"",(D1189-D1190)*1)</f>
        <v/>
      </c>
      <c r="E1191" s="38" t="str">
        <f t="shared" si="393"/>
        <v/>
      </c>
      <c r="F1191" s="38" t="str">
        <f t="shared" si="393"/>
        <v/>
      </c>
      <c r="G1191" s="38" t="str">
        <f t="shared" si="393"/>
        <v/>
      </c>
      <c r="H1191" s="38" t="str">
        <f t="shared" si="393"/>
        <v/>
      </c>
      <c r="I1191" s="38" t="str">
        <f t="shared" si="393"/>
        <v/>
      </c>
      <c r="J1191" s="38" t="str">
        <f t="shared" si="393"/>
        <v/>
      </c>
      <c r="K1191" s="38" t="str">
        <f t="shared" si="393"/>
        <v/>
      </c>
      <c r="L1191" s="38" t="str">
        <f t="shared" si="393"/>
        <v/>
      </c>
      <c r="M1191" s="135"/>
      <c r="N1191" s="135"/>
      <c r="O1191" s="135"/>
      <c r="P1191" s="135"/>
      <c r="Q1191" s="135"/>
      <c r="R1191" s="135"/>
      <c r="S1191" s="135"/>
      <c r="T1191" s="136"/>
      <c r="U1191" s="135"/>
      <c r="V1191" s="159"/>
    </row>
    <row r="1192" spans="1:25" x14ac:dyDescent="0.3">
      <c r="A1192" s="154"/>
      <c r="B1192" s="129" t="s">
        <v>124</v>
      </c>
      <c r="C1192" s="71" t="s">
        <v>88</v>
      </c>
      <c r="M1192" s="69" t="str">
        <f>IF((L1193=""),"",MAX(D1194:L1194))</f>
        <v/>
      </c>
      <c r="N1192" s="69" t="str">
        <f>IF(L1193="","",MIN(D1194:L1194))</f>
        <v/>
      </c>
      <c r="O1192" s="69" t="str">
        <f>IF((L1194=""),"",AVERAGE(D1194:L1194))</f>
        <v/>
      </c>
      <c r="P1192" s="69">
        <v>1600</v>
      </c>
      <c r="Q1192" s="69">
        <v>2000</v>
      </c>
      <c r="R1192" s="69" t="str">
        <f>IF((L1193=""),"",((M1192-N1192)/(M1192+N1192))*100)</f>
        <v/>
      </c>
      <c r="S1192" s="69">
        <v>23</v>
      </c>
      <c r="T1192" s="130" t="str">
        <f>IF(L1193="","",IF(R1193&lt;20,(IF(O1192&gt;1730,IF(O1192&lt;1970,"Pass","Fail"),"Fail"))))</f>
        <v/>
      </c>
      <c r="U1192" s="153"/>
      <c r="V1192" s="159"/>
      <c r="W1192" s="56">
        <v>1730</v>
      </c>
      <c r="X1192" s="56">
        <v>1970</v>
      </c>
      <c r="Y1192" s="56">
        <v>6.2</v>
      </c>
    </row>
    <row r="1193" spans="1:25" x14ac:dyDescent="0.3">
      <c r="A1193" s="155"/>
      <c r="B1193" s="147"/>
      <c r="C1193" s="71" t="s">
        <v>89</v>
      </c>
      <c r="M1193" s="77"/>
      <c r="N1193" s="77"/>
      <c r="O1193" s="77"/>
      <c r="P1193" s="77"/>
      <c r="Q1193" s="77"/>
      <c r="R1193" s="77"/>
      <c r="S1193" s="77"/>
      <c r="T1193" s="132"/>
      <c r="U1193" s="77"/>
      <c r="V1193" s="159"/>
    </row>
    <row r="1194" spans="1:25" ht="39.9" x14ac:dyDescent="0.3">
      <c r="A1194" s="156"/>
      <c r="B1194" s="149"/>
      <c r="C1194" s="71" t="s">
        <v>123</v>
      </c>
      <c r="D1194" s="38" t="str">
        <f t="shared" ref="D1194:L1194" si="394">IF(((D1192="")*AND(D1193="")),"",(D1192-D1193)*1)</f>
        <v/>
      </c>
      <c r="E1194" s="38" t="str">
        <f t="shared" si="394"/>
        <v/>
      </c>
      <c r="F1194" s="38" t="str">
        <f t="shared" si="394"/>
        <v/>
      </c>
      <c r="G1194" s="38" t="str">
        <f t="shared" si="394"/>
        <v/>
      </c>
      <c r="H1194" s="38" t="str">
        <f t="shared" si="394"/>
        <v/>
      </c>
      <c r="I1194" s="38" t="str">
        <f t="shared" si="394"/>
        <v/>
      </c>
      <c r="J1194" s="38" t="str">
        <f t="shared" si="394"/>
        <v/>
      </c>
      <c r="K1194" s="38" t="str">
        <f t="shared" si="394"/>
        <v/>
      </c>
      <c r="L1194" s="38" t="str">
        <f t="shared" si="394"/>
        <v/>
      </c>
      <c r="M1194" s="135"/>
      <c r="N1194" s="135"/>
      <c r="O1194" s="135"/>
      <c r="P1194" s="135"/>
      <c r="Q1194" s="135"/>
      <c r="R1194" s="135"/>
      <c r="S1194" s="135"/>
      <c r="T1194" s="136"/>
      <c r="U1194" s="135"/>
      <c r="V1194" s="159"/>
    </row>
    <row r="1195" spans="1:25" x14ac:dyDescent="0.3">
      <c r="A1195" s="154"/>
      <c r="B1195" s="129" t="s">
        <v>124</v>
      </c>
      <c r="C1195" s="71" t="s">
        <v>88</v>
      </c>
      <c r="M1195" s="69" t="str">
        <f>IF((L1196=""),"",MAX(D1197:L1197))</f>
        <v/>
      </c>
      <c r="N1195" s="69" t="str">
        <f>IF(L1196="","",MIN(D1197:L1197))</f>
        <v/>
      </c>
      <c r="O1195" s="69" t="str">
        <f>IF((L1197=""),"",AVERAGE(D1197:L1197))</f>
        <v/>
      </c>
      <c r="P1195" s="69">
        <v>1600</v>
      </c>
      <c r="Q1195" s="69">
        <v>2000</v>
      </c>
      <c r="R1195" s="69" t="str">
        <f>IF((L1196=""),"",((M1195-N1195)/(M1195+N1195))*100)</f>
        <v/>
      </c>
      <c r="S1195" s="69">
        <v>23</v>
      </c>
      <c r="T1195" s="130" t="str">
        <f>IF(L1196="","",IF(R1196&lt;20,(IF(O1195&gt;1730,IF(O1195&lt;1970,"Pass","Fail"),"Fail"))))</f>
        <v/>
      </c>
      <c r="U1195" s="153"/>
      <c r="V1195" s="159"/>
      <c r="W1195" s="56">
        <v>1730</v>
      </c>
      <c r="X1195" s="56">
        <v>1970</v>
      </c>
      <c r="Y1195" s="56">
        <v>6.2</v>
      </c>
    </row>
    <row r="1196" spans="1:25" x14ac:dyDescent="0.3">
      <c r="A1196" s="155"/>
      <c r="B1196" s="147"/>
      <c r="C1196" s="71" t="s">
        <v>89</v>
      </c>
      <c r="M1196" s="77"/>
      <c r="N1196" s="77"/>
      <c r="O1196" s="77"/>
      <c r="P1196" s="77"/>
      <c r="Q1196" s="77"/>
      <c r="R1196" s="77"/>
      <c r="S1196" s="77"/>
      <c r="T1196" s="132"/>
      <c r="U1196" s="77"/>
      <c r="V1196" s="159"/>
    </row>
    <row r="1197" spans="1:25" ht="39.9" x14ac:dyDescent="0.3">
      <c r="A1197" s="156"/>
      <c r="B1197" s="149"/>
      <c r="C1197" s="71" t="s">
        <v>123</v>
      </c>
      <c r="D1197" s="38" t="str">
        <f t="shared" ref="D1197:L1197" si="395">IF(((D1195="")*AND(D1196="")),"",(D1195-D1196)*1)</f>
        <v/>
      </c>
      <c r="E1197" s="38" t="str">
        <f t="shared" si="395"/>
        <v/>
      </c>
      <c r="F1197" s="38" t="str">
        <f t="shared" si="395"/>
        <v/>
      </c>
      <c r="G1197" s="38" t="str">
        <f t="shared" si="395"/>
        <v/>
      </c>
      <c r="H1197" s="38" t="str">
        <f t="shared" si="395"/>
        <v/>
      </c>
      <c r="I1197" s="38" t="str">
        <f t="shared" si="395"/>
        <v/>
      </c>
      <c r="J1197" s="38" t="str">
        <f t="shared" si="395"/>
        <v/>
      </c>
      <c r="K1197" s="38" t="str">
        <f t="shared" si="395"/>
        <v/>
      </c>
      <c r="L1197" s="38" t="str">
        <f t="shared" si="395"/>
        <v/>
      </c>
      <c r="M1197" s="135"/>
      <c r="N1197" s="135"/>
      <c r="O1197" s="135"/>
      <c r="P1197" s="135"/>
      <c r="Q1197" s="135"/>
      <c r="R1197" s="135"/>
      <c r="S1197" s="135"/>
      <c r="T1197" s="136"/>
      <c r="U1197" s="135"/>
      <c r="V1197" s="159"/>
    </row>
    <row r="1198" spans="1:25" x14ac:dyDescent="0.3">
      <c r="A1198" s="154"/>
      <c r="B1198" s="129" t="s">
        <v>124</v>
      </c>
      <c r="C1198" s="71" t="s">
        <v>88</v>
      </c>
      <c r="M1198" s="69" t="str">
        <f>IF((L1199=""),"",MAX(D1200:L1200))</f>
        <v/>
      </c>
      <c r="N1198" s="69" t="str">
        <f>IF(L1199="","",MIN(D1200:L1200))</f>
        <v/>
      </c>
      <c r="O1198" s="69" t="str">
        <f>IF((L1200=""),"",AVERAGE(D1200:L1200))</f>
        <v/>
      </c>
      <c r="P1198" s="69">
        <v>1600</v>
      </c>
      <c r="Q1198" s="69">
        <v>2000</v>
      </c>
      <c r="R1198" s="69" t="str">
        <f>IF((L1199=""),"",((M1198-N1198)/(M1198+N1198))*100)</f>
        <v/>
      </c>
      <c r="S1198" s="69">
        <v>23</v>
      </c>
      <c r="T1198" s="130" t="str">
        <f>IF(L1199="","",IF(R1199&lt;20,(IF(O1198&gt;1730,IF(O1198&lt;1970,"Pass","Fail"),"Fail"))))</f>
        <v/>
      </c>
      <c r="U1198" s="153"/>
      <c r="V1198" s="159"/>
      <c r="W1198" s="56">
        <v>1730</v>
      </c>
      <c r="X1198" s="56">
        <v>1970</v>
      </c>
      <c r="Y1198" s="56">
        <v>6.2</v>
      </c>
    </row>
    <row r="1199" spans="1:25" x14ac:dyDescent="0.3">
      <c r="A1199" s="155"/>
      <c r="B1199" s="147"/>
      <c r="C1199" s="71" t="s">
        <v>89</v>
      </c>
      <c r="M1199" s="77"/>
      <c r="N1199" s="77"/>
      <c r="O1199" s="77"/>
      <c r="P1199" s="77"/>
      <c r="Q1199" s="77"/>
      <c r="R1199" s="77"/>
      <c r="S1199" s="77"/>
      <c r="T1199" s="132"/>
      <c r="U1199" s="77"/>
      <c r="V1199" s="159"/>
    </row>
    <row r="1200" spans="1:25" ht="39.9" x14ac:dyDescent="0.3">
      <c r="A1200" s="156"/>
      <c r="B1200" s="149"/>
      <c r="C1200" s="71" t="s">
        <v>123</v>
      </c>
      <c r="D1200" s="38" t="str">
        <f t="shared" ref="D1200:L1200" si="396">IF(((D1198="")*AND(D1199="")),"",(D1198-D1199)*1)</f>
        <v/>
      </c>
      <c r="E1200" s="38" t="str">
        <f t="shared" si="396"/>
        <v/>
      </c>
      <c r="F1200" s="38" t="str">
        <f t="shared" si="396"/>
        <v/>
      </c>
      <c r="G1200" s="38" t="str">
        <f t="shared" si="396"/>
        <v/>
      </c>
      <c r="H1200" s="38" t="str">
        <f t="shared" si="396"/>
        <v/>
      </c>
      <c r="I1200" s="38" t="str">
        <f t="shared" si="396"/>
        <v/>
      </c>
      <c r="J1200" s="38" t="str">
        <f t="shared" si="396"/>
        <v/>
      </c>
      <c r="K1200" s="38" t="str">
        <f t="shared" si="396"/>
        <v/>
      </c>
      <c r="L1200" s="38" t="str">
        <f t="shared" si="396"/>
        <v/>
      </c>
      <c r="M1200" s="135"/>
      <c r="N1200" s="135"/>
      <c r="O1200" s="135"/>
      <c r="P1200" s="135"/>
      <c r="Q1200" s="135"/>
      <c r="R1200" s="135"/>
      <c r="S1200" s="135"/>
      <c r="T1200" s="136"/>
      <c r="U1200" s="135"/>
      <c r="V1200" s="159"/>
    </row>
    <row r="1201" spans="1:25" x14ac:dyDescent="0.3">
      <c r="A1201" s="154"/>
      <c r="B1201" s="129" t="s">
        <v>124</v>
      </c>
      <c r="C1201" s="71" t="s">
        <v>88</v>
      </c>
      <c r="M1201" s="69" t="str">
        <f>IF((L1202=""),"",MAX(D1203:L1203))</f>
        <v/>
      </c>
      <c r="N1201" s="69" t="str">
        <f>IF(L1202="","",MIN(D1203:L1203))</f>
        <v/>
      </c>
      <c r="O1201" s="69" t="str">
        <f>IF((L1203=""),"",AVERAGE(D1203:L1203))</f>
        <v/>
      </c>
      <c r="P1201" s="69">
        <v>1600</v>
      </c>
      <c r="Q1201" s="69">
        <v>2000</v>
      </c>
      <c r="R1201" s="69" t="str">
        <f>IF((L1202=""),"",((M1201-N1201)/(M1201+N1201))*100)</f>
        <v/>
      </c>
      <c r="S1201" s="69">
        <v>23</v>
      </c>
      <c r="T1201" s="130" t="str">
        <f>IF(L1202="","",IF(R1202&lt;20,(IF(O1201&gt;1730,IF(O1201&lt;1970,"Pass","Fail"),"Fail"))))</f>
        <v/>
      </c>
      <c r="U1201" s="153"/>
      <c r="V1201" s="159"/>
      <c r="W1201" s="56">
        <v>1730</v>
      </c>
      <c r="X1201" s="56">
        <v>1970</v>
      </c>
      <c r="Y1201" s="56">
        <v>6.2</v>
      </c>
    </row>
    <row r="1202" spans="1:25" x14ac:dyDescent="0.3">
      <c r="A1202" s="155"/>
      <c r="B1202" s="147"/>
      <c r="C1202" s="71" t="s">
        <v>89</v>
      </c>
      <c r="M1202" s="77"/>
      <c r="N1202" s="77"/>
      <c r="O1202" s="77"/>
      <c r="P1202" s="77"/>
      <c r="Q1202" s="77"/>
      <c r="R1202" s="77"/>
      <c r="S1202" s="77"/>
      <c r="T1202" s="132"/>
      <c r="U1202" s="77"/>
      <c r="V1202" s="159"/>
    </row>
    <row r="1203" spans="1:25" ht="39.9" x14ac:dyDescent="0.3">
      <c r="A1203" s="156"/>
      <c r="B1203" s="149"/>
      <c r="C1203" s="71" t="s">
        <v>123</v>
      </c>
      <c r="D1203" s="38" t="str">
        <f t="shared" ref="D1203:L1203" si="397">IF(((D1201="")*AND(D1202="")),"",(D1201-D1202)*1)</f>
        <v/>
      </c>
      <c r="E1203" s="38" t="str">
        <f t="shared" si="397"/>
        <v/>
      </c>
      <c r="F1203" s="38" t="str">
        <f t="shared" si="397"/>
        <v/>
      </c>
      <c r="G1203" s="38" t="str">
        <f t="shared" si="397"/>
        <v/>
      </c>
      <c r="H1203" s="38" t="str">
        <f t="shared" si="397"/>
        <v/>
      </c>
      <c r="I1203" s="38" t="str">
        <f t="shared" si="397"/>
        <v/>
      </c>
      <c r="J1203" s="38" t="str">
        <f t="shared" si="397"/>
        <v/>
      </c>
      <c r="K1203" s="38" t="str">
        <f t="shared" si="397"/>
        <v/>
      </c>
      <c r="L1203" s="38" t="str">
        <f t="shared" si="397"/>
        <v/>
      </c>
      <c r="M1203" s="135"/>
      <c r="N1203" s="135"/>
      <c r="O1203" s="135"/>
      <c r="P1203" s="135"/>
      <c r="Q1203" s="135"/>
      <c r="R1203" s="135"/>
      <c r="S1203" s="135"/>
      <c r="T1203" s="136"/>
      <c r="U1203" s="135"/>
      <c r="V1203" s="159"/>
    </row>
    <row r="1204" spans="1:25" x14ac:dyDescent="0.3">
      <c r="A1204" s="154"/>
      <c r="B1204" s="129" t="s">
        <v>124</v>
      </c>
      <c r="C1204" s="71" t="s">
        <v>88</v>
      </c>
      <c r="M1204" s="69" t="str">
        <f>IF((L1205=""),"",MAX(D1206:L1206))</f>
        <v/>
      </c>
      <c r="N1204" s="69" t="str">
        <f>IF(L1205="","",MIN(D1206:L1206))</f>
        <v/>
      </c>
      <c r="O1204" s="69" t="str">
        <f>IF((L1206=""),"",AVERAGE(D1206:L1206))</f>
        <v/>
      </c>
      <c r="P1204" s="69">
        <v>1600</v>
      </c>
      <c r="Q1204" s="69">
        <v>2000</v>
      </c>
      <c r="R1204" s="69" t="str">
        <f>IF((L1205=""),"",((M1204-N1204)/(M1204+N1204))*100)</f>
        <v/>
      </c>
      <c r="S1204" s="69">
        <v>23</v>
      </c>
      <c r="T1204" s="130" t="str">
        <f>IF(L1205="","",IF(R1205&lt;20,(IF(O1204&gt;1730,IF(O1204&lt;1970,"Pass","Fail"),"Fail"))))</f>
        <v/>
      </c>
      <c r="U1204" s="153"/>
      <c r="V1204" s="159"/>
      <c r="W1204" s="56">
        <v>1730</v>
      </c>
      <c r="X1204" s="56">
        <v>1970</v>
      </c>
      <c r="Y1204" s="56">
        <v>6.2</v>
      </c>
    </row>
    <row r="1205" spans="1:25" x14ac:dyDescent="0.3">
      <c r="A1205" s="155"/>
      <c r="B1205" s="147"/>
      <c r="C1205" s="71" t="s">
        <v>89</v>
      </c>
      <c r="M1205" s="77"/>
      <c r="N1205" s="77"/>
      <c r="O1205" s="77"/>
      <c r="P1205" s="77"/>
      <c r="Q1205" s="77"/>
      <c r="R1205" s="77"/>
      <c r="S1205" s="77"/>
      <c r="T1205" s="132"/>
      <c r="U1205" s="77"/>
      <c r="V1205" s="159"/>
    </row>
    <row r="1206" spans="1:25" ht="39.9" x14ac:dyDescent="0.3">
      <c r="A1206" s="156"/>
      <c r="B1206" s="149"/>
      <c r="C1206" s="71" t="s">
        <v>123</v>
      </c>
      <c r="D1206" s="38" t="str">
        <f t="shared" ref="D1206:L1206" si="398">IF(((D1204="")*AND(D1205="")),"",(D1204-D1205)*1)</f>
        <v/>
      </c>
      <c r="E1206" s="38" t="str">
        <f t="shared" si="398"/>
        <v/>
      </c>
      <c r="F1206" s="38" t="str">
        <f t="shared" si="398"/>
        <v/>
      </c>
      <c r="G1206" s="38" t="str">
        <f t="shared" si="398"/>
        <v/>
      </c>
      <c r="H1206" s="38" t="str">
        <f t="shared" si="398"/>
        <v/>
      </c>
      <c r="I1206" s="38" t="str">
        <f t="shared" si="398"/>
        <v/>
      </c>
      <c r="J1206" s="38" t="str">
        <f t="shared" si="398"/>
        <v/>
      </c>
      <c r="K1206" s="38" t="str">
        <f t="shared" si="398"/>
        <v/>
      </c>
      <c r="L1206" s="38" t="str">
        <f t="shared" si="398"/>
        <v/>
      </c>
      <c r="M1206" s="135"/>
      <c r="N1206" s="135"/>
      <c r="O1206" s="135"/>
      <c r="P1206" s="135"/>
      <c r="Q1206" s="135"/>
      <c r="R1206" s="135"/>
      <c r="S1206" s="135"/>
      <c r="T1206" s="136"/>
      <c r="U1206" s="135"/>
      <c r="V1206" s="159"/>
    </row>
    <row r="1207" spans="1:25" x14ac:dyDescent="0.3">
      <c r="A1207" s="154"/>
      <c r="B1207" s="129" t="s">
        <v>124</v>
      </c>
      <c r="C1207" s="71" t="s">
        <v>88</v>
      </c>
      <c r="M1207" s="69" t="str">
        <f>IF((L1208=""),"",MAX(D1209:L1209))</f>
        <v/>
      </c>
      <c r="N1207" s="69" t="str">
        <f>IF(L1208="","",MIN(D1209:L1209))</f>
        <v/>
      </c>
      <c r="O1207" s="69" t="str">
        <f>IF((L1209=""),"",AVERAGE(D1209:L1209))</f>
        <v/>
      </c>
      <c r="P1207" s="69">
        <v>1600</v>
      </c>
      <c r="Q1207" s="69">
        <v>2000</v>
      </c>
      <c r="R1207" s="69" t="str">
        <f>IF((L1208=""),"",((M1207-N1207)/(M1207+N1207))*100)</f>
        <v/>
      </c>
      <c r="S1207" s="69">
        <v>23</v>
      </c>
      <c r="T1207" s="130" t="str">
        <f>IF(L1208="","",IF(R1208&lt;20,(IF(O1207&gt;1730,IF(O1207&lt;1970,"Pass","Fail"),"Fail"))))</f>
        <v/>
      </c>
      <c r="U1207" s="153"/>
      <c r="V1207" s="159"/>
      <c r="W1207" s="56">
        <v>1730</v>
      </c>
      <c r="X1207" s="56">
        <v>1970</v>
      </c>
      <c r="Y1207" s="56">
        <v>6.2</v>
      </c>
    </row>
    <row r="1208" spans="1:25" x14ac:dyDescent="0.3">
      <c r="A1208" s="155"/>
      <c r="B1208" s="147"/>
      <c r="C1208" s="71" t="s">
        <v>89</v>
      </c>
      <c r="M1208" s="77"/>
      <c r="N1208" s="77"/>
      <c r="O1208" s="77"/>
      <c r="P1208" s="77"/>
      <c r="Q1208" s="77"/>
      <c r="R1208" s="77"/>
      <c r="S1208" s="77"/>
      <c r="T1208" s="132"/>
      <c r="U1208" s="77"/>
      <c r="V1208" s="159"/>
    </row>
    <row r="1209" spans="1:25" ht="39.9" x14ac:dyDescent="0.3">
      <c r="A1209" s="156"/>
      <c r="B1209" s="149"/>
      <c r="C1209" s="71" t="s">
        <v>123</v>
      </c>
      <c r="D1209" s="38" t="str">
        <f t="shared" ref="D1209:L1209" si="399">IF(((D1207="")*AND(D1208="")),"",(D1207-D1208)*1)</f>
        <v/>
      </c>
      <c r="E1209" s="38" t="str">
        <f t="shared" si="399"/>
        <v/>
      </c>
      <c r="F1209" s="38" t="str">
        <f t="shared" si="399"/>
        <v/>
      </c>
      <c r="G1209" s="38" t="str">
        <f t="shared" si="399"/>
        <v/>
      </c>
      <c r="H1209" s="38" t="str">
        <f t="shared" si="399"/>
        <v/>
      </c>
      <c r="I1209" s="38" t="str">
        <f t="shared" si="399"/>
        <v/>
      </c>
      <c r="J1209" s="38" t="str">
        <f t="shared" si="399"/>
        <v/>
      </c>
      <c r="K1209" s="38" t="str">
        <f t="shared" si="399"/>
        <v/>
      </c>
      <c r="L1209" s="38" t="str">
        <f t="shared" si="399"/>
        <v/>
      </c>
      <c r="M1209" s="135"/>
      <c r="N1209" s="135"/>
      <c r="O1209" s="135"/>
      <c r="P1209" s="135"/>
      <c r="Q1209" s="135"/>
      <c r="R1209" s="135"/>
      <c r="S1209" s="135"/>
      <c r="T1209" s="136"/>
      <c r="U1209" s="135"/>
      <c r="V1209" s="159"/>
    </row>
    <row r="1210" spans="1:25" x14ac:dyDescent="0.3">
      <c r="A1210" s="154"/>
      <c r="B1210" s="129" t="s">
        <v>124</v>
      </c>
      <c r="C1210" s="71" t="s">
        <v>88</v>
      </c>
      <c r="M1210" s="69" t="str">
        <f>IF((L1211=""),"",MAX(D1212:L1212))</f>
        <v/>
      </c>
      <c r="N1210" s="69" t="str">
        <f>IF(L1211="","",MIN(D1212:L1212))</f>
        <v/>
      </c>
      <c r="O1210" s="69" t="str">
        <f>IF((L1212=""),"",AVERAGE(D1212:L1212))</f>
        <v/>
      </c>
      <c r="P1210" s="69">
        <v>1600</v>
      </c>
      <c r="Q1210" s="69">
        <v>2000</v>
      </c>
      <c r="R1210" s="69" t="str">
        <f>IF((L1211=""),"",((M1210-N1210)/(M1210+N1210))*100)</f>
        <v/>
      </c>
      <c r="S1210" s="69">
        <v>23</v>
      </c>
      <c r="T1210" s="130" t="str">
        <f>IF(L1211="","",IF(R1211&lt;20,(IF(O1210&gt;1730,IF(O1210&lt;1970,"Pass","Fail"),"Fail"))))</f>
        <v/>
      </c>
      <c r="U1210" s="153"/>
      <c r="V1210" s="159"/>
      <c r="W1210" s="56">
        <v>1730</v>
      </c>
      <c r="X1210" s="56">
        <v>1970</v>
      </c>
      <c r="Y1210" s="56">
        <v>6.2</v>
      </c>
    </row>
    <row r="1211" spans="1:25" x14ac:dyDescent="0.3">
      <c r="A1211" s="155"/>
      <c r="B1211" s="147"/>
      <c r="C1211" s="71" t="s">
        <v>89</v>
      </c>
      <c r="M1211" s="77"/>
      <c r="N1211" s="77"/>
      <c r="O1211" s="77"/>
      <c r="P1211" s="77"/>
      <c r="Q1211" s="77"/>
      <c r="R1211" s="77"/>
      <c r="S1211" s="77"/>
      <c r="T1211" s="132"/>
      <c r="U1211" s="77"/>
      <c r="V1211" s="159"/>
    </row>
    <row r="1212" spans="1:25" ht="39.9" x14ac:dyDescent="0.3">
      <c r="A1212" s="156"/>
      <c r="B1212" s="149"/>
      <c r="C1212" s="71" t="s">
        <v>123</v>
      </c>
      <c r="D1212" s="38" t="str">
        <f t="shared" ref="D1212:L1212" si="400">IF(((D1210="")*AND(D1211="")),"",(D1210-D1211)*1)</f>
        <v/>
      </c>
      <c r="E1212" s="38" t="str">
        <f t="shared" si="400"/>
        <v/>
      </c>
      <c r="F1212" s="38" t="str">
        <f t="shared" si="400"/>
        <v/>
      </c>
      <c r="G1212" s="38" t="str">
        <f t="shared" si="400"/>
        <v/>
      </c>
      <c r="H1212" s="38" t="str">
        <f t="shared" si="400"/>
        <v/>
      </c>
      <c r="I1212" s="38" t="str">
        <f t="shared" si="400"/>
        <v/>
      </c>
      <c r="J1212" s="38" t="str">
        <f t="shared" si="400"/>
        <v/>
      </c>
      <c r="K1212" s="38" t="str">
        <f t="shared" si="400"/>
        <v/>
      </c>
      <c r="L1212" s="38" t="str">
        <f t="shared" si="400"/>
        <v/>
      </c>
      <c r="M1212" s="135"/>
      <c r="N1212" s="135"/>
      <c r="O1212" s="135"/>
      <c r="P1212" s="135"/>
      <c r="Q1212" s="135"/>
      <c r="R1212" s="135"/>
      <c r="S1212" s="135"/>
      <c r="T1212" s="136"/>
      <c r="U1212" s="135"/>
      <c r="V1212" s="159"/>
    </row>
    <row r="1213" spans="1:25" x14ac:dyDescent="0.3">
      <c r="A1213" s="154"/>
      <c r="B1213" s="129" t="s">
        <v>124</v>
      </c>
      <c r="C1213" s="71" t="s">
        <v>88</v>
      </c>
      <c r="M1213" s="69" t="str">
        <f>IF((L1214=""),"",MAX(D1215:L1215))</f>
        <v/>
      </c>
      <c r="N1213" s="69" t="str">
        <f>IF(L1214="","",MIN(D1215:L1215))</f>
        <v/>
      </c>
      <c r="O1213" s="69" t="str">
        <f>IF((L1215=""),"",AVERAGE(D1215:L1215))</f>
        <v/>
      </c>
      <c r="P1213" s="69">
        <v>1600</v>
      </c>
      <c r="Q1213" s="69">
        <v>2000</v>
      </c>
      <c r="R1213" s="69" t="str">
        <f>IF((L1214=""),"",((M1213-N1213)/(M1213+N1213))*100)</f>
        <v/>
      </c>
      <c r="S1213" s="69">
        <v>23</v>
      </c>
      <c r="T1213" s="130" t="str">
        <f>IF(L1214="","",IF(R1214&lt;20,(IF(O1213&gt;1730,IF(O1213&lt;1970,"Pass","Fail"),"Fail"))))</f>
        <v/>
      </c>
      <c r="U1213" s="153"/>
      <c r="V1213" s="159"/>
      <c r="W1213" s="56">
        <v>1730</v>
      </c>
      <c r="X1213" s="56">
        <v>1970</v>
      </c>
      <c r="Y1213" s="56">
        <v>6.2</v>
      </c>
    </row>
    <row r="1214" spans="1:25" x14ac:dyDescent="0.3">
      <c r="A1214" s="155"/>
      <c r="B1214" s="147"/>
      <c r="C1214" s="71" t="s">
        <v>89</v>
      </c>
      <c r="M1214" s="77"/>
      <c r="N1214" s="77"/>
      <c r="O1214" s="77"/>
      <c r="P1214" s="77"/>
      <c r="Q1214" s="77"/>
      <c r="R1214" s="77"/>
      <c r="S1214" s="77"/>
      <c r="T1214" s="132"/>
      <c r="U1214" s="77"/>
      <c r="V1214" s="159"/>
    </row>
    <row r="1215" spans="1:25" ht="39.9" x14ac:dyDescent="0.3">
      <c r="A1215" s="156"/>
      <c r="B1215" s="149"/>
      <c r="C1215" s="71" t="s">
        <v>123</v>
      </c>
      <c r="D1215" s="38" t="str">
        <f t="shared" ref="D1215:L1215" si="401">IF(((D1213="")*AND(D1214="")),"",(D1213-D1214)*1)</f>
        <v/>
      </c>
      <c r="E1215" s="38" t="str">
        <f t="shared" si="401"/>
        <v/>
      </c>
      <c r="F1215" s="38" t="str">
        <f t="shared" si="401"/>
        <v/>
      </c>
      <c r="G1215" s="38" t="str">
        <f t="shared" si="401"/>
        <v/>
      </c>
      <c r="H1215" s="38" t="str">
        <f t="shared" si="401"/>
        <v/>
      </c>
      <c r="I1215" s="38" t="str">
        <f t="shared" si="401"/>
        <v/>
      </c>
      <c r="J1215" s="38" t="str">
        <f t="shared" si="401"/>
        <v/>
      </c>
      <c r="K1215" s="38" t="str">
        <f t="shared" si="401"/>
        <v/>
      </c>
      <c r="L1215" s="38" t="str">
        <f t="shared" si="401"/>
        <v/>
      </c>
      <c r="M1215" s="135"/>
      <c r="N1215" s="135"/>
      <c r="O1215" s="135"/>
      <c r="P1215" s="135"/>
      <c r="Q1215" s="135"/>
      <c r="R1215" s="135"/>
      <c r="S1215" s="135"/>
      <c r="T1215" s="136"/>
      <c r="U1215" s="135"/>
      <c r="V1215" s="159"/>
    </row>
    <row r="1216" spans="1:25" x14ac:dyDescent="0.3">
      <c r="A1216" s="154"/>
      <c r="B1216" s="129" t="s">
        <v>124</v>
      </c>
      <c r="C1216" s="71" t="s">
        <v>88</v>
      </c>
      <c r="M1216" s="69" t="str">
        <f>IF((L1217=""),"",MAX(D1218:L1218))</f>
        <v/>
      </c>
      <c r="N1216" s="69" t="str">
        <f>IF(L1217="","",MIN(D1218:L1218))</f>
        <v/>
      </c>
      <c r="O1216" s="69" t="str">
        <f>IF((L1218=""),"",AVERAGE(D1218:L1218))</f>
        <v/>
      </c>
      <c r="P1216" s="69">
        <v>1600</v>
      </c>
      <c r="Q1216" s="69">
        <v>2000</v>
      </c>
      <c r="R1216" s="69" t="str">
        <f>IF((L1217=""),"",((M1216-N1216)/(M1216+N1216))*100)</f>
        <v/>
      </c>
      <c r="S1216" s="69">
        <v>23</v>
      </c>
      <c r="T1216" s="130" t="str">
        <f>IF(L1217="","",IF(R1217&lt;20,(IF(O1216&gt;1730,IF(O1216&lt;1970,"Pass","Fail"),"Fail"))))</f>
        <v/>
      </c>
      <c r="U1216" s="153"/>
      <c r="V1216" s="159"/>
      <c r="W1216" s="56">
        <v>1730</v>
      </c>
      <c r="X1216" s="56">
        <v>1970</v>
      </c>
      <c r="Y1216" s="56">
        <v>6.2</v>
      </c>
    </row>
    <row r="1217" spans="1:25" x14ac:dyDescent="0.3">
      <c r="A1217" s="155"/>
      <c r="B1217" s="147"/>
      <c r="C1217" s="71" t="s">
        <v>89</v>
      </c>
      <c r="M1217" s="77"/>
      <c r="N1217" s="77"/>
      <c r="O1217" s="77"/>
      <c r="P1217" s="77"/>
      <c r="Q1217" s="77"/>
      <c r="R1217" s="77"/>
      <c r="S1217" s="77"/>
      <c r="T1217" s="132"/>
      <c r="U1217" s="77"/>
      <c r="V1217" s="159"/>
    </row>
    <row r="1218" spans="1:25" ht="39.9" x14ac:dyDescent="0.3">
      <c r="A1218" s="156"/>
      <c r="B1218" s="149"/>
      <c r="C1218" s="71" t="s">
        <v>123</v>
      </c>
      <c r="D1218" s="38" t="str">
        <f t="shared" ref="D1218:L1218" si="402">IF(((D1216="")*AND(D1217="")),"",(D1216-D1217)*1)</f>
        <v/>
      </c>
      <c r="E1218" s="38" t="str">
        <f t="shared" si="402"/>
        <v/>
      </c>
      <c r="F1218" s="38" t="str">
        <f t="shared" si="402"/>
        <v/>
      </c>
      <c r="G1218" s="38" t="str">
        <f t="shared" si="402"/>
        <v/>
      </c>
      <c r="H1218" s="38" t="str">
        <f t="shared" si="402"/>
        <v/>
      </c>
      <c r="I1218" s="38" t="str">
        <f t="shared" si="402"/>
        <v/>
      </c>
      <c r="J1218" s="38" t="str">
        <f t="shared" si="402"/>
        <v/>
      </c>
      <c r="K1218" s="38" t="str">
        <f t="shared" si="402"/>
        <v/>
      </c>
      <c r="L1218" s="38" t="str">
        <f t="shared" si="402"/>
        <v/>
      </c>
      <c r="M1218" s="135"/>
      <c r="N1218" s="135"/>
      <c r="O1218" s="135"/>
      <c r="P1218" s="135"/>
      <c r="Q1218" s="135"/>
      <c r="R1218" s="135"/>
      <c r="S1218" s="135"/>
      <c r="T1218" s="136"/>
      <c r="U1218" s="135"/>
      <c r="V1218" s="159"/>
    </row>
    <row r="1219" spans="1:25" x14ac:dyDescent="0.3">
      <c r="A1219" s="154"/>
      <c r="B1219" s="129" t="s">
        <v>124</v>
      </c>
      <c r="C1219" s="71" t="s">
        <v>88</v>
      </c>
      <c r="M1219" s="69" t="str">
        <f>IF((L1220=""),"",MAX(D1221:L1221))</f>
        <v/>
      </c>
      <c r="N1219" s="69" t="str">
        <f>IF(L1220="","",MIN(D1221:L1221))</f>
        <v/>
      </c>
      <c r="O1219" s="69" t="str">
        <f>IF((L1221=""),"",AVERAGE(D1221:L1221))</f>
        <v/>
      </c>
      <c r="P1219" s="69">
        <v>1600</v>
      </c>
      <c r="Q1219" s="69">
        <v>2000</v>
      </c>
      <c r="R1219" s="69" t="str">
        <f>IF((L1220=""),"",((M1219-N1219)/(M1219+N1219))*100)</f>
        <v/>
      </c>
      <c r="S1219" s="69">
        <v>23</v>
      </c>
      <c r="T1219" s="130" t="str">
        <f>IF(L1220="","",IF(R1220&lt;20,(IF(O1219&gt;1730,IF(O1219&lt;1970,"Pass","Fail"),"Fail"))))</f>
        <v/>
      </c>
      <c r="U1219" s="153"/>
      <c r="V1219" s="159"/>
      <c r="W1219" s="56">
        <v>1730</v>
      </c>
      <c r="X1219" s="56">
        <v>1970</v>
      </c>
      <c r="Y1219" s="56">
        <v>6.2</v>
      </c>
    </row>
    <row r="1220" spans="1:25" x14ac:dyDescent="0.3">
      <c r="A1220" s="155"/>
      <c r="B1220" s="147"/>
      <c r="C1220" s="71" t="s">
        <v>89</v>
      </c>
      <c r="M1220" s="77"/>
      <c r="N1220" s="77"/>
      <c r="O1220" s="77"/>
      <c r="P1220" s="77"/>
      <c r="Q1220" s="77"/>
      <c r="R1220" s="77"/>
      <c r="S1220" s="77"/>
      <c r="T1220" s="132"/>
      <c r="U1220" s="77"/>
      <c r="V1220" s="159"/>
    </row>
    <row r="1221" spans="1:25" ht="39.9" x14ac:dyDescent="0.3">
      <c r="A1221" s="156"/>
      <c r="B1221" s="149"/>
      <c r="C1221" s="71" t="s">
        <v>123</v>
      </c>
      <c r="D1221" s="38" t="str">
        <f t="shared" ref="D1221:L1221" si="403">IF(((D1219="")*AND(D1220="")),"",(D1219-D1220)*1)</f>
        <v/>
      </c>
      <c r="E1221" s="38" t="str">
        <f t="shared" si="403"/>
        <v/>
      </c>
      <c r="F1221" s="38" t="str">
        <f t="shared" si="403"/>
        <v/>
      </c>
      <c r="G1221" s="38" t="str">
        <f t="shared" si="403"/>
        <v/>
      </c>
      <c r="H1221" s="38" t="str">
        <f t="shared" si="403"/>
        <v/>
      </c>
      <c r="I1221" s="38" t="str">
        <f t="shared" si="403"/>
        <v/>
      </c>
      <c r="J1221" s="38" t="str">
        <f t="shared" si="403"/>
        <v/>
      </c>
      <c r="K1221" s="38" t="str">
        <f t="shared" si="403"/>
        <v/>
      </c>
      <c r="L1221" s="38" t="str">
        <f t="shared" si="403"/>
        <v/>
      </c>
      <c r="M1221" s="135"/>
      <c r="N1221" s="135"/>
      <c r="O1221" s="135"/>
      <c r="P1221" s="135"/>
      <c r="Q1221" s="135"/>
      <c r="R1221" s="135"/>
      <c r="S1221" s="135"/>
      <c r="T1221" s="136"/>
      <c r="U1221" s="135"/>
      <c r="V1221" s="159"/>
    </row>
    <row r="1222" spans="1:25" x14ac:dyDescent="0.3">
      <c r="A1222" s="154"/>
      <c r="B1222" s="129" t="s">
        <v>124</v>
      </c>
      <c r="C1222" s="71" t="s">
        <v>88</v>
      </c>
      <c r="M1222" s="69" t="str">
        <f>IF((L1223=""),"",MAX(D1224:L1224))</f>
        <v/>
      </c>
      <c r="N1222" s="69" t="str">
        <f>IF(L1223="","",MIN(D1224:L1224))</f>
        <v/>
      </c>
      <c r="O1222" s="69" t="str">
        <f>IF((L1224=""),"",AVERAGE(D1224:L1224))</f>
        <v/>
      </c>
      <c r="P1222" s="69">
        <v>1600</v>
      </c>
      <c r="Q1222" s="69">
        <v>2000</v>
      </c>
      <c r="R1222" s="69" t="str">
        <f>IF((L1223=""),"",((M1222-N1222)/(M1222+N1222))*100)</f>
        <v/>
      </c>
      <c r="S1222" s="69">
        <v>23</v>
      </c>
      <c r="T1222" s="130" t="str">
        <f>IF(L1223="","",IF(R1223&lt;20,(IF(O1222&gt;1730,IF(O1222&lt;1970,"Pass","Fail"),"Fail"))))</f>
        <v/>
      </c>
      <c r="U1222" s="153"/>
      <c r="V1222" s="159"/>
      <c r="W1222" s="56">
        <v>1730</v>
      </c>
      <c r="X1222" s="56">
        <v>1970</v>
      </c>
      <c r="Y1222" s="56">
        <v>6.2</v>
      </c>
    </row>
    <row r="1223" spans="1:25" x14ac:dyDescent="0.3">
      <c r="A1223" s="155"/>
      <c r="B1223" s="147"/>
      <c r="C1223" s="71" t="s">
        <v>89</v>
      </c>
      <c r="M1223" s="77"/>
      <c r="N1223" s="77"/>
      <c r="O1223" s="77"/>
      <c r="P1223" s="77"/>
      <c r="Q1223" s="77"/>
      <c r="R1223" s="77"/>
      <c r="S1223" s="77"/>
      <c r="T1223" s="132"/>
      <c r="U1223" s="77"/>
      <c r="V1223" s="159"/>
    </row>
    <row r="1224" spans="1:25" ht="39.9" x14ac:dyDescent="0.3">
      <c r="A1224" s="156"/>
      <c r="B1224" s="149"/>
      <c r="C1224" s="71" t="s">
        <v>123</v>
      </c>
      <c r="D1224" s="38" t="str">
        <f t="shared" ref="D1224:L1224" si="404">IF(((D1222="")*AND(D1223="")),"",(D1222-D1223)*1)</f>
        <v/>
      </c>
      <c r="E1224" s="38" t="str">
        <f t="shared" si="404"/>
        <v/>
      </c>
      <c r="F1224" s="38" t="str">
        <f t="shared" si="404"/>
        <v/>
      </c>
      <c r="G1224" s="38" t="str">
        <f t="shared" si="404"/>
        <v/>
      </c>
      <c r="H1224" s="38" t="str">
        <f t="shared" si="404"/>
        <v/>
      </c>
      <c r="I1224" s="38" t="str">
        <f t="shared" si="404"/>
        <v/>
      </c>
      <c r="J1224" s="38" t="str">
        <f t="shared" si="404"/>
        <v/>
      </c>
      <c r="K1224" s="38" t="str">
        <f t="shared" si="404"/>
        <v/>
      </c>
      <c r="L1224" s="38" t="str">
        <f t="shared" si="404"/>
        <v/>
      </c>
      <c r="M1224" s="135"/>
      <c r="N1224" s="135"/>
      <c r="O1224" s="135"/>
      <c r="P1224" s="135"/>
      <c r="Q1224" s="135"/>
      <c r="R1224" s="135"/>
      <c r="S1224" s="135"/>
      <c r="T1224" s="136"/>
      <c r="U1224" s="135"/>
      <c r="V1224" s="159"/>
    </row>
    <row r="1225" spans="1:25" x14ac:dyDescent="0.3">
      <c r="A1225" s="154"/>
      <c r="B1225" s="129" t="s">
        <v>124</v>
      </c>
      <c r="C1225" s="71" t="s">
        <v>88</v>
      </c>
      <c r="M1225" s="69" t="str">
        <f>IF((L1226=""),"",MAX(D1227:L1227))</f>
        <v/>
      </c>
      <c r="N1225" s="69" t="str">
        <f>IF(L1226="","",MIN(D1227:L1227))</f>
        <v/>
      </c>
      <c r="O1225" s="69" t="str">
        <f>IF((L1227=""),"",AVERAGE(D1227:L1227))</f>
        <v/>
      </c>
      <c r="P1225" s="69">
        <v>1600</v>
      </c>
      <c r="Q1225" s="69">
        <v>2000</v>
      </c>
      <c r="R1225" s="69" t="str">
        <f>IF((L1226=""),"",((M1225-N1225)/(M1225+N1225))*100)</f>
        <v/>
      </c>
      <c r="S1225" s="69">
        <v>23</v>
      </c>
      <c r="T1225" s="130" t="str">
        <f>IF(L1226="","",IF(R1226&lt;20,(IF(O1225&gt;1730,IF(O1225&lt;1970,"Pass","Fail"),"Fail"))))</f>
        <v/>
      </c>
      <c r="U1225" s="153"/>
      <c r="V1225" s="159"/>
      <c r="W1225" s="56">
        <v>1730</v>
      </c>
      <c r="X1225" s="56">
        <v>1970</v>
      </c>
      <c r="Y1225" s="56">
        <v>6.2</v>
      </c>
    </row>
    <row r="1226" spans="1:25" x14ac:dyDescent="0.3">
      <c r="A1226" s="155"/>
      <c r="B1226" s="147"/>
      <c r="C1226" s="71" t="s">
        <v>89</v>
      </c>
      <c r="M1226" s="77"/>
      <c r="N1226" s="77"/>
      <c r="O1226" s="77"/>
      <c r="P1226" s="77"/>
      <c r="Q1226" s="77"/>
      <c r="R1226" s="77"/>
      <c r="S1226" s="77"/>
      <c r="T1226" s="132"/>
      <c r="U1226" s="77"/>
      <c r="V1226" s="159"/>
    </row>
    <row r="1227" spans="1:25" ht="39.9" x14ac:dyDescent="0.3">
      <c r="A1227" s="156"/>
      <c r="B1227" s="149"/>
      <c r="C1227" s="71" t="s">
        <v>123</v>
      </c>
      <c r="D1227" s="38" t="str">
        <f t="shared" ref="D1227:L1227" si="405">IF(((D1225="")*AND(D1226="")),"",(D1225-D1226)*1)</f>
        <v/>
      </c>
      <c r="E1227" s="38" t="str">
        <f t="shared" si="405"/>
        <v/>
      </c>
      <c r="F1227" s="38" t="str">
        <f t="shared" si="405"/>
        <v/>
      </c>
      <c r="G1227" s="38" t="str">
        <f t="shared" si="405"/>
        <v/>
      </c>
      <c r="H1227" s="38" t="str">
        <f t="shared" si="405"/>
        <v/>
      </c>
      <c r="I1227" s="38" t="str">
        <f t="shared" si="405"/>
        <v/>
      </c>
      <c r="J1227" s="38" t="str">
        <f t="shared" si="405"/>
        <v/>
      </c>
      <c r="K1227" s="38" t="str">
        <f t="shared" si="405"/>
        <v/>
      </c>
      <c r="L1227" s="38" t="str">
        <f t="shared" si="405"/>
        <v/>
      </c>
      <c r="M1227" s="135"/>
      <c r="N1227" s="135"/>
      <c r="O1227" s="135"/>
      <c r="P1227" s="135"/>
      <c r="Q1227" s="135"/>
      <c r="R1227" s="135"/>
      <c r="S1227" s="135"/>
      <c r="T1227" s="136"/>
      <c r="U1227" s="135"/>
      <c r="V1227" s="159"/>
    </row>
    <row r="1228" spans="1:25" x14ac:dyDescent="0.3">
      <c r="A1228" s="154"/>
      <c r="B1228" s="129" t="s">
        <v>124</v>
      </c>
      <c r="C1228" s="71" t="s">
        <v>88</v>
      </c>
      <c r="M1228" s="69" t="str">
        <f>IF((L1229=""),"",MAX(D1230:L1230))</f>
        <v/>
      </c>
      <c r="N1228" s="69" t="str">
        <f>IF(L1229="","",MIN(D1230:L1230))</f>
        <v/>
      </c>
      <c r="O1228" s="69" t="str">
        <f>IF((L1230=""),"",AVERAGE(D1230:L1230))</f>
        <v/>
      </c>
      <c r="P1228" s="69">
        <v>1600</v>
      </c>
      <c r="Q1228" s="69">
        <v>2000</v>
      </c>
      <c r="R1228" s="69" t="str">
        <f>IF((L1229=""),"",((M1228-N1228)/(M1228+N1228))*100)</f>
        <v/>
      </c>
      <c r="S1228" s="69">
        <v>23</v>
      </c>
      <c r="T1228" s="130" t="str">
        <f>IF(L1229="","",IF(R1229&lt;20,(IF(O1228&gt;1730,IF(O1228&lt;1970,"Pass","Fail"),"Fail"))))</f>
        <v/>
      </c>
      <c r="U1228" s="153"/>
      <c r="V1228" s="159"/>
      <c r="W1228" s="56">
        <v>1730</v>
      </c>
      <c r="X1228" s="56">
        <v>1970</v>
      </c>
      <c r="Y1228" s="56">
        <v>6.2</v>
      </c>
    </row>
    <row r="1229" spans="1:25" x14ac:dyDescent="0.3">
      <c r="A1229" s="155"/>
      <c r="B1229" s="147"/>
      <c r="C1229" s="71" t="s">
        <v>89</v>
      </c>
      <c r="M1229" s="77"/>
      <c r="N1229" s="77"/>
      <c r="O1229" s="77"/>
      <c r="P1229" s="77"/>
      <c r="Q1229" s="77"/>
      <c r="R1229" s="77"/>
      <c r="S1229" s="77"/>
      <c r="T1229" s="132"/>
      <c r="U1229" s="77"/>
      <c r="V1229" s="159"/>
    </row>
    <row r="1230" spans="1:25" x14ac:dyDescent="0.3">
      <c r="V1230" s="159"/>
    </row>
    <row r="1231" spans="1:25" x14ac:dyDescent="0.3">
      <c r="V1231" s="159"/>
    </row>
    <row r="1232" spans="1:25" x14ac:dyDescent="0.3">
      <c r="V1232" s="159"/>
    </row>
    <row r="1233" spans="22:22" x14ac:dyDescent="0.3">
      <c r="V1233" s="159"/>
    </row>
    <row r="1234" spans="22:22" x14ac:dyDescent="0.3">
      <c r="V1234" s="159"/>
    </row>
    <row r="1235" spans="22:22" x14ac:dyDescent="0.3">
      <c r="V1235" s="159"/>
    </row>
    <row r="1236" spans="22:22" x14ac:dyDescent="0.3">
      <c r="V1236" s="159"/>
    </row>
    <row r="1237" spans="22:22" x14ac:dyDescent="0.3">
      <c r="V1237" s="223"/>
    </row>
    <row r="1238" spans="22:22" x14ac:dyDescent="0.3">
      <c r="V1238" s="223"/>
    </row>
    <row r="1239" spans="22:22" x14ac:dyDescent="0.3">
      <c r="V1239" s="223"/>
    </row>
    <row r="1240" spans="22:22" x14ac:dyDescent="0.3">
      <c r="V1240" s="223"/>
    </row>
    <row r="1241" spans="22:22" x14ac:dyDescent="0.3">
      <c r="V1241" s="223"/>
    </row>
    <row r="1242" spans="22:22" x14ac:dyDescent="0.3">
      <c r="V1242" s="223"/>
    </row>
    <row r="1243" spans="22:22" x14ac:dyDescent="0.3">
      <c r="V1243" s="223"/>
    </row>
    <row r="1244" spans="22:22" x14ac:dyDescent="0.3">
      <c r="V1244" s="223"/>
    </row>
    <row r="1245" spans="22:22" x14ac:dyDescent="0.3">
      <c r="V1245" s="223"/>
    </row>
    <row r="1246" spans="22:22" x14ac:dyDescent="0.3">
      <c r="V1246" s="223"/>
    </row>
    <row r="1247" spans="22:22" x14ac:dyDescent="0.3">
      <c r="V1247" s="223"/>
    </row>
    <row r="1248" spans="22:22" x14ac:dyDescent="0.3">
      <c r="V1248" s="223"/>
    </row>
    <row r="1249" spans="22:22" x14ac:dyDescent="0.3">
      <c r="V1249" s="223"/>
    </row>
    <row r="1250" spans="22:22" x14ac:dyDescent="0.3">
      <c r="V1250" s="223"/>
    </row>
    <row r="1251" spans="22:22" x14ac:dyDescent="0.3">
      <c r="V1251" s="223"/>
    </row>
    <row r="1252" spans="22:22" x14ac:dyDescent="0.3">
      <c r="V1252" s="223"/>
    </row>
    <row r="1253" spans="22:22" x14ac:dyDescent="0.3">
      <c r="V1253" s="223"/>
    </row>
    <row r="1254" spans="22:22" x14ac:dyDescent="0.3">
      <c r="V1254" s="223"/>
    </row>
    <row r="1255" spans="22:22" x14ac:dyDescent="0.3">
      <c r="V1255" s="223"/>
    </row>
    <row r="1256" spans="22:22" x14ac:dyDescent="0.3">
      <c r="V1256" s="223"/>
    </row>
    <row r="1257" spans="22:22" x14ac:dyDescent="0.3">
      <c r="V1257" s="223"/>
    </row>
    <row r="1258" spans="22:22" x14ac:dyDescent="0.3">
      <c r="V1258" s="223"/>
    </row>
    <row r="1259" spans="22:22" x14ac:dyDescent="0.3">
      <c r="V1259" s="223"/>
    </row>
    <row r="1260" spans="22:22" x14ac:dyDescent="0.3">
      <c r="V1260" s="223"/>
    </row>
    <row r="1261" spans="22:22" x14ac:dyDescent="0.3">
      <c r="V1261" s="223"/>
    </row>
    <row r="1262" spans="22:22" x14ac:dyDescent="0.3">
      <c r="V1262" s="223"/>
    </row>
    <row r="1263" spans="22:22" x14ac:dyDescent="0.3">
      <c r="V1263" s="223"/>
    </row>
    <row r="1264" spans="22:22" x14ac:dyDescent="0.3">
      <c r="V1264" s="223"/>
    </row>
    <row r="1265" spans="22:22" x14ac:dyDescent="0.3">
      <c r="V1265" s="223"/>
    </row>
    <row r="1266" spans="22:22" x14ac:dyDescent="0.3">
      <c r="V1266" s="223"/>
    </row>
    <row r="1267" spans="22:22" x14ac:dyDescent="0.3">
      <c r="V1267" s="223"/>
    </row>
    <row r="1268" spans="22:22" x14ac:dyDescent="0.3">
      <c r="V1268" s="223"/>
    </row>
    <row r="1269" spans="22:22" x14ac:dyDescent="0.3">
      <c r="V1269" s="223"/>
    </row>
    <row r="1270" spans="22:22" x14ac:dyDescent="0.3">
      <c r="V1270" s="223"/>
    </row>
    <row r="1271" spans="22:22" x14ac:dyDescent="0.3">
      <c r="V1271" s="223"/>
    </row>
    <row r="1272" spans="22:22" x14ac:dyDescent="0.3">
      <c r="V1272" s="223"/>
    </row>
    <row r="1273" spans="22:22" x14ac:dyDescent="0.3">
      <c r="V1273" s="223"/>
    </row>
    <row r="1274" spans="22:22" x14ac:dyDescent="0.3">
      <c r="V1274" s="223"/>
    </row>
    <row r="1275" spans="22:22" x14ac:dyDescent="0.3">
      <c r="V1275" s="223"/>
    </row>
    <row r="1276" spans="22:22" x14ac:dyDescent="0.3">
      <c r="V1276" s="223"/>
    </row>
    <row r="1277" spans="22:22" x14ac:dyDescent="0.3">
      <c r="V1277" s="223"/>
    </row>
    <row r="1278" spans="22:22" x14ac:dyDescent="0.3">
      <c r="V1278" s="223"/>
    </row>
    <row r="1279" spans="22:22" x14ac:dyDescent="0.3">
      <c r="V1279" s="223"/>
    </row>
    <row r="1280" spans="22:22" x14ac:dyDescent="0.3">
      <c r="V1280" s="223"/>
    </row>
    <row r="1281" spans="22:22" x14ac:dyDescent="0.3">
      <c r="V1281" s="223"/>
    </row>
    <row r="1282" spans="22:22" x14ac:dyDescent="0.3">
      <c r="V1282" s="223"/>
    </row>
    <row r="1283" spans="22:22" x14ac:dyDescent="0.3">
      <c r="V1283" s="223"/>
    </row>
    <row r="1284" spans="22:22" x14ac:dyDescent="0.3">
      <c r="V1284" s="223"/>
    </row>
    <row r="1285" spans="22:22" x14ac:dyDescent="0.3">
      <c r="V1285" s="223"/>
    </row>
    <row r="1286" spans="22:22" x14ac:dyDescent="0.3">
      <c r="V1286" s="223"/>
    </row>
    <row r="1287" spans="22:22" x14ac:dyDescent="0.3">
      <c r="V1287" s="223"/>
    </row>
    <row r="1288" spans="22:22" x14ac:dyDescent="0.3">
      <c r="V1288" s="223"/>
    </row>
    <row r="1289" spans="22:22" x14ac:dyDescent="0.3">
      <c r="V1289" s="223"/>
    </row>
    <row r="1290" spans="22:22" x14ac:dyDescent="0.3">
      <c r="V1290" s="223"/>
    </row>
  </sheetData>
  <mergeCells count="18">
    <mergeCell ref="V1264:V1266"/>
    <mergeCell ref="V1237:V1239"/>
    <mergeCell ref="V1240:V1242"/>
    <mergeCell ref="V1243:V1245"/>
    <mergeCell ref="V1246:V1248"/>
    <mergeCell ref="V1249:V1251"/>
    <mergeCell ref="V1252:V1254"/>
    <mergeCell ref="V1255:V1257"/>
    <mergeCell ref="V1258:V1260"/>
    <mergeCell ref="V1261:V1263"/>
    <mergeCell ref="V1285:V1287"/>
    <mergeCell ref="V1288:V1290"/>
    <mergeCell ref="V1267:V1269"/>
    <mergeCell ref="V1270:V1272"/>
    <mergeCell ref="V1273:V1275"/>
    <mergeCell ref="V1276:V1278"/>
    <mergeCell ref="V1279:V1281"/>
    <mergeCell ref="V1282:V1284"/>
  </mergeCells>
  <conditionalFormatting sqref="I9:I11 I13:I14 I16:I17 I19:I20 I28:I29 I31:I32 I34:I35 I37:I38 I40:I41 I43:I44 I46:I47 I49:I50 I52:I53 I55:I56 I58:I59 I61:I62 I64:I65 I67:I68 I70:I71 I73:I74 I76:I77 I79:I80 I82:I83 I85:I86 I91:I92 I94:I95 I97:I98 I100:I101 I103:I104 I106:I107 I109:I110 I112:I113 I115:I116 I118:I119 I121:I122 I124:I125 I127:I128 I130:I131 I133:I134 I136:I137 I139:I140 I142:I143 I145:I146 I148:I149 I151:I152 I154:I155 I157:I158 I160:I161 I163:I164 I166:I167 I169:I170 I88:I89 J107 I172:I173 I178:I179 I184:I185 I190:I191 I196:I197 I202:I203 I208:I209 I214:I215 I220:I221 I226:I227 I232:I233 I175:I176 I181:I182 I187:I188 I193:I194 I199:I200 I205:I206 I217:I218 I223:I224 I229:I230 I235:I236 I211:I212 I25:I26 I22:I23 I238:I239 I241:I242 I286:I287 I244:L245 I247:L248 I250:L251 I253:L254 I283:L284 I280:L281 I256:L257 I265:L266 I268:L269 I277:L278 I259:L260 I262:L263 I271:L272 I274:L275 I298:I299 I295:L296 I292:L293 I289:L290 I301:I302 I304:I305 I307:I308 I310:I311 I313:I314 I316:I317 I319:I320 I322:L323 I325:L326 I328:I329 I331:L332 I334:L335 I337:L338 I340:L341 I343:L344 I346:L347 I352:L353 I355:L356 I358:L359 I361:L362 I364:L365 I367:L368 I349:L350 I370:L371 I373:L374 I376:L377 I379:L380 I382:L383 I385:L386 I388:L389 I391:L392 I394:L395 I397:L398 I400:L401 I403:L404 I406:L407 I409:L410 I412:L413 I415:L416 I418:L419 I421:L422 I424:L425 I427:L428 I430:L431 I433:L434 I436:L437 I439:L440 I442:L443 I445:L446 I448:L449 I451:L452 I454:L455 I460:L461 I457:L458 I463:L464 I466:L467 I472:L473 I469:L470 I475:J476 L475:L476 K475 I478:J479 L478:L479 K478 I481:J482 L481:L482 K481 I484:J485 L484:L485 K484 I487:L488 I490:L491 I493:L494 I496:L497 I502:L503 I505:L506 I508:L509 I511:L512 I514:L515 I517:L518 I520:L521 I523:L524 I526:L527 I529:L530 I532:L533 I535:L536 I538:L539 I541:L542 I499:L500 I544:L545 I547:L548 I550:L551 I553:L554 I556:L557 I559:L560 I562:L563 I565:L566 I568:L569 I571:L572 I574:L575">
    <cfRule type="cellIs" dxfId="232" priority="159" stopIfTrue="1" operator="equal">
      <formula>"Pass"</formula>
    </cfRule>
    <cfRule type="cellIs" dxfId="231" priority="160" stopIfTrue="1" operator="equal">
      <formula>"Fail"</formula>
    </cfRule>
  </conditionalFormatting>
  <conditionalFormatting sqref="U22:U24 X87 X89:X90 X92 S480 S483 S486 T10:T479 T481:T482 T484:T485 T487:T576">
    <cfRule type="cellIs" dxfId="230" priority="157" stopIfTrue="1" operator="equal">
      <formula>"Fail"</formula>
    </cfRule>
    <cfRule type="cellIs" dxfId="229" priority="158" stopIfTrue="1" operator="equal">
      <formula>"Pass"</formula>
    </cfRule>
  </conditionalFormatting>
  <conditionalFormatting sqref="I577:L578">
    <cfRule type="cellIs" dxfId="228" priority="155" stopIfTrue="1" operator="equal">
      <formula>"Pass"</formula>
    </cfRule>
    <cfRule type="cellIs" dxfId="227" priority="156" stopIfTrue="1" operator="equal">
      <formula>"Fail"</formula>
    </cfRule>
  </conditionalFormatting>
  <conditionalFormatting sqref="T577:T579">
    <cfRule type="cellIs" dxfId="226" priority="153" stopIfTrue="1" operator="equal">
      <formula>"Fail"</formula>
    </cfRule>
    <cfRule type="cellIs" dxfId="225" priority="154" stopIfTrue="1" operator="equal">
      <formula>"Pass"</formula>
    </cfRule>
  </conditionalFormatting>
  <conditionalFormatting sqref="I580:L581">
    <cfRule type="cellIs" dxfId="224" priority="151" stopIfTrue="1" operator="equal">
      <formula>"Pass"</formula>
    </cfRule>
    <cfRule type="cellIs" dxfId="223" priority="152" stopIfTrue="1" operator="equal">
      <formula>"Fail"</formula>
    </cfRule>
  </conditionalFormatting>
  <conditionalFormatting sqref="T580:T582">
    <cfRule type="cellIs" dxfId="222" priority="149" stopIfTrue="1" operator="equal">
      <formula>"Fail"</formula>
    </cfRule>
    <cfRule type="cellIs" dxfId="221" priority="150" stopIfTrue="1" operator="equal">
      <formula>"Pass"</formula>
    </cfRule>
  </conditionalFormatting>
  <conditionalFormatting sqref="I583:L584">
    <cfRule type="cellIs" dxfId="220" priority="147" stopIfTrue="1" operator="equal">
      <formula>"Pass"</formula>
    </cfRule>
    <cfRule type="cellIs" dxfId="219" priority="148" stopIfTrue="1" operator="equal">
      <formula>"Fail"</formula>
    </cfRule>
  </conditionalFormatting>
  <conditionalFormatting sqref="T583:T585">
    <cfRule type="cellIs" dxfId="218" priority="145" stopIfTrue="1" operator="equal">
      <formula>"Fail"</formula>
    </cfRule>
    <cfRule type="cellIs" dxfId="217" priority="146" stopIfTrue="1" operator="equal">
      <formula>"Pass"</formula>
    </cfRule>
  </conditionalFormatting>
  <conditionalFormatting sqref="I586:L587">
    <cfRule type="cellIs" dxfId="216" priority="143" stopIfTrue="1" operator="equal">
      <formula>"Pass"</formula>
    </cfRule>
    <cfRule type="cellIs" dxfId="215" priority="144" stopIfTrue="1" operator="equal">
      <formula>"Fail"</formula>
    </cfRule>
  </conditionalFormatting>
  <conditionalFormatting sqref="T586:T588">
    <cfRule type="cellIs" dxfId="214" priority="141" stopIfTrue="1" operator="equal">
      <formula>"Fail"</formula>
    </cfRule>
    <cfRule type="cellIs" dxfId="213" priority="142" stopIfTrue="1" operator="equal">
      <formula>"Pass"</formula>
    </cfRule>
  </conditionalFormatting>
  <conditionalFormatting sqref="I589:L590">
    <cfRule type="cellIs" dxfId="212" priority="139" stopIfTrue="1" operator="equal">
      <formula>"Pass"</formula>
    </cfRule>
    <cfRule type="cellIs" dxfId="211" priority="140" stopIfTrue="1" operator="equal">
      <formula>"Fail"</formula>
    </cfRule>
  </conditionalFormatting>
  <conditionalFormatting sqref="T589:T591">
    <cfRule type="cellIs" dxfId="210" priority="137" stopIfTrue="1" operator="equal">
      <formula>"Fail"</formula>
    </cfRule>
    <cfRule type="cellIs" dxfId="209" priority="138" stopIfTrue="1" operator="equal">
      <formula>"Pass"</formula>
    </cfRule>
  </conditionalFormatting>
  <conditionalFormatting sqref="I592:L593">
    <cfRule type="cellIs" dxfId="208" priority="135" stopIfTrue="1" operator="equal">
      <formula>"Pass"</formula>
    </cfRule>
    <cfRule type="cellIs" dxfId="207" priority="136" stopIfTrue="1" operator="equal">
      <formula>"Fail"</formula>
    </cfRule>
  </conditionalFormatting>
  <conditionalFormatting sqref="T592:T594">
    <cfRule type="cellIs" dxfId="206" priority="133" stopIfTrue="1" operator="equal">
      <formula>"Fail"</formula>
    </cfRule>
    <cfRule type="cellIs" dxfId="205" priority="134" stopIfTrue="1" operator="equal">
      <formula>"Pass"</formula>
    </cfRule>
  </conditionalFormatting>
  <conditionalFormatting sqref="K583:N584">
    <cfRule type="cellIs" dxfId="204" priority="131" stopIfTrue="1" operator="equal">
      <formula>"Pass"</formula>
    </cfRule>
    <cfRule type="cellIs" dxfId="203" priority="132" stopIfTrue="1" operator="equal">
      <formula>"Fail"</formula>
    </cfRule>
  </conditionalFormatting>
  <conditionalFormatting sqref="V583:V585">
    <cfRule type="cellIs" dxfId="202" priority="129" stopIfTrue="1" operator="equal">
      <formula>"Fail"</formula>
    </cfRule>
    <cfRule type="cellIs" dxfId="201" priority="130" stopIfTrue="1" operator="equal">
      <formula>"Pass"</formula>
    </cfRule>
  </conditionalFormatting>
  <conditionalFormatting sqref="I583:L584">
    <cfRule type="cellIs" dxfId="200" priority="127" stopIfTrue="1" operator="equal">
      <formula>"Pass"</formula>
    </cfRule>
    <cfRule type="cellIs" dxfId="199" priority="128" stopIfTrue="1" operator="equal">
      <formula>"Fail"</formula>
    </cfRule>
  </conditionalFormatting>
  <conditionalFormatting sqref="T583:T585">
    <cfRule type="cellIs" dxfId="198" priority="125" stopIfTrue="1" operator="equal">
      <formula>"Fail"</formula>
    </cfRule>
    <cfRule type="cellIs" dxfId="197" priority="126" stopIfTrue="1" operator="equal">
      <formula>"Pass"</formula>
    </cfRule>
  </conditionalFormatting>
  <conditionalFormatting sqref="I583:L584">
    <cfRule type="cellIs" dxfId="196" priority="123" stopIfTrue="1" operator="equal">
      <formula>"Pass"</formula>
    </cfRule>
    <cfRule type="cellIs" dxfId="195" priority="124" stopIfTrue="1" operator="equal">
      <formula>"Fail"</formula>
    </cfRule>
  </conditionalFormatting>
  <conditionalFormatting sqref="I586:L587">
    <cfRule type="cellIs" dxfId="194" priority="121" stopIfTrue="1" operator="equal">
      <formula>"Pass"</formula>
    </cfRule>
    <cfRule type="cellIs" dxfId="193" priority="122" stopIfTrue="1" operator="equal">
      <formula>"Fail"</formula>
    </cfRule>
  </conditionalFormatting>
  <conditionalFormatting sqref="T586:T588">
    <cfRule type="cellIs" dxfId="192" priority="119" stopIfTrue="1" operator="equal">
      <formula>"Fail"</formula>
    </cfRule>
    <cfRule type="cellIs" dxfId="191" priority="120" stopIfTrue="1" operator="equal">
      <formula>"Pass"</formula>
    </cfRule>
  </conditionalFormatting>
  <conditionalFormatting sqref="I589:L590">
    <cfRule type="cellIs" dxfId="190" priority="117" stopIfTrue="1" operator="equal">
      <formula>"Pass"</formula>
    </cfRule>
    <cfRule type="cellIs" dxfId="189" priority="118" stopIfTrue="1" operator="equal">
      <formula>"Fail"</formula>
    </cfRule>
  </conditionalFormatting>
  <conditionalFormatting sqref="T589:T591">
    <cfRule type="cellIs" dxfId="188" priority="115" stopIfTrue="1" operator="equal">
      <formula>"Fail"</formula>
    </cfRule>
    <cfRule type="cellIs" dxfId="187" priority="116" stopIfTrue="1" operator="equal">
      <formula>"Pass"</formula>
    </cfRule>
  </conditionalFormatting>
  <conditionalFormatting sqref="I589:L590">
    <cfRule type="cellIs" dxfId="186" priority="113" stopIfTrue="1" operator="equal">
      <formula>"Pass"</formula>
    </cfRule>
    <cfRule type="cellIs" dxfId="185" priority="114" stopIfTrue="1" operator="equal">
      <formula>"Fail"</formula>
    </cfRule>
  </conditionalFormatting>
  <conditionalFormatting sqref="T589:T591">
    <cfRule type="cellIs" dxfId="184" priority="111" stopIfTrue="1" operator="equal">
      <formula>"Fail"</formula>
    </cfRule>
    <cfRule type="cellIs" dxfId="183" priority="112" stopIfTrue="1" operator="equal">
      <formula>"Pass"</formula>
    </cfRule>
  </conditionalFormatting>
  <conditionalFormatting sqref="I595:L596">
    <cfRule type="cellIs" dxfId="182" priority="109" stopIfTrue="1" operator="equal">
      <formula>"Pass"</formula>
    </cfRule>
    <cfRule type="cellIs" dxfId="181" priority="110" stopIfTrue="1" operator="equal">
      <formula>"Fail"</formula>
    </cfRule>
  </conditionalFormatting>
  <conditionalFormatting sqref="T595:T597">
    <cfRule type="cellIs" dxfId="180" priority="107" stopIfTrue="1" operator="equal">
      <formula>"Fail"</formula>
    </cfRule>
    <cfRule type="cellIs" dxfId="179" priority="108" stopIfTrue="1" operator="equal">
      <formula>"Pass"</formula>
    </cfRule>
  </conditionalFormatting>
  <conditionalFormatting sqref="L599 I599:J599 J598:K598">
    <cfRule type="cellIs" dxfId="178" priority="105" stopIfTrue="1" operator="equal">
      <formula>"Pass"</formula>
    </cfRule>
    <cfRule type="cellIs" dxfId="177" priority="106" stopIfTrue="1" operator="equal">
      <formula>"Fail"</formula>
    </cfRule>
  </conditionalFormatting>
  <conditionalFormatting sqref="T598:T600">
    <cfRule type="cellIs" dxfId="176" priority="103" stopIfTrue="1" operator="equal">
      <formula>"Fail"</formula>
    </cfRule>
    <cfRule type="cellIs" dxfId="175" priority="104" stopIfTrue="1" operator="equal">
      <formula>"Pass"</formula>
    </cfRule>
  </conditionalFormatting>
  <conditionalFormatting sqref="I601:L602">
    <cfRule type="cellIs" dxfId="174" priority="101" stopIfTrue="1" operator="equal">
      <formula>"Pass"</formula>
    </cfRule>
    <cfRule type="cellIs" dxfId="173" priority="102" stopIfTrue="1" operator="equal">
      <formula>"Fail"</formula>
    </cfRule>
  </conditionalFormatting>
  <conditionalFormatting sqref="T601:T603">
    <cfRule type="cellIs" dxfId="172" priority="99" stopIfTrue="1" operator="equal">
      <formula>"Fail"</formula>
    </cfRule>
    <cfRule type="cellIs" dxfId="171" priority="100" stopIfTrue="1" operator="equal">
      <formula>"Pass"</formula>
    </cfRule>
  </conditionalFormatting>
  <conditionalFormatting sqref="I604:L605">
    <cfRule type="cellIs" dxfId="170" priority="97" stopIfTrue="1" operator="equal">
      <formula>"Pass"</formula>
    </cfRule>
    <cfRule type="cellIs" dxfId="169" priority="98" stopIfTrue="1" operator="equal">
      <formula>"Fail"</formula>
    </cfRule>
  </conditionalFormatting>
  <conditionalFormatting sqref="T604:T606">
    <cfRule type="cellIs" dxfId="168" priority="95" stopIfTrue="1" operator="equal">
      <formula>"Fail"</formula>
    </cfRule>
    <cfRule type="cellIs" dxfId="167" priority="96" stopIfTrue="1" operator="equal">
      <formula>"Pass"</formula>
    </cfRule>
  </conditionalFormatting>
  <conditionalFormatting sqref="I607:L608">
    <cfRule type="cellIs" dxfId="166" priority="93" stopIfTrue="1" operator="equal">
      <formula>"Pass"</formula>
    </cfRule>
    <cfRule type="cellIs" dxfId="165" priority="94" stopIfTrue="1" operator="equal">
      <formula>"Fail"</formula>
    </cfRule>
  </conditionalFormatting>
  <conditionalFormatting sqref="T607:T609">
    <cfRule type="cellIs" dxfId="164" priority="91" stopIfTrue="1" operator="equal">
      <formula>"Fail"</formula>
    </cfRule>
    <cfRule type="cellIs" dxfId="163" priority="92" stopIfTrue="1" operator="equal">
      <formula>"Pass"</formula>
    </cfRule>
  </conditionalFormatting>
  <conditionalFormatting sqref="L602 I602:J602 J601:K601">
    <cfRule type="cellIs" dxfId="162" priority="89" stopIfTrue="1" operator="equal">
      <formula>"Pass"</formula>
    </cfRule>
    <cfRule type="cellIs" dxfId="161" priority="90" stopIfTrue="1" operator="equal">
      <formula>"Fail"</formula>
    </cfRule>
  </conditionalFormatting>
  <conditionalFormatting sqref="T601:T603">
    <cfRule type="cellIs" dxfId="160" priority="87" stopIfTrue="1" operator="equal">
      <formula>"Fail"</formula>
    </cfRule>
    <cfRule type="cellIs" dxfId="159" priority="88" stopIfTrue="1" operator="equal">
      <formula>"Pass"</formula>
    </cfRule>
  </conditionalFormatting>
  <conditionalFormatting sqref="I610:L611">
    <cfRule type="cellIs" dxfId="158" priority="85" stopIfTrue="1" operator="equal">
      <formula>"Pass"</formula>
    </cfRule>
    <cfRule type="cellIs" dxfId="157" priority="86" stopIfTrue="1" operator="equal">
      <formula>"Fail"</formula>
    </cfRule>
  </conditionalFormatting>
  <conditionalFormatting sqref="T610:T612">
    <cfRule type="cellIs" dxfId="156" priority="83" stopIfTrue="1" operator="equal">
      <formula>"Fail"</formula>
    </cfRule>
    <cfRule type="cellIs" dxfId="155" priority="84" stopIfTrue="1" operator="equal">
      <formula>"Pass"</formula>
    </cfRule>
  </conditionalFormatting>
  <conditionalFormatting sqref="I613:L614">
    <cfRule type="cellIs" dxfId="154" priority="81" stopIfTrue="1" operator="equal">
      <formula>"Pass"</formula>
    </cfRule>
    <cfRule type="cellIs" dxfId="153" priority="82" stopIfTrue="1" operator="equal">
      <formula>"Fail"</formula>
    </cfRule>
  </conditionalFormatting>
  <conditionalFormatting sqref="T613:T615">
    <cfRule type="cellIs" dxfId="152" priority="79" stopIfTrue="1" operator="equal">
      <formula>"Fail"</formula>
    </cfRule>
    <cfRule type="cellIs" dxfId="151" priority="80" stopIfTrue="1" operator="equal">
      <formula>"Pass"</formula>
    </cfRule>
  </conditionalFormatting>
  <conditionalFormatting sqref="I616:L617">
    <cfRule type="cellIs" dxfId="150" priority="77" stopIfTrue="1" operator="equal">
      <formula>"Pass"</formula>
    </cfRule>
    <cfRule type="cellIs" dxfId="149" priority="78" stopIfTrue="1" operator="equal">
      <formula>"Fail"</formula>
    </cfRule>
  </conditionalFormatting>
  <conditionalFormatting sqref="T616:T618">
    <cfRule type="cellIs" dxfId="148" priority="75" stopIfTrue="1" operator="equal">
      <formula>"Fail"</formula>
    </cfRule>
    <cfRule type="cellIs" dxfId="147" priority="76" stopIfTrue="1" operator="equal">
      <formula>"Pass"</formula>
    </cfRule>
  </conditionalFormatting>
  <conditionalFormatting sqref="I619:L620">
    <cfRule type="cellIs" dxfId="146" priority="73" stopIfTrue="1" operator="equal">
      <formula>"Pass"</formula>
    </cfRule>
    <cfRule type="cellIs" dxfId="145" priority="74" stopIfTrue="1" operator="equal">
      <formula>"Fail"</formula>
    </cfRule>
  </conditionalFormatting>
  <conditionalFormatting sqref="T619:T621">
    <cfRule type="cellIs" dxfId="144" priority="71" stopIfTrue="1" operator="equal">
      <formula>"Fail"</formula>
    </cfRule>
    <cfRule type="cellIs" dxfId="143" priority="72" stopIfTrue="1" operator="equal">
      <formula>"Pass"</formula>
    </cfRule>
  </conditionalFormatting>
  <conditionalFormatting sqref="I622:L623">
    <cfRule type="cellIs" dxfId="142" priority="69" stopIfTrue="1" operator="equal">
      <formula>"Pass"</formula>
    </cfRule>
    <cfRule type="cellIs" dxfId="141" priority="70" stopIfTrue="1" operator="equal">
      <formula>"Fail"</formula>
    </cfRule>
  </conditionalFormatting>
  <conditionalFormatting sqref="T622:T624">
    <cfRule type="cellIs" dxfId="140" priority="67" stopIfTrue="1" operator="equal">
      <formula>"Fail"</formula>
    </cfRule>
    <cfRule type="cellIs" dxfId="139" priority="68" stopIfTrue="1" operator="equal">
      <formula>"Pass"</formula>
    </cfRule>
  </conditionalFormatting>
  <conditionalFormatting sqref="I625:L626">
    <cfRule type="cellIs" dxfId="138" priority="65" stopIfTrue="1" operator="equal">
      <formula>"Pass"</formula>
    </cfRule>
    <cfRule type="cellIs" dxfId="137" priority="66" stopIfTrue="1" operator="equal">
      <formula>"Fail"</formula>
    </cfRule>
  </conditionalFormatting>
  <conditionalFormatting sqref="T625:T627">
    <cfRule type="cellIs" dxfId="136" priority="63" stopIfTrue="1" operator="equal">
      <formula>"Fail"</formula>
    </cfRule>
    <cfRule type="cellIs" dxfId="135" priority="64" stopIfTrue="1" operator="equal">
      <formula>"Pass"</formula>
    </cfRule>
  </conditionalFormatting>
  <conditionalFormatting sqref="I628:L629">
    <cfRule type="cellIs" dxfId="134" priority="61" stopIfTrue="1" operator="equal">
      <formula>"Pass"</formula>
    </cfRule>
    <cfRule type="cellIs" dxfId="133" priority="62" stopIfTrue="1" operator="equal">
      <formula>"Fail"</formula>
    </cfRule>
  </conditionalFormatting>
  <conditionalFormatting sqref="T628:T630">
    <cfRule type="cellIs" dxfId="132" priority="59" stopIfTrue="1" operator="equal">
      <formula>"Fail"</formula>
    </cfRule>
    <cfRule type="cellIs" dxfId="131" priority="60" stopIfTrue="1" operator="equal">
      <formula>"Pass"</formula>
    </cfRule>
  </conditionalFormatting>
  <conditionalFormatting sqref="I631:L632">
    <cfRule type="cellIs" dxfId="130" priority="57" stopIfTrue="1" operator="equal">
      <formula>"Pass"</formula>
    </cfRule>
    <cfRule type="cellIs" dxfId="129" priority="58" stopIfTrue="1" operator="equal">
      <formula>"Fail"</formula>
    </cfRule>
  </conditionalFormatting>
  <conditionalFormatting sqref="T631:T633">
    <cfRule type="cellIs" dxfId="128" priority="55" stopIfTrue="1" operator="equal">
      <formula>"Fail"</formula>
    </cfRule>
    <cfRule type="cellIs" dxfId="127" priority="56" stopIfTrue="1" operator="equal">
      <formula>"Pass"</formula>
    </cfRule>
  </conditionalFormatting>
  <conditionalFormatting sqref="I634:L635">
    <cfRule type="cellIs" dxfId="126" priority="53" stopIfTrue="1" operator="equal">
      <formula>"Pass"</formula>
    </cfRule>
    <cfRule type="cellIs" dxfId="125" priority="54" stopIfTrue="1" operator="equal">
      <formula>"Fail"</formula>
    </cfRule>
  </conditionalFormatting>
  <conditionalFormatting sqref="T634:T636">
    <cfRule type="cellIs" dxfId="124" priority="51" stopIfTrue="1" operator="equal">
      <formula>"Fail"</formula>
    </cfRule>
    <cfRule type="cellIs" dxfId="123" priority="52" stopIfTrue="1" operator="equal">
      <formula>"Pass"</formula>
    </cfRule>
  </conditionalFormatting>
  <conditionalFormatting sqref="I637:L638">
    <cfRule type="cellIs" dxfId="122" priority="49" stopIfTrue="1" operator="equal">
      <formula>"Pass"</formula>
    </cfRule>
    <cfRule type="cellIs" dxfId="121" priority="50" stopIfTrue="1" operator="equal">
      <formula>"Fail"</formula>
    </cfRule>
  </conditionalFormatting>
  <conditionalFormatting sqref="T637:T639">
    <cfRule type="cellIs" dxfId="120" priority="47" stopIfTrue="1" operator="equal">
      <formula>"Fail"</formula>
    </cfRule>
    <cfRule type="cellIs" dxfId="119" priority="48" stopIfTrue="1" operator="equal">
      <formula>"Pass"</formula>
    </cfRule>
  </conditionalFormatting>
  <conditionalFormatting sqref="I640:L641">
    <cfRule type="cellIs" dxfId="118" priority="45" stopIfTrue="1" operator="equal">
      <formula>"Pass"</formula>
    </cfRule>
    <cfRule type="cellIs" dxfId="117" priority="46" stopIfTrue="1" operator="equal">
      <formula>"Fail"</formula>
    </cfRule>
  </conditionalFormatting>
  <conditionalFormatting sqref="T640:T642">
    <cfRule type="cellIs" dxfId="116" priority="43" stopIfTrue="1" operator="equal">
      <formula>"Fail"</formula>
    </cfRule>
    <cfRule type="cellIs" dxfId="115" priority="44" stopIfTrue="1" operator="equal">
      <formula>"Pass"</formula>
    </cfRule>
  </conditionalFormatting>
  <conditionalFormatting sqref="I643:L644">
    <cfRule type="cellIs" dxfId="114" priority="41" stopIfTrue="1" operator="equal">
      <formula>"Pass"</formula>
    </cfRule>
    <cfRule type="cellIs" dxfId="113" priority="42" stopIfTrue="1" operator="equal">
      <formula>"Fail"</formula>
    </cfRule>
  </conditionalFormatting>
  <conditionalFormatting sqref="T643:T645">
    <cfRule type="cellIs" dxfId="112" priority="39" stopIfTrue="1" operator="equal">
      <formula>"Fail"</formula>
    </cfRule>
    <cfRule type="cellIs" dxfId="111" priority="40" stopIfTrue="1" operator="equal">
      <formula>"Pass"</formula>
    </cfRule>
  </conditionalFormatting>
  <conditionalFormatting sqref="I646:L647">
    <cfRule type="cellIs" dxfId="110" priority="37" stopIfTrue="1" operator="equal">
      <formula>"Pass"</formula>
    </cfRule>
    <cfRule type="cellIs" dxfId="109" priority="38" stopIfTrue="1" operator="equal">
      <formula>"Fail"</formula>
    </cfRule>
  </conditionalFormatting>
  <conditionalFormatting sqref="T646:T648">
    <cfRule type="cellIs" dxfId="108" priority="35" stopIfTrue="1" operator="equal">
      <formula>"Fail"</formula>
    </cfRule>
    <cfRule type="cellIs" dxfId="107" priority="36" stopIfTrue="1" operator="equal">
      <formula>"Pass"</formula>
    </cfRule>
  </conditionalFormatting>
  <conditionalFormatting sqref="I649:L650">
    <cfRule type="cellIs" dxfId="106" priority="33" stopIfTrue="1" operator="equal">
      <formula>"Pass"</formula>
    </cfRule>
    <cfRule type="cellIs" dxfId="105" priority="34" stopIfTrue="1" operator="equal">
      <formula>"Fail"</formula>
    </cfRule>
  </conditionalFormatting>
  <conditionalFormatting sqref="T649:T651">
    <cfRule type="cellIs" dxfId="104" priority="31" stopIfTrue="1" operator="equal">
      <formula>"Fail"</formula>
    </cfRule>
    <cfRule type="cellIs" dxfId="103" priority="32" stopIfTrue="1" operator="equal">
      <formula>"Pass"</formula>
    </cfRule>
  </conditionalFormatting>
  <conditionalFormatting sqref="I652:L653">
    <cfRule type="cellIs" dxfId="102" priority="29" stopIfTrue="1" operator="equal">
      <formula>"Pass"</formula>
    </cfRule>
    <cfRule type="cellIs" dxfId="101" priority="30" stopIfTrue="1" operator="equal">
      <formula>"Fail"</formula>
    </cfRule>
  </conditionalFormatting>
  <conditionalFormatting sqref="T652:T654">
    <cfRule type="cellIs" dxfId="100" priority="27" stopIfTrue="1" operator="equal">
      <formula>"Fail"</formula>
    </cfRule>
    <cfRule type="cellIs" dxfId="99" priority="28" stopIfTrue="1" operator="equal">
      <formula>"Pass"</formula>
    </cfRule>
  </conditionalFormatting>
  <conditionalFormatting sqref="I655:L656">
    <cfRule type="cellIs" dxfId="98" priority="25" stopIfTrue="1" operator="equal">
      <formula>"Pass"</formula>
    </cfRule>
    <cfRule type="cellIs" dxfId="97" priority="26" stopIfTrue="1" operator="equal">
      <formula>"Fail"</formula>
    </cfRule>
  </conditionalFormatting>
  <conditionalFormatting sqref="T655:T657">
    <cfRule type="cellIs" dxfId="96" priority="23" stopIfTrue="1" operator="equal">
      <formula>"Fail"</formula>
    </cfRule>
    <cfRule type="cellIs" dxfId="95" priority="24" stopIfTrue="1" operator="equal">
      <formula>"Pass"</formula>
    </cfRule>
  </conditionalFormatting>
  <conditionalFormatting sqref="I658:L659">
    <cfRule type="cellIs" dxfId="94" priority="21" stopIfTrue="1" operator="equal">
      <formula>"Pass"</formula>
    </cfRule>
    <cfRule type="cellIs" dxfId="93" priority="22" stopIfTrue="1" operator="equal">
      <formula>"Fail"</formula>
    </cfRule>
  </conditionalFormatting>
  <conditionalFormatting sqref="T658:T660">
    <cfRule type="cellIs" dxfId="92" priority="19" stopIfTrue="1" operator="equal">
      <formula>"Fail"</formula>
    </cfRule>
    <cfRule type="cellIs" dxfId="91" priority="20" stopIfTrue="1" operator="equal">
      <formula>"Pass"</formula>
    </cfRule>
  </conditionalFormatting>
  <conditionalFormatting sqref="I661:L662">
    <cfRule type="cellIs" dxfId="90" priority="17" stopIfTrue="1" operator="equal">
      <formula>"Pass"</formula>
    </cfRule>
    <cfRule type="cellIs" dxfId="89" priority="18" stopIfTrue="1" operator="equal">
      <formula>"Fail"</formula>
    </cfRule>
  </conditionalFormatting>
  <conditionalFormatting sqref="T661:T663">
    <cfRule type="cellIs" dxfId="88" priority="15" stopIfTrue="1" operator="equal">
      <formula>"Fail"</formula>
    </cfRule>
    <cfRule type="cellIs" dxfId="87" priority="16" stopIfTrue="1" operator="equal">
      <formula>"Pass"</formula>
    </cfRule>
  </conditionalFormatting>
  <conditionalFormatting sqref="I664:L665 I670:L671 I676:L677 I682:L683 I688:L689 I694:L695 I700:L701 I706:L707 I712:L713 I718:L719 I724:L725 I730:L731 I736:L737 I742:L743 I748:L749 I754:L755 I760:L761 I766:L767 I772:L773 I778:L779 I784:L785 I790:L791 I796:L797 I802:L803 I808:L809 I814:L815 I820:L821 I826:L827 I832:L833 I838:L839 I844:L845 I850:L851 I856:L857 I862:L863 I868:L869 I874:L875 I880:L881 I886:L887 I892:L893 I898:L899 I904:L905 I910:L911 I916:L917 I922:L923 I928:L929 I934:L935 I940:L941 I946:L947 I952:L953 I958:L959 I964:L965 I970:L971 I976:L977 I982:L983 I988:L989 I994:L995 I1000:L1001 I1006:L1007 I1012:L1013 I1018:L1019 I1024:L1025 I1030:L1031 I1036:L1037 I1042:L1043 I1048:L1049 I1054:L1055 I1060:L1061 I1066:L1067 I1072:L1073 I1078:L1079 I1084:L1085 I1090:L1091 I1096:L1097 I1102:L1103 I1108:L1109 I1114:L1115 I1120:L1121 I1126:L1127 I1132:L1133 I1138:L1139 I1144:L1145 I1150:L1151 I1156:L1157 I1162:L1163 I1168:L1169 I1174:L1175 I1180:L1181 I1186:L1187 I1192:L1193 I1198:L1199 I1204:L1205 I1210:L1211 I1216:L1217 I1222:L1223 I1228:L1229">
    <cfRule type="cellIs" dxfId="86" priority="13" stopIfTrue="1" operator="equal">
      <formula>"Pass"</formula>
    </cfRule>
    <cfRule type="cellIs" dxfId="85" priority="14" stopIfTrue="1" operator="equal">
      <formula>"Fail"</formula>
    </cfRule>
  </conditionalFormatting>
  <conditionalFormatting sqref="T664:T666 T670:T672 T676:T678 T682:T684 T688:T690 T694:T696 T700:T702 T706:T708 T712:T714 T718:T720 T724:T726 T730:T732 T736:T738 T742:T744 T748:T750 T754:T756 T760:T762 T766:T768 T772:T774 T778:T780 T784:T786 T790:T792 T796:T798 T802:T804 T808:T810 T814:T816 T820:T822 T826:T828 T832:T834 T838:T840 T844:T846 T850:T852 T856:T858 T862:T864 T868:T870 T874:T876 T880:T882 T886:T888 T892:T894 T898:T900 T904:T906 T910:T912 T916:T918 T922:T924 T928:T930 T934:T936 T940:T942 T946:T948 T952:T954 T958:T960 T964:T966 T970:T972 T976:T978 T982:T984 T988:T990 T994:T996 T1000:T1002 T1006:T1008 T1012:T1014 T1018:T1020 T1024:T1026 T1030:T1032 T1036:T1038 T1042:T1044 T1048:T1050 T1054:T1056 T1060:T1062 T1066:T1068 T1072:T1074 T1078:T1080 T1084:T1086 T1090:T1092 T1096:T1098 T1102:T1104 T1108:T1110 T1114:T1116 T1120:T1122 T1126:T1128 T1132:T1134 T1138:T1140 T1144:T1146 T1150:T1152 T1156:T1158 T1162:T1164 T1168:T1170 T1174:T1176 T1180:T1182 T1186:T1188 T1192:T1194 T1198:T1200 T1204:T1206 T1210:T1212 T1216:T1218 T1222:T1224 T1228:T1229">
    <cfRule type="cellIs" dxfId="84" priority="11" stopIfTrue="1" operator="equal">
      <formula>"Fail"</formula>
    </cfRule>
    <cfRule type="cellIs" dxfId="83" priority="12" stopIfTrue="1" operator="equal">
      <formula>"Pass"</formula>
    </cfRule>
  </conditionalFormatting>
  <conditionalFormatting sqref="I667:L668 I673:L674 I679:L680 I685:L686 I691:L692 I697:L698 I703:L704 I709:L710 I715:L716 I721:L722 I727:L728 I733:L734 I739:L740 I745:L746 I751:L752 I757:L758 I763:L764 I769:L770 I775:L776 I781:L782 I787:L788 I793:L794 I799:L800 I805:L806 I811:L812 I817:L818 I823:L824 I829:L830 I835:L836 I841:L842 I847:L848 I853:L854 I859:L860 I865:L866 I871:L872 I877:L878 I883:L884 I889:L890 I895:L896 I901:L902 I907:L908 I913:L914 I919:L920 I925:L926 I931:L932 I937:L938 I943:L944 I949:L950 I955:L956 I961:L962 I967:L968 I973:L974 I979:L980 I985:L986 I991:L992 I997:L998 I1003:L1004 I1009:L1010 I1015:L1016 I1021:L1022 I1027:L1028 I1033:L1034 I1039:L1040 I1045:L1046 I1051:L1052 I1057:L1058 I1063:L1064 I1069:L1070 I1075:L1076 I1081:L1082 I1087:L1088 I1093:L1094 I1099:L1100 I1105:L1106 I1111:L1112 I1117:L1118 I1123:L1124 I1129:L1130 I1135:L1136 I1141:L1142 I1147:L1148 I1153:L1154 I1159:L1160 I1165:L1166 I1171:L1172 I1177:L1178 I1183:L1184 I1189:L1190 I1195:L1196 I1201:L1202 I1207:L1208 I1213:L1214 I1219:L1220 I1225:L1226">
    <cfRule type="cellIs" dxfId="82" priority="9" stopIfTrue="1" operator="equal">
      <formula>"Pass"</formula>
    </cfRule>
    <cfRule type="cellIs" dxfId="81" priority="10" stopIfTrue="1" operator="equal">
      <formula>"Fail"</formula>
    </cfRule>
  </conditionalFormatting>
  <conditionalFormatting sqref="T667:T669 T673:T675 T679:T681 T685:T687 T691:T693 T697:T699 T703:T705 T709:T711 T715:T717 T721:T723 T727:T729 T733:T735 T739:T741 T745:T747 T751:T753 T757:T759 T763:T765 T769:T771 T775:T777 T781:T783 T787:T789 T793:T795 T799:T801 T805:T807 T811:T813 T817:T819 T823:T825 T829:T831 T835:T837 T841:T843 T847:T849 T853:T855 T859:T861 T865:T867 T871:T873 T877:T879 T883:T885 T889:T891 T895:T897 T901:T903 T907:T909 T913:T915 T919:T921 T925:T927 T931:T933 T937:T939 T943:T945 T949:T951 T955:T957 T961:T963 T967:T969 T973:T975 T979:T981 T985:T987 T991:T993 T997:T999 T1003:T1005 T1009:T1011 T1015:T1017 T1021:T1023 T1027:T1029 T1033:T1035 T1039:T1041 T1045:T1047 T1051:T1053 T1057:T1059 T1063:T1065 T1069:T1071 T1075:T1077 T1081:T1083 T1087:T1089 T1093:T1095 T1099:T1101 T1105:T1107 T1111:T1113 T1117:T1119 T1123:T1125 T1129:T1131 T1135:T1137 T1141:T1143 T1147:T1149 T1153:T1155 T1159:T1161 T1165:T1167 T1171:T1173 T1177:T1179 T1183:T1185 T1189:T1191 T1195:T1197 T1201:T1203 T1207:T1209 T1213:T1215 T1219:T1221 T1225:T1227">
    <cfRule type="cellIs" dxfId="80" priority="7" stopIfTrue="1" operator="equal">
      <formula>"Fail"</formula>
    </cfRule>
    <cfRule type="cellIs" dxfId="79" priority="8" stopIfTrue="1" operator="equal">
      <formula>"Pass"</formula>
    </cfRule>
  </conditionalFormatting>
  <conditionalFormatting sqref="I661:L661">
    <cfRule type="cellIs" dxfId="78" priority="5" stopIfTrue="1" operator="equal">
      <formula>"Pass"</formula>
    </cfRule>
    <cfRule type="cellIs" dxfId="77" priority="6" stopIfTrue="1" operator="equal">
      <formula>"Fail"</formula>
    </cfRule>
  </conditionalFormatting>
  <conditionalFormatting sqref="I694:L695">
    <cfRule type="cellIs" dxfId="76" priority="3" stopIfTrue="1" operator="equal">
      <formula>"Pass"</formula>
    </cfRule>
    <cfRule type="cellIs" dxfId="75" priority="4" stopIfTrue="1" operator="equal">
      <formula>"Fail"</formula>
    </cfRule>
  </conditionalFormatting>
  <conditionalFormatting sqref="T694:T696">
    <cfRule type="cellIs" dxfId="74" priority="1" stopIfTrue="1" operator="equal">
      <formula>"Fail"</formula>
    </cfRule>
    <cfRule type="cellIs" dxfId="73" priority="2" stopIfTrue="1" operator="equal">
      <formula>"Pass"</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41167F-5E94-4641-86A0-7754B9114A6F}">
  <sheetPr codeName="Sheet6"/>
  <dimension ref="A1:Z390"/>
  <sheetViews>
    <sheetView workbookViewId="0">
      <pane ySplit="9" topLeftCell="A24" activePane="bottomLeft" state="frozen"/>
      <selection pane="bottomLeft" activeCell="G22" sqref="G22"/>
    </sheetView>
  </sheetViews>
  <sheetFormatPr defaultRowHeight="13.3" x14ac:dyDescent="0.3"/>
  <cols>
    <col min="1" max="1" width="12.1796875" style="56" customWidth="1"/>
    <col min="2" max="2" width="12.08984375" style="56" customWidth="1"/>
    <col min="3" max="3" width="13.26953125" style="56" bestFit="1" customWidth="1"/>
    <col min="4" max="14" width="8.81640625" style="56" bestFit="1" customWidth="1"/>
    <col min="15" max="15" width="9.453125" style="56" bestFit="1" customWidth="1"/>
    <col min="16" max="16" width="10.453125" style="56" bestFit="1" customWidth="1"/>
    <col min="17" max="17" width="8.7265625" style="56"/>
    <col min="18" max="18" width="8.81640625" style="56" bestFit="1" customWidth="1"/>
    <col min="19" max="19" width="13.7265625" style="56" customWidth="1"/>
    <col min="20" max="20" width="27.26953125" style="56" customWidth="1"/>
    <col min="21" max="25" width="8.81640625" style="56" bestFit="1" customWidth="1"/>
    <col min="26" max="26" width="12.7265625" style="56" bestFit="1" customWidth="1"/>
    <col min="27" max="256" width="8.7265625" style="56"/>
    <col min="257" max="257" width="12.1796875" style="56" customWidth="1"/>
    <col min="258" max="258" width="12.08984375" style="56" customWidth="1"/>
    <col min="259" max="259" width="13.26953125" style="56" bestFit="1" customWidth="1"/>
    <col min="260" max="271" width="8.7265625" style="56"/>
    <col min="272" max="272" width="10.36328125" style="56" bestFit="1" customWidth="1"/>
    <col min="273" max="274" width="8.7265625" style="56"/>
    <col min="275" max="275" width="13.7265625" style="56" customWidth="1"/>
    <col min="276" max="281" width="8.7265625" style="56"/>
    <col min="282" max="282" width="12.6328125" style="56" bestFit="1" customWidth="1"/>
    <col min="283" max="512" width="8.7265625" style="56"/>
    <col min="513" max="513" width="12.1796875" style="56" customWidth="1"/>
    <col min="514" max="514" width="12.08984375" style="56" customWidth="1"/>
    <col min="515" max="515" width="13.26953125" style="56" bestFit="1" customWidth="1"/>
    <col min="516" max="527" width="8.7265625" style="56"/>
    <col min="528" max="528" width="10.36328125" style="56" bestFit="1" customWidth="1"/>
    <col min="529" max="530" width="8.7265625" style="56"/>
    <col min="531" max="531" width="13.7265625" style="56" customWidth="1"/>
    <col min="532" max="537" width="8.7265625" style="56"/>
    <col min="538" max="538" width="12.6328125" style="56" bestFit="1" customWidth="1"/>
    <col min="539" max="768" width="8.7265625" style="56"/>
    <col min="769" max="769" width="12.1796875" style="56" customWidth="1"/>
    <col min="770" max="770" width="12.08984375" style="56" customWidth="1"/>
    <col min="771" max="771" width="13.26953125" style="56" bestFit="1" customWidth="1"/>
    <col min="772" max="783" width="8.7265625" style="56"/>
    <col min="784" max="784" width="10.36328125" style="56" bestFit="1" customWidth="1"/>
    <col min="785" max="786" width="8.7265625" style="56"/>
    <col min="787" max="787" width="13.7265625" style="56" customWidth="1"/>
    <col min="788" max="793" width="8.7265625" style="56"/>
    <col min="794" max="794" width="12.6328125" style="56" bestFit="1" customWidth="1"/>
    <col min="795" max="1024" width="8.7265625" style="56"/>
    <col min="1025" max="1025" width="12.1796875" style="56" customWidth="1"/>
    <col min="1026" max="1026" width="12.08984375" style="56" customWidth="1"/>
    <col min="1027" max="1027" width="13.26953125" style="56" bestFit="1" customWidth="1"/>
    <col min="1028" max="1039" width="8.7265625" style="56"/>
    <col min="1040" max="1040" width="10.36328125" style="56" bestFit="1" customWidth="1"/>
    <col min="1041" max="1042" width="8.7265625" style="56"/>
    <col min="1043" max="1043" width="13.7265625" style="56" customWidth="1"/>
    <col min="1044" max="1049" width="8.7265625" style="56"/>
    <col min="1050" max="1050" width="12.6328125" style="56" bestFit="1" customWidth="1"/>
    <col min="1051" max="1280" width="8.7265625" style="56"/>
    <col min="1281" max="1281" width="12.1796875" style="56" customWidth="1"/>
    <col min="1282" max="1282" width="12.08984375" style="56" customWidth="1"/>
    <col min="1283" max="1283" width="13.26953125" style="56" bestFit="1" customWidth="1"/>
    <col min="1284" max="1295" width="8.7265625" style="56"/>
    <col min="1296" max="1296" width="10.36328125" style="56" bestFit="1" customWidth="1"/>
    <col min="1297" max="1298" width="8.7265625" style="56"/>
    <col min="1299" max="1299" width="13.7265625" style="56" customWidth="1"/>
    <col min="1300" max="1305" width="8.7265625" style="56"/>
    <col min="1306" max="1306" width="12.6328125" style="56" bestFit="1" customWidth="1"/>
    <col min="1307" max="1536" width="8.7265625" style="56"/>
    <col min="1537" max="1537" width="12.1796875" style="56" customWidth="1"/>
    <col min="1538" max="1538" width="12.08984375" style="56" customWidth="1"/>
    <col min="1539" max="1539" width="13.26953125" style="56" bestFit="1" customWidth="1"/>
    <col min="1540" max="1551" width="8.7265625" style="56"/>
    <col min="1552" max="1552" width="10.36328125" style="56" bestFit="1" customWidth="1"/>
    <col min="1553" max="1554" width="8.7265625" style="56"/>
    <col min="1555" max="1555" width="13.7265625" style="56" customWidth="1"/>
    <col min="1556" max="1561" width="8.7265625" style="56"/>
    <col min="1562" max="1562" width="12.6328125" style="56" bestFit="1" customWidth="1"/>
    <col min="1563" max="1792" width="8.7265625" style="56"/>
    <col min="1793" max="1793" width="12.1796875" style="56" customWidth="1"/>
    <col min="1794" max="1794" width="12.08984375" style="56" customWidth="1"/>
    <col min="1795" max="1795" width="13.26953125" style="56" bestFit="1" customWidth="1"/>
    <col min="1796" max="1807" width="8.7265625" style="56"/>
    <col min="1808" max="1808" width="10.36328125" style="56" bestFit="1" customWidth="1"/>
    <col min="1809" max="1810" width="8.7265625" style="56"/>
    <col min="1811" max="1811" width="13.7265625" style="56" customWidth="1"/>
    <col min="1812" max="1817" width="8.7265625" style="56"/>
    <col min="1818" max="1818" width="12.6328125" style="56" bestFit="1" customWidth="1"/>
    <col min="1819" max="2048" width="8.7265625" style="56"/>
    <col min="2049" max="2049" width="12.1796875" style="56" customWidth="1"/>
    <col min="2050" max="2050" width="12.08984375" style="56" customWidth="1"/>
    <col min="2051" max="2051" width="13.26953125" style="56" bestFit="1" customWidth="1"/>
    <col min="2052" max="2063" width="8.7265625" style="56"/>
    <col min="2064" max="2064" width="10.36328125" style="56" bestFit="1" customWidth="1"/>
    <col min="2065" max="2066" width="8.7265625" style="56"/>
    <col min="2067" max="2067" width="13.7265625" style="56" customWidth="1"/>
    <col min="2068" max="2073" width="8.7265625" style="56"/>
    <col min="2074" max="2074" width="12.6328125" style="56" bestFit="1" customWidth="1"/>
    <col min="2075" max="2304" width="8.7265625" style="56"/>
    <col min="2305" max="2305" width="12.1796875" style="56" customWidth="1"/>
    <col min="2306" max="2306" width="12.08984375" style="56" customWidth="1"/>
    <col min="2307" max="2307" width="13.26953125" style="56" bestFit="1" customWidth="1"/>
    <col min="2308" max="2319" width="8.7265625" style="56"/>
    <col min="2320" max="2320" width="10.36328125" style="56" bestFit="1" customWidth="1"/>
    <col min="2321" max="2322" width="8.7265625" style="56"/>
    <col min="2323" max="2323" width="13.7265625" style="56" customWidth="1"/>
    <col min="2324" max="2329" width="8.7265625" style="56"/>
    <col min="2330" max="2330" width="12.6328125" style="56" bestFit="1" customWidth="1"/>
    <col min="2331" max="2560" width="8.7265625" style="56"/>
    <col min="2561" max="2561" width="12.1796875" style="56" customWidth="1"/>
    <col min="2562" max="2562" width="12.08984375" style="56" customWidth="1"/>
    <col min="2563" max="2563" width="13.26953125" style="56" bestFit="1" customWidth="1"/>
    <col min="2564" max="2575" width="8.7265625" style="56"/>
    <col min="2576" max="2576" width="10.36328125" style="56" bestFit="1" customWidth="1"/>
    <col min="2577" max="2578" width="8.7265625" style="56"/>
    <col min="2579" max="2579" width="13.7265625" style="56" customWidth="1"/>
    <col min="2580" max="2585" width="8.7265625" style="56"/>
    <col min="2586" max="2586" width="12.6328125" style="56" bestFit="1" customWidth="1"/>
    <col min="2587" max="2816" width="8.7265625" style="56"/>
    <col min="2817" max="2817" width="12.1796875" style="56" customWidth="1"/>
    <col min="2818" max="2818" width="12.08984375" style="56" customWidth="1"/>
    <col min="2819" max="2819" width="13.26953125" style="56" bestFit="1" customWidth="1"/>
    <col min="2820" max="2831" width="8.7265625" style="56"/>
    <col min="2832" max="2832" width="10.36328125" style="56" bestFit="1" customWidth="1"/>
    <col min="2833" max="2834" width="8.7265625" style="56"/>
    <col min="2835" max="2835" width="13.7265625" style="56" customWidth="1"/>
    <col min="2836" max="2841" width="8.7265625" style="56"/>
    <col min="2842" max="2842" width="12.6328125" style="56" bestFit="1" customWidth="1"/>
    <col min="2843" max="3072" width="8.7265625" style="56"/>
    <col min="3073" max="3073" width="12.1796875" style="56" customWidth="1"/>
    <col min="3074" max="3074" width="12.08984375" style="56" customWidth="1"/>
    <col min="3075" max="3075" width="13.26953125" style="56" bestFit="1" customWidth="1"/>
    <col min="3076" max="3087" width="8.7265625" style="56"/>
    <col min="3088" max="3088" width="10.36328125" style="56" bestFit="1" customWidth="1"/>
    <col min="3089" max="3090" width="8.7265625" style="56"/>
    <col min="3091" max="3091" width="13.7265625" style="56" customWidth="1"/>
    <col min="3092" max="3097" width="8.7265625" style="56"/>
    <col min="3098" max="3098" width="12.6328125" style="56" bestFit="1" customWidth="1"/>
    <col min="3099" max="3328" width="8.7265625" style="56"/>
    <col min="3329" max="3329" width="12.1796875" style="56" customWidth="1"/>
    <col min="3330" max="3330" width="12.08984375" style="56" customWidth="1"/>
    <col min="3331" max="3331" width="13.26953125" style="56" bestFit="1" customWidth="1"/>
    <col min="3332" max="3343" width="8.7265625" style="56"/>
    <col min="3344" max="3344" width="10.36328125" style="56" bestFit="1" customWidth="1"/>
    <col min="3345" max="3346" width="8.7265625" style="56"/>
    <col min="3347" max="3347" width="13.7265625" style="56" customWidth="1"/>
    <col min="3348" max="3353" width="8.7265625" style="56"/>
    <col min="3354" max="3354" width="12.6328125" style="56" bestFit="1" customWidth="1"/>
    <col min="3355" max="3584" width="8.7265625" style="56"/>
    <col min="3585" max="3585" width="12.1796875" style="56" customWidth="1"/>
    <col min="3586" max="3586" width="12.08984375" style="56" customWidth="1"/>
    <col min="3587" max="3587" width="13.26953125" style="56" bestFit="1" customWidth="1"/>
    <col min="3588" max="3599" width="8.7265625" style="56"/>
    <col min="3600" max="3600" width="10.36328125" style="56" bestFit="1" customWidth="1"/>
    <col min="3601" max="3602" width="8.7265625" style="56"/>
    <col min="3603" max="3603" width="13.7265625" style="56" customWidth="1"/>
    <col min="3604" max="3609" width="8.7265625" style="56"/>
    <col min="3610" max="3610" width="12.6328125" style="56" bestFit="1" customWidth="1"/>
    <col min="3611" max="3840" width="8.7265625" style="56"/>
    <col min="3841" max="3841" width="12.1796875" style="56" customWidth="1"/>
    <col min="3842" max="3842" width="12.08984375" style="56" customWidth="1"/>
    <col min="3843" max="3843" width="13.26953125" style="56" bestFit="1" customWidth="1"/>
    <col min="3844" max="3855" width="8.7265625" style="56"/>
    <col min="3856" max="3856" width="10.36328125" style="56" bestFit="1" customWidth="1"/>
    <col min="3857" max="3858" width="8.7265625" style="56"/>
    <col min="3859" max="3859" width="13.7265625" style="56" customWidth="1"/>
    <col min="3860" max="3865" width="8.7265625" style="56"/>
    <col min="3866" max="3866" width="12.6328125" style="56" bestFit="1" customWidth="1"/>
    <col min="3867" max="4096" width="8.7265625" style="56"/>
    <col min="4097" max="4097" width="12.1796875" style="56" customWidth="1"/>
    <col min="4098" max="4098" width="12.08984375" style="56" customWidth="1"/>
    <col min="4099" max="4099" width="13.26953125" style="56" bestFit="1" customWidth="1"/>
    <col min="4100" max="4111" width="8.7265625" style="56"/>
    <col min="4112" max="4112" width="10.36328125" style="56" bestFit="1" customWidth="1"/>
    <col min="4113" max="4114" width="8.7265625" style="56"/>
    <col min="4115" max="4115" width="13.7265625" style="56" customWidth="1"/>
    <col min="4116" max="4121" width="8.7265625" style="56"/>
    <col min="4122" max="4122" width="12.6328125" style="56" bestFit="1" customWidth="1"/>
    <col min="4123" max="4352" width="8.7265625" style="56"/>
    <col min="4353" max="4353" width="12.1796875" style="56" customWidth="1"/>
    <col min="4354" max="4354" width="12.08984375" style="56" customWidth="1"/>
    <col min="4355" max="4355" width="13.26953125" style="56" bestFit="1" customWidth="1"/>
    <col min="4356" max="4367" width="8.7265625" style="56"/>
    <col min="4368" max="4368" width="10.36328125" style="56" bestFit="1" customWidth="1"/>
    <col min="4369" max="4370" width="8.7265625" style="56"/>
    <col min="4371" max="4371" width="13.7265625" style="56" customWidth="1"/>
    <col min="4372" max="4377" width="8.7265625" style="56"/>
    <col min="4378" max="4378" width="12.6328125" style="56" bestFit="1" customWidth="1"/>
    <col min="4379" max="4608" width="8.7265625" style="56"/>
    <col min="4609" max="4609" width="12.1796875" style="56" customWidth="1"/>
    <col min="4610" max="4610" width="12.08984375" style="56" customWidth="1"/>
    <col min="4611" max="4611" width="13.26953125" style="56" bestFit="1" customWidth="1"/>
    <col min="4612" max="4623" width="8.7265625" style="56"/>
    <col min="4624" max="4624" width="10.36328125" style="56" bestFit="1" customWidth="1"/>
    <col min="4625" max="4626" width="8.7265625" style="56"/>
    <col min="4627" max="4627" width="13.7265625" style="56" customWidth="1"/>
    <col min="4628" max="4633" width="8.7265625" style="56"/>
    <col min="4634" max="4634" width="12.6328125" style="56" bestFit="1" customWidth="1"/>
    <col min="4635" max="4864" width="8.7265625" style="56"/>
    <col min="4865" max="4865" width="12.1796875" style="56" customWidth="1"/>
    <col min="4866" max="4866" width="12.08984375" style="56" customWidth="1"/>
    <col min="4867" max="4867" width="13.26953125" style="56" bestFit="1" customWidth="1"/>
    <col min="4868" max="4879" width="8.7265625" style="56"/>
    <col min="4880" max="4880" width="10.36328125" style="56" bestFit="1" customWidth="1"/>
    <col min="4881" max="4882" width="8.7265625" style="56"/>
    <col min="4883" max="4883" width="13.7265625" style="56" customWidth="1"/>
    <col min="4884" max="4889" width="8.7265625" style="56"/>
    <col min="4890" max="4890" width="12.6328125" style="56" bestFit="1" customWidth="1"/>
    <col min="4891" max="5120" width="8.7265625" style="56"/>
    <col min="5121" max="5121" width="12.1796875" style="56" customWidth="1"/>
    <col min="5122" max="5122" width="12.08984375" style="56" customWidth="1"/>
    <col min="5123" max="5123" width="13.26953125" style="56" bestFit="1" customWidth="1"/>
    <col min="5124" max="5135" width="8.7265625" style="56"/>
    <col min="5136" max="5136" width="10.36328125" style="56" bestFit="1" customWidth="1"/>
    <col min="5137" max="5138" width="8.7265625" style="56"/>
    <col min="5139" max="5139" width="13.7265625" style="56" customWidth="1"/>
    <col min="5140" max="5145" width="8.7265625" style="56"/>
    <col min="5146" max="5146" width="12.6328125" style="56" bestFit="1" customWidth="1"/>
    <col min="5147" max="5376" width="8.7265625" style="56"/>
    <col min="5377" max="5377" width="12.1796875" style="56" customWidth="1"/>
    <col min="5378" max="5378" width="12.08984375" style="56" customWidth="1"/>
    <col min="5379" max="5379" width="13.26953125" style="56" bestFit="1" customWidth="1"/>
    <col min="5380" max="5391" width="8.7265625" style="56"/>
    <col min="5392" max="5392" width="10.36328125" style="56" bestFit="1" customWidth="1"/>
    <col min="5393" max="5394" width="8.7265625" style="56"/>
    <col min="5395" max="5395" width="13.7265625" style="56" customWidth="1"/>
    <col min="5396" max="5401" width="8.7265625" style="56"/>
    <col min="5402" max="5402" width="12.6328125" style="56" bestFit="1" customWidth="1"/>
    <col min="5403" max="5632" width="8.7265625" style="56"/>
    <col min="5633" max="5633" width="12.1796875" style="56" customWidth="1"/>
    <col min="5634" max="5634" width="12.08984375" style="56" customWidth="1"/>
    <col min="5635" max="5635" width="13.26953125" style="56" bestFit="1" customWidth="1"/>
    <col min="5636" max="5647" width="8.7265625" style="56"/>
    <col min="5648" max="5648" width="10.36328125" style="56" bestFit="1" customWidth="1"/>
    <col min="5649" max="5650" width="8.7265625" style="56"/>
    <col min="5651" max="5651" width="13.7265625" style="56" customWidth="1"/>
    <col min="5652" max="5657" width="8.7265625" style="56"/>
    <col min="5658" max="5658" width="12.6328125" style="56" bestFit="1" customWidth="1"/>
    <col min="5659" max="5888" width="8.7265625" style="56"/>
    <col min="5889" max="5889" width="12.1796875" style="56" customWidth="1"/>
    <col min="5890" max="5890" width="12.08984375" style="56" customWidth="1"/>
    <col min="5891" max="5891" width="13.26953125" style="56" bestFit="1" customWidth="1"/>
    <col min="5892" max="5903" width="8.7265625" style="56"/>
    <col min="5904" max="5904" width="10.36328125" style="56" bestFit="1" customWidth="1"/>
    <col min="5905" max="5906" width="8.7265625" style="56"/>
    <col min="5907" max="5907" width="13.7265625" style="56" customWidth="1"/>
    <col min="5908" max="5913" width="8.7265625" style="56"/>
    <col min="5914" max="5914" width="12.6328125" style="56" bestFit="1" customWidth="1"/>
    <col min="5915" max="6144" width="8.7265625" style="56"/>
    <col min="6145" max="6145" width="12.1796875" style="56" customWidth="1"/>
    <col min="6146" max="6146" width="12.08984375" style="56" customWidth="1"/>
    <col min="6147" max="6147" width="13.26953125" style="56" bestFit="1" customWidth="1"/>
    <col min="6148" max="6159" width="8.7265625" style="56"/>
    <col min="6160" max="6160" width="10.36328125" style="56" bestFit="1" customWidth="1"/>
    <col min="6161" max="6162" width="8.7265625" style="56"/>
    <col min="6163" max="6163" width="13.7265625" style="56" customWidth="1"/>
    <col min="6164" max="6169" width="8.7265625" style="56"/>
    <col min="6170" max="6170" width="12.6328125" style="56" bestFit="1" customWidth="1"/>
    <col min="6171" max="6400" width="8.7265625" style="56"/>
    <col min="6401" max="6401" width="12.1796875" style="56" customWidth="1"/>
    <col min="6402" max="6402" width="12.08984375" style="56" customWidth="1"/>
    <col min="6403" max="6403" width="13.26953125" style="56" bestFit="1" customWidth="1"/>
    <col min="6404" max="6415" width="8.7265625" style="56"/>
    <col min="6416" max="6416" width="10.36328125" style="56" bestFit="1" customWidth="1"/>
    <col min="6417" max="6418" width="8.7265625" style="56"/>
    <col min="6419" max="6419" width="13.7265625" style="56" customWidth="1"/>
    <col min="6420" max="6425" width="8.7265625" style="56"/>
    <col min="6426" max="6426" width="12.6328125" style="56" bestFit="1" customWidth="1"/>
    <col min="6427" max="6656" width="8.7265625" style="56"/>
    <col min="6657" max="6657" width="12.1796875" style="56" customWidth="1"/>
    <col min="6658" max="6658" width="12.08984375" style="56" customWidth="1"/>
    <col min="6659" max="6659" width="13.26953125" style="56" bestFit="1" customWidth="1"/>
    <col min="6660" max="6671" width="8.7265625" style="56"/>
    <col min="6672" max="6672" width="10.36328125" style="56" bestFit="1" customWidth="1"/>
    <col min="6673" max="6674" width="8.7265625" style="56"/>
    <col min="6675" max="6675" width="13.7265625" style="56" customWidth="1"/>
    <col min="6676" max="6681" width="8.7265625" style="56"/>
    <col min="6682" max="6682" width="12.6328125" style="56" bestFit="1" customWidth="1"/>
    <col min="6683" max="6912" width="8.7265625" style="56"/>
    <col min="6913" max="6913" width="12.1796875" style="56" customWidth="1"/>
    <col min="6914" max="6914" width="12.08984375" style="56" customWidth="1"/>
    <col min="6915" max="6915" width="13.26953125" style="56" bestFit="1" customWidth="1"/>
    <col min="6916" max="6927" width="8.7265625" style="56"/>
    <col min="6928" max="6928" width="10.36328125" style="56" bestFit="1" customWidth="1"/>
    <col min="6929" max="6930" width="8.7265625" style="56"/>
    <col min="6931" max="6931" width="13.7265625" style="56" customWidth="1"/>
    <col min="6932" max="6937" width="8.7265625" style="56"/>
    <col min="6938" max="6938" width="12.6328125" style="56" bestFit="1" customWidth="1"/>
    <col min="6939" max="7168" width="8.7265625" style="56"/>
    <col min="7169" max="7169" width="12.1796875" style="56" customWidth="1"/>
    <col min="7170" max="7170" width="12.08984375" style="56" customWidth="1"/>
    <col min="7171" max="7171" width="13.26953125" style="56" bestFit="1" customWidth="1"/>
    <col min="7172" max="7183" width="8.7265625" style="56"/>
    <col min="7184" max="7184" width="10.36328125" style="56" bestFit="1" customWidth="1"/>
    <col min="7185" max="7186" width="8.7265625" style="56"/>
    <col min="7187" max="7187" width="13.7265625" style="56" customWidth="1"/>
    <col min="7188" max="7193" width="8.7265625" style="56"/>
    <col min="7194" max="7194" width="12.6328125" style="56" bestFit="1" customWidth="1"/>
    <col min="7195" max="7424" width="8.7265625" style="56"/>
    <col min="7425" max="7425" width="12.1796875" style="56" customWidth="1"/>
    <col min="7426" max="7426" width="12.08984375" style="56" customWidth="1"/>
    <col min="7427" max="7427" width="13.26953125" style="56" bestFit="1" customWidth="1"/>
    <col min="7428" max="7439" width="8.7265625" style="56"/>
    <col min="7440" max="7440" width="10.36328125" style="56" bestFit="1" customWidth="1"/>
    <col min="7441" max="7442" width="8.7265625" style="56"/>
    <col min="7443" max="7443" width="13.7265625" style="56" customWidth="1"/>
    <col min="7444" max="7449" width="8.7265625" style="56"/>
    <col min="7450" max="7450" width="12.6328125" style="56" bestFit="1" customWidth="1"/>
    <col min="7451" max="7680" width="8.7265625" style="56"/>
    <col min="7681" max="7681" width="12.1796875" style="56" customWidth="1"/>
    <col min="7682" max="7682" width="12.08984375" style="56" customWidth="1"/>
    <col min="7683" max="7683" width="13.26953125" style="56" bestFit="1" customWidth="1"/>
    <col min="7684" max="7695" width="8.7265625" style="56"/>
    <col min="7696" max="7696" width="10.36328125" style="56" bestFit="1" customWidth="1"/>
    <col min="7697" max="7698" width="8.7265625" style="56"/>
    <col min="7699" max="7699" width="13.7265625" style="56" customWidth="1"/>
    <col min="7700" max="7705" width="8.7265625" style="56"/>
    <col min="7706" max="7706" width="12.6328125" style="56" bestFit="1" customWidth="1"/>
    <col min="7707" max="7936" width="8.7265625" style="56"/>
    <col min="7937" max="7937" width="12.1796875" style="56" customWidth="1"/>
    <col min="7938" max="7938" width="12.08984375" style="56" customWidth="1"/>
    <col min="7939" max="7939" width="13.26953125" style="56" bestFit="1" customWidth="1"/>
    <col min="7940" max="7951" width="8.7265625" style="56"/>
    <col min="7952" max="7952" width="10.36328125" style="56" bestFit="1" customWidth="1"/>
    <col min="7953" max="7954" width="8.7265625" style="56"/>
    <col min="7955" max="7955" width="13.7265625" style="56" customWidth="1"/>
    <col min="7956" max="7961" width="8.7265625" style="56"/>
    <col min="7962" max="7962" width="12.6328125" style="56" bestFit="1" customWidth="1"/>
    <col min="7963" max="8192" width="8.7265625" style="56"/>
    <col min="8193" max="8193" width="12.1796875" style="56" customWidth="1"/>
    <col min="8194" max="8194" width="12.08984375" style="56" customWidth="1"/>
    <col min="8195" max="8195" width="13.26953125" style="56" bestFit="1" customWidth="1"/>
    <col min="8196" max="8207" width="8.7265625" style="56"/>
    <col min="8208" max="8208" width="10.36328125" style="56" bestFit="1" customWidth="1"/>
    <col min="8209" max="8210" width="8.7265625" style="56"/>
    <col min="8211" max="8211" width="13.7265625" style="56" customWidth="1"/>
    <col min="8212" max="8217" width="8.7265625" style="56"/>
    <col min="8218" max="8218" width="12.6328125" style="56" bestFit="1" customWidth="1"/>
    <col min="8219" max="8448" width="8.7265625" style="56"/>
    <col min="8449" max="8449" width="12.1796875" style="56" customWidth="1"/>
    <col min="8450" max="8450" width="12.08984375" style="56" customWidth="1"/>
    <col min="8451" max="8451" width="13.26953125" style="56" bestFit="1" customWidth="1"/>
    <col min="8452" max="8463" width="8.7265625" style="56"/>
    <col min="8464" max="8464" width="10.36328125" style="56" bestFit="1" customWidth="1"/>
    <col min="8465" max="8466" width="8.7265625" style="56"/>
    <col min="8467" max="8467" width="13.7265625" style="56" customWidth="1"/>
    <col min="8468" max="8473" width="8.7265625" style="56"/>
    <col min="8474" max="8474" width="12.6328125" style="56" bestFit="1" customWidth="1"/>
    <col min="8475" max="8704" width="8.7265625" style="56"/>
    <col min="8705" max="8705" width="12.1796875" style="56" customWidth="1"/>
    <col min="8706" max="8706" width="12.08984375" style="56" customWidth="1"/>
    <col min="8707" max="8707" width="13.26953125" style="56" bestFit="1" customWidth="1"/>
    <col min="8708" max="8719" width="8.7265625" style="56"/>
    <col min="8720" max="8720" width="10.36328125" style="56" bestFit="1" customWidth="1"/>
    <col min="8721" max="8722" width="8.7265625" style="56"/>
    <col min="8723" max="8723" width="13.7265625" style="56" customWidth="1"/>
    <col min="8724" max="8729" width="8.7265625" style="56"/>
    <col min="8730" max="8730" width="12.6328125" style="56" bestFit="1" customWidth="1"/>
    <col min="8731" max="8960" width="8.7265625" style="56"/>
    <col min="8961" max="8961" width="12.1796875" style="56" customWidth="1"/>
    <col min="8962" max="8962" width="12.08984375" style="56" customWidth="1"/>
    <col min="8963" max="8963" width="13.26953125" style="56" bestFit="1" customWidth="1"/>
    <col min="8964" max="8975" width="8.7265625" style="56"/>
    <col min="8976" max="8976" width="10.36328125" style="56" bestFit="1" customWidth="1"/>
    <col min="8977" max="8978" width="8.7265625" style="56"/>
    <col min="8979" max="8979" width="13.7265625" style="56" customWidth="1"/>
    <col min="8980" max="8985" width="8.7265625" style="56"/>
    <col min="8986" max="8986" width="12.6328125" style="56" bestFit="1" customWidth="1"/>
    <col min="8987" max="9216" width="8.7265625" style="56"/>
    <col min="9217" max="9217" width="12.1796875" style="56" customWidth="1"/>
    <col min="9218" max="9218" width="12.08984375" style="56" customWidth="1"/>
    <col min="9219" max="9219" width="13.26953125" style="56" bestFit="1" customWidth="1"/>
    <col min="9220" max="9231" width="8.7265625" style="56"/>
    <col min="9232" max="9232" width="10.36328125" style="56" bestFit="1" customWidth="1"/>
    <col min="9233" max="9234" width="8.7265625" style="56"/>
    <col min="9235" max="9235" width="13.7265625" style="56" customWidth="1"/>
    <col min="9236" max="9241" width="8.7265625" style="56"/>
    <col min="9242" max="9242" width="12.6328125" style="56" bestFit="1" customWidth="1"/>
    <col min="9243" max="9472" width="8.7265625" style="56"/>
    <col min="9473" max="9473" width="12.1796875" style="56" customWidth="1"/>
    <col min="9474" max="9474" width="12.08984375" style="56" customWidth="1"/>
    <col min="9475" max="9475" width="13.26953125" style="56" bestFit="1" customWidth="1"/>
    <col min="9476" max="9487" width="8.7265625" style="56"/>
    <col min="9488" max="9488" width="10.36328125" style="56" bestFit="1" customWidth="1"/>
    <col min="9489" max="9490" width="8.7265625" style="56"/>
    <col min="9491" max="9491" width="13.7265625" style="56" customWidth="1"/>
    <col min="9492" max="9497" width="8.7265625" style="56"/>
    <col min="9498" max="9498" width="12.6328125" style="56" bestFit="1" customWidth="1"/>
    <col min="9499" max="9728" width="8.7265625" style="56"/>
    <col min="9729" max="9729" width="12.1796875" style="56" customWidth="1"/>
    <col min="9730" max="9730" width="12.08984375" style="56" customWidth="1"/>
    <col min="9731" max="9731" width="13.26953125" style="56" bestFit="1" customWidth="1"/>
    <col min="9732" max="9743" width="8.7265625" style="56"/>
    <col min="9744" max="9744" width="10.36328125" style="56" bestFit="1" customWidth="1"/>
    <col min="9745" max="9746" width="8.7265625" style="56"/>
    <col min="9747" max="9747" width="13.7265625" style="56" customWidth="1"/>
    <col min="9748" max="9753" width="8.7265625" style="56"/>
    <col min="9754" max="9754" width="12.6328125" style="56" bestFit="1" customWidth="1"/>
    <col min="9755" max="9984" width="8.7265625" style="56"/>
    <col min="9985" max="9985" width="12.1796875" style="56" customWidth="1"/>
    <col min="9986" max="9986" width="12.08984375" style="56" customWidth="1"/>
    <col min="9987" max="9987" width="13.26953125" style="56" bestFit="1" customWidth="1"/>
    <col min="9988" max="9999" width="8.7265625" style="56"/>
    <col min="10000" max="10000" width="10.36328125" style="56" bestFit="1" customWidth="1"/>
    <col min="10001" max="10002" width="8.7265625" style="56"/>
    <col min="10003" max="10003" width="13.7265625" style="56" customWidth="1"/>
    <col min="10004" max="10009" width="8.7265625" style="56"/>
    <col min="10010" max="10010" width="12.6328125" style="56" bestFit="1" customWidth="1"/>
    <col min="10011" max="10240" width="8.7265625" style="56"/>
    <col min="10241" max="10241" width="12.1796875" style="56" customWidth="1"/>
    <col min="10242" max="10242" width="12.08984375" style="56" customWidth="1"/>
    <col min="10243" max="10243" width="13.26953125" style="56" bestFit="1" customWidth="1"/>
    <col min="10244" max="10255" width="8.7265625" style="56"/>
    <col min="10256" max="10256" width="10.36328125" style="56" bestFit="1" customWidth="1"/>
    <col min="10257" max="10258" width="8.7265625" style="56"/>
    <col min="10259" max="10259" width="13.7265625" style="56" customWidth="1"/>
    <col min="10260" max="10265" width="8.7265625" style="56"/>
    <col min="10266" max="10266" width="12.6328125" style="56" bestFit="1" customWidth="1"/>
    <col min="10267" max="10496" width="8.7265625" style="56"/>
    <col min="10497" max="10497" width="12.1796875" style="56" customWidth="1"/>
    <col min="10498" max="10498" width="12.08984375" style="56" customWidth="1"/>
    <col min="10499" max="10499" width="13.26953125" style="56" bestFit="1" customWidth="1"/>
    <col min="10500" max="10511" width="8.7265625" style="56"/>
    <col min="10512" max="10512" width="10.36328125" style="56" bestFit="1" customWidth="1"/>
    <col min="10513" max="10514" width="8.7265625" style="56"/>
    <col min="10515" max="10515" width="13.7265625" style="56" customWidth="1"/>
    <col min="10516" max="10521" width="8.7265625" style="56"/>
    <col min="10522" max="10522" width="12.6328125" style="56" bestFit="1" customWidth="1"/>
    <col min="10523" max="10752" width="8.7265625" style="56"/>
    <col min="10753" max="10753" width="12.1796875" style="56" customWidth="1"/>
    <col min="10754" max="10754" width="12.08984375" style="56" customWidth="1"/>
    <col min="10755" max="10755" width="13.26953125" style="56" bestFit="1" customWidth="1"/>
    <col min="10756" max="10767" width="8.7265625" style="56"/>
    <col min="10768" max="10768" width="10.36328125" style="56" bestFit="1" customWidth="1"/>
    <col min="10769" max="10770" width="8.7265625" style="56"/>
    <col min="10771" max="10771" width="13.7265625" style="56" customWidth="1"/>
    <col min="10772" max="10777" width="8.7265625" style="56"/>
    <col min="10778" max="10778" width="12.6328125" style="56" bestFit="1" customWidth="1"/>
    <col min="10779" max="11008" width="8.7265625" style="56"/>
    <col min="11009" max="11009" width="12.1796875" style="56" customWidth="1"/>
    <col min="11010" max="11010" width="12.08984375" style="56" customWidth="1"/>
    <col min="11011" max="11011" width="13.26953125" style="56" bestFit="1" customWidth="1"/>
    <col min="11012" max="11023" width="8.7265625" style="56"/>
    <col min="11024" max="11024" width="10.36328125" style="56" bestFit="1" customWidth="1"/>
    <col min="11025" max="11026" width="8.7265625" style="56"/>
    <col min="11027" max="11027" width="13.7265625" style="56" customWidth="1"/>
    <col min="11028" max="11033" width="8.7265625" style="56"/>
    <col min="11034" max="11034" width="12.6328125" style="56" bestFit="1" customWidth="1"/>
    <col min="11035" max="11264" width="8.7265625" style="56"/>
    <col min="11265" max="11265" width="12.1796875" style="56" customWidth="1"/>
    <col min="11266" max="11266" width="12.08984375" style="56" customWidth="1"/>
    <col min="11267" max="11267" width="13.26953125" style="56" bestFit="1" customWidth="1"/>
    <col min="11268" max="11279" width="8.7265625" style="56"/>
    <col min="11280" max="11280" width="10.36328125" style="56" bestFit="1" customWidth="1"/>
    <col min="11281" max="11282" width="8.7265625" style="56"/>
    <col min="11283" max="11283" width="13.7265625" style="56" customWidth="1"/>
    <col min="11284" max="11289" width="8.7265625" style="56"/>
    <col min="11290" max="11290" width="12.6328125" style="56" bestFit="1" customWidth="1"/>
    <col min="11291" max="11520" width="8.7265625" style="56"/>
    <col min="11521" max="11521" width="12.1796875" style="56" customWidth="1"/>
    <col min="11522" max="11522" width="12.08984375" style="56" customWidth="1"/>
    <col min="11523" max="11523" width="13.26953125" style="56" bestFit="1" customWidth="1"/>
    <col min="11524" max="11535" width="8.7265625" style="56"/>
    <col min="11536" max="11536" width="10.36328125" style="56" bestFit="1" customWidth="1"/>
    <col min="11537" max="11538" width="8.7265625" style="56"/>
    <col min="11539" max="11539" width="13.7265625" style="56" customWidth="1"/>
    <col min="11540" max="11545" width="8.7265625" style="56"/>
    <col min="11546" max="11546" width="12.6328125" style="56" bestFit="1" customWidth="1"/>
    <col min="11547" max="11776" width="8.7265625" style="56"/>
    <col min="11777" max="11777" width="12.1796875" style="56" customWidth="1"/>
    <col min="11778" max="11778" width="12.08984375" style="56" customWidth="1"/>
    <col min="11779" max="11779" width="13.26953125" style="56" bestFit="1" customWidth="1"/>
    <col min="11780" max="11791" width="8.7265625" style="56"/>
    <col min="11792" max="11792" width="10.36328125" style="56" bestFit="1" customWidth="1"/>
    <col min="11793" max="11794" width="8.7265625" style="56"/>
    <col min="11795" max="11795" width="13.7265625" style="56" customWidth="1"/>
    <col min="11796" max="11801" width="8.7265625" style="56"/>
    <col min="11802" max="11802" width="12.6328125" style="56" bestFit="1" customWidth="1"/>
    <col min="11803" max="12032" width="8.7265625" style="56"/>
    <col min="12033" max="12033" width="12.1796875" style="56" customWidth="1"/>
    <col min="12034" max="12034" width="12.08984375" style="56" customWidth="1"/>
    <col min="12035" max="12035" width="13.26953125" style="56" bestFit="1" customWidth="1"/>
    <col min="12036" max="12047" width="8.7265625" style="56"/>
    <col min="12048" max="12048" width="10.36328125" style="56" bestFit="1" customWidth="1"/>
    <col min="12049" max="12050" width="8.7265625" style="56"/>
    <col min="12051" max="12051" width="13.7265625" style="56" customWidth="1"/>
    <col min="12052" max="12057" width="8.7265625" style="56"/>
    <col min="12058" max="12058" width="12.6328125" style="56" bestFit="1" customWidth="1"/>
    <col min="12059" max="12288" width="8.7265625" style="56"/>
    <col min="12289" max="12289" width="12.1796875" style="56" customWidth="1"/>
    <col min="12290" max="12290" width="12.08984375" style="56" customWidth="1"/>
    <col min="12291" max="12291" width="13.26953125" style="56" bestFit="1" customWidth="1"/>
    <col min="12292" max="12303" width="8.7265625" style="56"/>
    <col min="12304" max="12304" width="10.36328125" style="56" bestFit="1" customWidth="1"/>
    <col min="12305" max="12306" width="8.7265625" style="56"/>
    <col min="12307" max="12307" width="13.7265625" style="56" customWidth="1"/>
    <col min="12308" max="12313" width="8.7265625" style="56"/>
    <col min="12314" max="12314" width="12.6328125" style="56" bestFit="1" customWidth="1"/>
    <col min="12315" max="12544" width="8.7265625" style="56"/>
    <col min="12545" max="12545" width="12.1796875" style="56" customWidth="1"/>
    <col min="12546" max="12546" width="12.08984375" style="56" customWidth="1"/>
    <col min="12547" max="12547" width="13.26953125" style="56" bestFit="1" customWidth="1"/>
    <col min="12548" max="12559" width="8.7265625" style="56"/>
    <col min="12560" max="12560" width="10.36328125" style="56" bestFit="1" customWidth="1"/>
    <col min="12561" max="12562" width="8.7265625" style="56"/>
    <col min="12563" max="12563" width="13.7265625" style="56" customWidth="1"/>
    <col min="12564" max="12569" width="8.7265625" style="56"/>
    <col min="12570" max="12570" width="12.6328125" style="56" bestFit="1" customWidth="1"/>
    <col min="12571" max="12800" width="8.7265625" style="56"/>
    <col min="12801" max="12801" width="12.1796875" style="56" customWidth="1"/>
    <col min="12802" max="12802" width="12.08984375" style="56" customWidth="1"/>
    <col min="12803" max="12803" width="13.26953125" style="56" bestFit="1" customWidth="1"/>
    <col min="12804" max="12815" width="8.7265625" style="56"/>
    <col min="12816" max="12816" width="10.36328125" style="56" bestFit="1" customWidth="1"/>
    <col min="12817" max="12818" width="8.7265625" style="56"/>
    <col min="12819" max="12819" width="13.7265625" style="56" customWidth="1"/>
    <col min="12820" max="12825" width="8.7265625" style="56"/>
    <col min="12826" max="12826" width="12.6328125" style="56" bestFit="1" customWidth="1"/>
    <col min="12827" max="13056" width="8.7265625" style="56"/>
    <col min="13057" max="13057" width="12.1796875" style="56" customWidth="1"/>
    <col min="13058" max="13058" width="12.08984375" style="56" customWidth="1"/>
    <col min="13059" max="13059" width="13.26953125" style="56" bestFit="1" customWidth="1"/>
    <col min="13060" max="13071" width="8.7265625" style="56"/>
    <col min="13072" max="13072" width="10.36328125" style="56" bestFit="1" customWidth="1"/>
    <col min="13073" max="13074" width="8.7265625" style="56"/>
    <col min="13075" max="13075" width="13.7265625" style="56" customWidth="1"/>
    <col min="13076" max="13081" width="8.7265625" style="56"/>
    <col min="13082" max="13082" width="12.6328125" style="56" bestFit="1" customWidth="1"/>
    <col min="13083" max="13312" width="8.7265625" style="56"/>
    <col min="13313" max="13313" width="12.1796875" style="56" customWidth="1"/>
    <col min="13314" max="13314" width="12.08984375" style="56" customWidth="1"/>
    <col min="13315" max="13315" width="13.26953125" style="56" bestFit="1" customWidth="1"/>
    <col min="13316" max="13327" width="8.7265625" style="56"/>
    <col min="13328" max="13328" width="10.36328125" style="56" bestFit="1" customWidth="1"/>
    <col min="13329" max="13330" width="8.7265625" style="56"/>
    <col min="13331" max="13331" width="13.7265625" style="56" customWidth="1"/>
    <col min="13332" max="13337" width="8.7265625" style="56"/>
    <col min="13338" max="13338" width="12.6328125" style="56" bestFit="1" customWidth="1"/>
    <col min="13339" max="13568" width="8.7265625" style="56"/>
    <col min="13569" max="13569" width="12.1796875" style="56" customWidth="1"/>
    <col min="13570" max="13570" width="12.08984375" style="56" customWidth="1"/>
    <col min="13571" max="13571" width="13.26953125" style="56" bestFit="1" customWidth="1"/>
    <col min="13572" max="13583" width="8.7265625" style="56"/>
    <col min="13584" max="13584" width="10.36328125" style="56" bestFit="1" customWidth="1"/>
    <col min="13585" max="13586" width="8.7265625" style="56"/>
    <col min="13587" max="13587" width="13.7265625" style="56" customWidth="1"/>
    <col min="13588" max="13593" width="8.7265625" style="56"/>
    <col min="13594" max="13594" width="12.6328125" style="56" bestFit="1" customWidth="1"/>
    <col min="13595" max="13824" width="8.7265625" style="56"/>
    <col min="13825" max="13825" width="12.1796875" style="56" customWidth="1"/>
    <col min="13826" max="13826" width="12.08984375" style="56" customWidth="1"/>
    <col min="13827" max="13827" width="13.26953125" style="56" bestFit="1" customWidth="1"/>
    <col min="13828" max="13839" width="8.7265625" style="56"/>
    <col min="13840" max="13840" width="10.36328125" style="56" bestFit="1" customWidth="1"/>
    <col min="13841" max="13842" width="8.7265625" style="56"/>
    <col min="13843" max="13843" width="13.7265625" style="56" customWidth="1"/>
    <col min="13844" max="13849" width="8.7265625" style="56"/>
    <col min="13850" max="13850" width="12.6328125" style="56" bestFit="1" customWidth="1"/>
    <col min="13851" max="14080" width="8.7265625" style="56"/>
    <col min="14081" max="14081" width="12.1796875" style="56" customWidth="1"/>
    <col min="14082" max="14082" width="12.08984375" style="56" customWidth="1"/>
    <col min="14083" max="14083" width="13.26953125" style="56" bestFit="1" customWidth="1"/>
    <col min="14084" max="14095" width="8.7265625" style="56"/>
    <col min="14096" max="14096" width="10.36328125" style="56" bestFit="1" customWidth="1"/>
    <col min="14097" max="14098" width="8.7265625" style="56"/>
    <col min="14099" max="14099" width="13.7265625" style="56" customWidth="1"/>
    <col min="14100" max="14105" width="8.7265625" style="56"/>
    <col min="14106" max="14106" width="12.6328125" style="56" bestFit="1" customWidth="1"/>
    <col min="14107" max="14336" width="8.7265625" style="56"/>
    <col min="14337" max="14337" width="12.1796875" style="56" customWidth="1"/>
    <col min="14338" max="14338" width="12.08984375" style="56" customWidth="1"/>
    <col min="14339" max="14339" width="13.26953125" style="56" bestFit="1" customWidth="1"/>
    <col min="14340" max="14351" width="8.7265625" style="56"/>
    <col min="14352" max="14352" width="10.36328125" style="56" bestFit="1" customWidth="1"/>
    <col min="14353" max="14354" width="8.7265625" style="56"/>
    <col min="14355" max="14355" width="13.7265625" style="56" customWidth="1"/>
    <col min="14356" max="14361" width="8.7265625" style="56"/>
    <col min="14362" max="14362" width="12.6328125" style="56" bestFit="1" customWidth="1"/>
    <col min="14363" max="14592" width="8.7265625" style="56"/>
    <col min="14593" max="14593" width="12.1796875" style="56" customWidth="1"/>
    <col min="14594" max="14594" width="12.08984375" style="56" customWidth="1"/>
    <col min="14595" max="14595" width="13.26953125" style="56" bestFit="1" customWidth="1"/>
    <col min="14596" max="14607" width="8.7265625" style="56"/>
    <col min="14608" max="14608" width="10.36328125" style="56" bestFit="1" customWidth="1"/>
    <col min="14609" max="14610" width="8.7265625" style="56"/>
    <col min="14611" max="14611" width="13.7265625" style="56" customWidth="1"/>
    <col min="14612" max="14617" width="8.7265625" style="56"/>
    <col min="14618" max="14618" width="12.6328125" style="56" bestFit="1" customWidth="1"/>
    <col min="14619" max="14848" width="8.7265625" style="56"/>
    <col min="14849" max="14849" width="12.1796875" style="56" customWidth="1"/>
    <col min="14850" max="14850" width="12.08984375" style="56" customWidth="1"/>
    <col min="14851" max="14851" width="13.26953125" style="56" bestFit="1" customWidth="1"/>
    <col min="14852" max="14863" width="8.7265625" style="56"/>
    <col min="14864" max="14864" width="10.36328125" style="56" bestFit="1" customWidth="1"/>
    <col min="14865" max="14866" width="8.7265625" style="56"/>
    <col min="14867" max="14867" width="13.7265625" style="56" customWidth="1"/>
    <col min="14868" max="14873" width="8.7265625" style="56"/>
    <col min="14874" max="14874" width="12.6328125" style="56" bestFit="1" customWidth="1"/>
    <col min="14875" max="15104" width="8.7265625" style="56"/>
    <col min="15105" max="15105" width="12.1796875" style="56" customWidth="1"/>
    <col min="15106" max="15106" width="12.08984375" style="56" customWidth="1"/>
    <col min="15107" max="15107" width="13.26953125" style="56" bestFit="1" customWidth="1"/>
    <col min="15108" max="15119" width="8.7265625" style="56"/>
    <col min="15120" max="15120" width="10.36328125" style="56" bestFit="1" customWidth="1"/>
    <col min="15121" max="15122" width="8.7265625" style="56"/>
    <col min="15123" max="15123" width="13.7265625" style="56" customWidth="1"/>
    <col min="15124" max="15129" width="8.7265625" style="56"/>
    <col min="15130" max="15130" width="12.6328125" style="56" bestFit="1" customWidth="1"/>
    <col min="15131" max="15360" width="8.7265625" style="56"/>
    <col min="15361" max="15361" width="12.1796875" style="56" customWidth="1"/>
    <col min="15362" max="15362" width="12.08984375" style="56" customWidth="1"/>
    <col min="15363" max="15363" width="13.26953125" style="56" bestFit="1" customWidth="1"/>
    <col min="15364" max="15375" width="8.7265625" style="56"/>
    <col min="15376" max="15376" width="10.36328125" style="56" bestFit="1" customWidth="1"/>
    <col min="15377" max="15378" width="8.7265625" style="56"/>
    <col min="15379" max="15379" width="13.7265625" style="56" customWidth="1"/>
    <col min="15380" max="15385" width="8.7265625" style="56"/>
    <col min="15386" max="15386" width="12.6328125" style="56" bestFit="1" customWidth="1"/>
    <col min="15387" max="15616" width="8.7265625" style="56"/>
    <col min="15617" max="15617" width="12.1796875" style="56" customWidth="1"/>
    <col min="15618" max="15618" width="12.08984375" style="56" customWidth="1"/>
    <col min="15619" max="15619" width="13.26953125" style="56" bestFit="1" customWidth="1"/>
    <col min="15620" max="15631" width="8.7265625" style="56"/>
    <col min="15632" max="15632" width="10.36328125" style="56" bestFit="1" customWidth="1"/>
    <col min="15633" max="15634" width="8.7265625" style="56"/>
    <col min="15635" max="15635" width="13.7265625" style="56" customWidth="1"/>
    <col min="15636" max="15641" width="8.7265625" style="56"/>
    <col min="15642" max="15642" width="12.6328125" style="56" bestFit="1" customWidth="1"/>
    <col min="15643" max="15872" width="8.7265625" style="56"/>
    <col min="15873" max="15873" width="12.1796875" style="56" customWidth="1"/>
    <col min="15874" max="15874" width="12.08984375" style="56" customWidth="1"/>
    <col min="15875" max="15875" width="13.26953125" style="56" bestFit="1" customWidth="1"/>
    <col min="15876" max="15887" width="8.7265625" style="56"/>
    <col min="15888" max="15888" width="10.36328125" style="56" bestFit="1" customWidth="1"/>
    <col min="15889" max="15890" width="8.7265625" style="56"/>
    <col min="15891" max="15891" width="13.7265625" style="56" customWidth="1"/>
    <col min="15892" max="15897" width="8.7265625" style="56"/>
    <col min="15898" max="15898" width="12.6328125" style="56" bestFit="1" customWidth="1"/>
    <col min="15899" max="16128" width="8.7265625" style="56"/>
    <col min="16129" max="16129" width="12.1796875" style="56" customWidth="1"/>
    <col min="16130" max="16130" width="12.08984375" style="56" customWidth="1"/>
    <col min="16131" max="16131" width="13.26953125" style="56" bestFit="1" customWidth="1"/>
    <col min="16132" max="16143" width="8.7265625" style="56"/>
    <col min="16144" max="16144" width="10.36328125" style="56" bestFit="1" customWidth="1"/>
    <col min="16145" max="16146" width="8.7265625" style="56"/>
    <col min="16147" max="16147" width="13.7265625" style="56" customWidth="1"/>
    <col min="16148" max="16153" width="8.7265625" style="56"/>
    <col min="16154" max="16154" width="12.6328125" style="56" bestFit="1" customWidth="1"/>
    <col min="16155" max="16384" width="8.7265625" style="56"/>
  </cols>
  <sheetData>
    <row r="1" spans="1:25" s="33" customFormat="1" ht="12.75" customHeight="1" x14ac:dyDescent="0.3">
      <c r="A1" s="113" t="s">
        <v>11</v>
      </c>
      <c r="B1" s="113"/>
      <c r="C1" s="114"/>
      <c r="D1" s="114"/>
      <c r="E1" s="114"/>
      <c r="F1" s="114"/>
      <c r="G1" s="114"/>
      <c r="H1" s="114"/>
      <c r="I1" s="114"/>
      <c r="J1" s="114"/>
      <c r="K1" s="114"/>
      <c r="L1" s="48"/>
      <c r="M1" s="46"/>
      <c r="N1" s="46"/>
      <c r="O1" s="46"/>
      <c r="P1" s="46"/>
      <c r="Q1" s="46"/>
      <c r="R1" s="46"/>
      <c r="S1" s="46"/>
      <c r="T1" s="114"/>
      <c r="U1" s="46"/>
      <c r="V1" s="46"/>
      <c r="W1" s="46"/>
      <c r="X1" s="46"/>
    </row>
    <row r="2" spans="1:25" ht="12.75" customHeight="1" x14ac:dyDescent="0.3">
      <c r="A2" s="113" t="s">
        <v>76</v>
      </c>
      <c r="B2" s="113"/>
      <c r="C2" s="50"/>
      <c r="D2" s="64"/>
      <c r="E2" s="114"/>
      <c r="F2" s="114"/>
      <c r="G2" s="114"/>
      <c r="H2" s="114"/>
      <c r="I2" s="52"/>
      <c r="J2" s="50"/>
      <c r="K2" s="116" t="s">
        <v>77</v>
      </c>
      <c r="L2" s="117"/>
      <c r="M2" s="64"/>
      <c r="N2" s="50"/>
      <c r="O2" s="114"/>
      <c r="P2" s="114"/>
      <c r="Q2" s="52"/>
      <c r="R2" s="50"/>
      <c r="S2" s="116"/>
      <c r="T2" s="81"/>
      <c r="U2" s="114"/>
      <c r="V2" s="114"/>
      <c r="W2" s="114"/>
      <c r="X2" s="114"/>
    </row>
    <row r="3" spans="1:25" ht="12.75" customHeight="1" x14ac:dyDescent="0.3">
      <c r="A3" s="119" t="s">
        <v>149</v>
      </c>
      <c r="B3" s="119"/>
      <c r="C3" s="58"/>
      <c r="D3" s="58"/>
      <c r="E3" s="52"/>
      <c r="F3" s="52"/>
      <c r="G3" s="52"/>
      <c r="H3" s="52" t="s">
        <v>150</v>
      </c>
      <c r="I3" s="52"/>
      <c r="J3" s="52"/>
      <c r="K3" s="52"/>
      <c r="L3" s="120"/>
      <c r="M3" s="58"/>
      <c r="N3" s="58"/>
      <c r="O3" s="52"/>
      <c r="P3" s="52"/>
      <c r="Q3" s="52"/>
      <c r="R3" s="52"/>
      <c r="S3" s="52"/>
      <c r="T3" s="52"/>
      <c r="U3" s="52"/>
      <c r="V3" s="52"/>
      <c r="W3" s="52"/>
      <c r="X3" s="52"/>
    </row>
    <row r="4" spans="1:25" ht="12.75" customHeight="1" x14ac:dyDescent="0.3">
      <c r="A4" s="113" t="s">
        <v>151</v>
      </c>
      <c r="B4" s="113"/>
      <c r="C4" s="64"/>
      <c r="D4" s="64"/>
      <c r="E4" s="52"/>
      <c r="F4" s="52"/>
      <c r="G4" s="52"/>
      <c r="H4" s="52"/>
      <c r="I4" s="52"/>
      <c r="J4" s="52"/>
      <c r="K4" s="52"/>
      <c r="L4" s="117"/>
      <c r="M4" s="64"/>
      <c r="N4" s="64"/>
      <c r="O4" s="52"/>
      <c r="P4" s="52"/>
      <c r="Q4" s="52"/>
      <c r="R4" s="52"/>
      <c r="S4" s="52"/>
      <c r="T4" s="52"/>
      <c r="U4" s="52"/>
      <c r="V4" s="52"/>
      <c r="W4" s="52"/>
      <c r="X4" s="52"/>
    </row>
    <row r="5" spans="1:25" ht="12.75" customHeight="1" x14ac:dyDescent="0.3">
      <c r="A5" s="113" t="s">
        <v>206</v>
      </c>
      <c r="B5" s="113"/>
      <c r="C5" s="64"/>
      <c r="D5" s="64"/>
      <c r="E5" s="52"/>
      <c r="F5" s="52"/>
      <c r="G5" s="52" t="s">
        <v>107</v>
      </c>
      <c r="H5" s="52"/>
      <c r="I5" s="52"/>
      <c r="J5" s="52"/>
      <c r="K5" s="52"/>
      <c r="L5" s="122"/>
      <c r="M5" s="123"/>
      <c r="N5" s="64"/>
      <c r="O5" s="52"/>
      <c r="P5" s="52"/>
      <c r="Q5" s="52"/>
      <c r="R5" s="52"/>
      <c r="S5" s="52"/>
      <c r="T5" s="81"/>
      <c r="U5" s="52"/>
      <c r="V5" s="52"/>
      <c r="W5" s="52"/>
      <c r="X5" s="52"/>
    </row>
    <row r="6" spans="1:25" ht="12.75" customHeight="1" x14ac:dyDescent="0.3">
      <c r="A6" s="113" t="s">
        <v>153</v>
      </c>
      <c r="B6" s="113"/>
      <c r="C6" s="64"/>
      <c r="D6" s="64"/>
      <c r="E6" s="52"/>
      <c r="F6" s="52"/>
      <c r="G6" s="52"/>
      <c r="H6" s="52"/>
      <c r="I6" s="52"/>
      <c r="J6" s="52"/>
      <c r="K6" s="52"/>
      <c r="L6" s="117"/>
      <c r="M6" s="64"/>
      <c r="N6" s="64"/>
      <c r="O6" s="52"/>
      <c r="P6" s="124"/>
      <c r="Q6" s="124"/>
      <c r="R6" s="125"/>
      <c r="S6" s="171"/>
      <c r="T6" s="52"/>
      <c r="U6" s="52"/>
      <c r="V6" s="52"/>
      <c r="W6" s="52"/>
      <c r="X6" s="52"/>
    </row>
    <row r="7" spans="1:25" ht="12.75" customHeight="1" x14ac:dyDescent="0.3">
      <c r="A7" s="127"/>
      <c r="B7" s="127"/>
      <c r="C7" s="64"/>
      <c r="D7" s="64"/>
      <c r="E7" s="52"/>
      <c r="F7" s="52"/>
      <c r="G7" s="52"/>
      <c r="H7" s="52"/>
      <c r="I7" s="52"/>
      <c r="J7" s="52"/>
      <c r="K7" s="52"/>
      <c r="L7" s="117"/>
      <c r="M7" s="64"/>
      <c r="N7" s="64"/>
      <c r="O7" s="52"/>
      <c r="P7" s="52"/>
      <c r="Q7" s="52"/>
      <c r="R7" s="52"/>
      <c r="S7" s="52"/>
      <c r="T7" s="114"/>
      <c r="U7" s="52"/>
      <c r="V7" s="52"/>
      <c r="W7" s="52"/>
      <c r="X7" s="52"/>
    </row>
    <row r="8" spans="1:25" ht="40.450000000000003" thickBot="1" x14ac:dyDescent="0.35">
      <c r="A8" s="189"/>
      <c r="B8" s="189"/>
      <c r="C8" s="190"/>
      <c r="D8" s="191" t="s">
        <v>207</v>
      </c>
      <c r="E8" s="192"/>
      <c r="F8" s="192"/>
      <c r="G8" s="192"/>
      <c r="H8" s="192"/>
      <c r="I8" s="192"/>
      <c r="J8" s="192"/>
      <c r="K8" s="192"/>
      <c r="L8" s="193"/>
      <c r="M8" s="190"/>
      <c r="N8" s="190"/>
      <c r="O8" s="192"/>
      <c r="P8" s="192"/>
      <c r="Q8" s="192"/>
      <c r="R8" s="192"/>
      <c r="S8" s="192"/>
      <c r="T8" s="194"/>
      <c r="U8" s="192"/>
      <c r="V8" s="192"/>
      <c r="W8" s="192"/>
      <c r="X8" s="192"/>
      <c r="Y8" s="195"/>
    </row>
    <row r="9" spans="1:25" s="95" customFormat="1" ht="30.5" customHeight="1" thickBot="1" x14ac:dyDescent="0.4">
      <c r="A9" s="100" t="s">
        <v>156</v>
      </c>
      <c r="B9" s="165" t="s">
        <v>109</v>
      </c>
      <c r="C9" s="101" t="s">
        <v>121</v>
      </c>
      <c r="D9" s="103">
        <v>1</v>
      </c>
      <c r="E9" s="101">
        <v>2</v>
      </c>
      <c r="F9" s="103">
        <v>3</v>
      </c>
      <c r="G9" s="101">
        <v>4</v>
      </c>
      <c r="H9" s="103">
        <v>5</v>
      </c>
      <c r="I9" s="101">
        <v>6</v>
      </c>
      <c r="J9" s="103">
        <v>7</v>
      </c>
      <c r="K9" s="101">
        <v>8</v>
      </c>
      <c r="L9" s="103">
        <v>9</v>
      </c>
      <c r="M9" s="101" t="s">
        <v>111</v>
      </c>
      <c r="N9" s="101" t="s">
        <v>112</v>
      </c>
      <c r="O9" s="101" t="s">
        <v>113</v>
      </c>
      <c r="P9" s="101" t="s">
        <v>154</v>
      </c>
      <c r="Q9" s="102" t="s">
        <v>29</v>
      </c>
      <c r="R9" s="101" t="s">
        <v>117</v>
      </c>
      <c r="S9" s="102" t="s">
        <v>158</v>
      </c>
      <c r="T9" s="166" t="s">
        <v>31</v>
      </c>
      <c r="U9" s="101" t="s">
        <v>114</v>
      </c>
      <c r="V9" s="101" t="s">
        <v>44</v>
      </c>
      <c r="W9" s="101" t="s">
        <v>118</v>
      </c>
      <c r="X9" s="101" t="s">
        <v>119</v>
      </c>
      <c r="Y9" s="188" t="s">
        <v>155</v>
      </c>
    </row>
    <row r="10" spans="1:25" ht="16.100000000000001" customHeight="1" x14ac:dyDescent="0.3">
      <c r="A10" s="175">
        <v>42966</v>
      </c>
      <c r="B10" s="230" t="s">
        <v>124</v>
      </c>
      <c r="C10" s="135" t="s">
        <v>88</v>
      </c>
      <c r="D10" s="56">
        <v>29255.05</v>
      </c>
      <c r="E10" s="56">
        <v>29051.16</v>
      </c>
      <c r="F10" s="56">
        <v>29050.35</v>
      </c>
      <c r="G10" s="56">
        <v>29103.91</v>
      </c>
      <c r="H10" s="56">
        <v>29342.74</v>
      </c>
      <c r="I10" s="56">
        <v>29259.65</v>
      </c>
      <c r="J10" s="56">
        <v>29078.92</v>
      </c>
      <c r="K10" s="56">
        <v>29053.200000000001</v>
      </c>
      <c r="L10" s="56">
        <v>29343.599999999999</v>
      </c>
      <c r="M10" s="225">
        <f>IF((L11=""),"",MAX(D12:L12))</f>
        <v>44105.13</v>
      </c>
      <c r="N10" s="225">
        <f>IF(L11="","",MIN(D12:L12))</f>
        <v>33697.319999999992</v>
      </c>
      <c r="O10" s="225">
        <f>IF((L12=""),"",AVERAGE(D12:L12))</f>
        <v>40231.113333333327</v>
      </c>
      <c r="P10" s="225">
        <f>IF((L11=""),"",((M10-N10)/(M10+N10))*100)</f>
        <v>13.377226552634278</v>
      </c>
      <c r="Q10" s="228" t="str">
        <f>IF(L11="","",IF(P12&lt;20,(IF(O10&gt;33000,IF(O10&lt;44000,"Pass","Fail"),"Fail"))))</f>
        <v>Pass</v>
      </c>
      <c r="R10" s="225">
        <v>121</v>
      </c>
      <c r="S10" s="225"/>
      <c r="T10" s="180"/>
      <c r="U10" s="180">
        <v>19000</v>
      </c>
      <c r="V10" s="180">
        <v>49000</v>
      </c>
      <c r="W10" s="180">
        <v>33000</v>
      </c>
      <c r="X10" s="180">
        <v>44000</v>
      </c>
      <c r="Y10" s="183">
        <v>20</v>
      </c>
    </row>
    <row r="11" spans="1:25" x14ac:dyDescent="0.3">
      <c r="A11" s="175"/>
      <c r="B11" s="230"/>
      <c r="C11" s="71" t="s">
        <v>89</v>
      </c>
      <c r="D11" s="56">
        <v>18022.61</v>
      </c>
      <c r="E11" s="56">
        <v>15886.42</v>
      </c>
      <c r="F11" s="56">
        <v>15373.37</v>
      </c>
      <c r="G11" s="56">
        <v>15244.18</v>
      </c>
      <c r="H11" s="56">
        <v>16703.580000000002</v>
      </c>
      <c r="I11" s="56">
        <v>15562.79</v>
      </c>
      <c r="J11" s="56">
        <v>15348.45</v>
      </c>
      <c r="K11" s="56">
        <v>15061.95</v>
      </c>
      <c r="L11" s="56">
        <v>14641.89</v>
      </c>
      <c r="M11" s="225"/>
      <c r="N11" s="225"/>
      <c r="O11" s="225"/>
      <c r="P11" s="225"/>
      <c r="Q11" s="228"/>
      <c r="R11" s="225"/>
      <c r="S11" s="225"/>
      <c r="T11" s="180"/>
      <c r="U11" s="180"/>
      <c r="V11" s="180"/>
      <c r="W11" s="180"/>
      <c r="X11" s="180"/>
      <c r="Y11" s="183"/>
    </row>
    <row r="12" spans="1:25" ht="28.25" customHeight="1" x14ac:dyDescent="0.3">
      <c r="A12" s="176"/>
      <c r="B12" s="231"/>
      <c r="C12" s="71" t="s">
        <v>123</v>
      </c>
      <c r="D12" s="71">
        <f t="shared" ref="D12:L12" si="0">IF(((D10="")*AND(D11="")),"",(D10-D11)*3)</f>
        <v>33697.319999999992</v>
      </c>
      <c r="E12" s="71">
        <f t="shared" si="0"/>
        <v>39494.22</v>
      </c>
      <c r="F12" s="71">
        <f t="shared" si="0"/>
        <v>41030.939999999995</v>
      </c>
      <c r="G12" s="71">
        <f t="shared" si="0"/>
        <v>41579.19</v>
      </c>
      <c r="H12" s="71">
        <f t="shared" si="0"/>
        <v>37917.479999999996</v>
      </c>
      <c r="I12" s="71">
        <f t="shared" si="0"/>
        <v>41090.58</v>
      </c>
      <c r="J12" s="71">
        <f t="shared" si="0"/>
        <v>41191.409999999989</v>
      </c>
      <c r="K12" s="71">
        <f t="shared" si="0"/>
        <v>41973.75</v>
      </c>
      <c r="L12" s="71">
        <f t="shared" si="0"/>
        <v>44105.13</v>
      </c>
      <c r="M12" s="226"/>
      <c r="N12" s="226"/>
      <c r="O12" s="226"/>
      <c r="P12" s="226"/>
      <c r="Q12" s="229"/>
      <c r="R12" s="226"/>
      <c r="S12" s="226"/>
      <c r="T12" s="181"/>
      <c r="U12" s="181"/>
      <c r="V12" s="181"/>
      <c r="W12" s="181"/>
      <c r="X12" s="181"/>
      <c r="Y12" s="183"/>
    </row>
    <row r="13" spans="1:25" x14ac:dyDescent="0.3">
      <c r="A13" s="174">
        <v>42969</v>
      </c>
      <c r="B13" s="224" t="s">
        <v>124</v>
      </c>
      <c r="C13" s="71" t="s">
        <v>88</v>
      </c>
      <c r="D13" s="56">
        <v>29338.59</v>
      </c>
      <c r="E13" s="56">
        <v>29140.29</v>
      </c>
      <c r="F13" s="56">
        <v>29149.34</v>
      </c>
      <c r="G13" s="56">
        <v>29150.55</v>
      </c>
      <c r="H13" s="56">
        <v>29373.47</v>
      </c>
      <c r="I13" s="56">
        <v>29332.38</v>
      </c>
      <c r="J13" s="56">
        <v>29138.62</v>
      </c>
      <c r="K13" s="56">
        <v>29136.75</v>
      </c>
      <c r="L13" s="56">
        <v>29389.61</v>
      </c>
      <c r="M13" s="224">
        <f>IF((L14=""),"",MAX(D15:L15))</f>
        <v>44038.74</v>
      </c>
      <c r="N13" s="224">
        <f>IF(L14="","",MIN(D15:L15))</f>
        <v>34063.17</v>
      </c>
      <c r="O13" s="224">
        <f>IF((L15=""),"",AVERAGE(D15:L15))</f>
        <v>40786.239999999998</v>
      </c>
      <c r="P13" s="224">
        <f>IF((L14=""),"",((M13-N13)/(M13+N13))*100)</f>
        <v>12.772504539261586</v>
      </c>
      <c r="Q13" s="227" t="str">
        <f>IF(L14="","",IF(P15&lt;20,(IF(O13&gt;33000,IF(O13&lt;44000,"Pass","Fail"),"Fail"))))</f>
        <v>Pass</v>
      </c>
      <c r="R13" s="224">
        <v>1428</v>
      </c>
      <c r="S13" s="224" t="s">
        <v>159</v>
      </c>
      <c r="T13" s="179"/>
      <c r="U13" s="179">
        <v>19000</v>
      </c>
      <c r="V13" s="179">
        <v>49000</v>
      </c>
      <c r="W13" s="179">
        <v>33000</v>
      </c>
      <c r="X13" s="185">
        <v>44000</v>
      </c>
      <c r="Y13" s="182">
        <v>20</v>
      </c>
    </row>
    <row r="14" spans="1:25" x14ac:dyDescent="0.3">
      <c r="A14" s="175"/>
      <c r="B14" s="225"/>
      <c r="C14" s="71" t="s">
        <v>89</v>
      </c>
      <c r="D14" s="56">
        <v>17984.2</v>
      </c>
      <c r="E14" s="56">
        <v>15602.44</v>
      </c>
      <c r="F14" s="56">
        <v>15191.28</v>
      </c>
      <c r="G14" s="56">
        <v>15148.99</v>
      </c>
      <c r="H14" s="56">
        <v>16709.689999999999</v>
      </c>
      <c r="I14" s="56">
        <v>15365.81</v>
      </c>
      <c r="J14" s="56">
        <v>15098.91</v>
      </c>
      <c r="K14" s="56">
        <v>14979.53</v>
      </c>
      <c r="L14" s="56">
        <v>14710.03</v>
      </c>
      <c r="M14" s="225"/>
      <c r="N14" s="225"/>
      <c r="O14" s="225"/>
      <c r="P14" s="225"/>
      <c r="Q14" s="228"/>
      <c r="R14" s="225"/>
      <c r="S14" s="225"/>
      <c r="T14" s="180"/>
      <c r="U14" s="180"/>
      <c r="V14" s="180"/>
      <c r="W14" s="180"/>
      <c r="X14" s="186"/>
      <c r="Y14" s="183"/>
    </row>
    <row r="15" spans="1:25" ht="30.5" customHeight="1" x14ac:dyDescent="0.3">
      <c r="A15" s="176"/>
      <c r="B15" s="226"/>
      <c r="C15" s="71" t="s">
        <v>123</v>
      </c>
      <c r="D15" s="71">
        <f t="shared" ref="D15:L15" si="1">IF(((D13="")*AND(D14="")),"",(D13-D14)*3)</f>
        <v>34063.17</v>
      </c>
      <c r="E15" s="71">
        <f t="shared" si="1"/>
        <v>40613.550000000003</v>
      </c>
      <c r="F15" s="71">
        <f t="shared" si="1"/>
        <v>41874.18</v>
      </c>
      <c r="G15" s="71">
        <f t="shared" si="1"/>
        <v>42004.68</v>
      </c>
      <c r="H15" s="71">
        <f t="shared" si="1"/>
        <v>37991.340000000011</v>
      </c>
      <c r="I15" s="71">
        <f t="shared" si="1"/>
        <v>41899.710000000006</v>
      </c>
      <c r="J15" s="71">
        <f t="shared" si="1"/>
        <v>42119.13</v>
      </c>
      <c r="K15" s="71">
        <f t="shared" si="1"/>
        <v>42471.659999999996</v>
      </c>
      <c r="L15" s="71">
        <f t="shared" si="1"/>
        <v>44038.74</v>
      </c>
      <c r="M15" s="226"/>
      <c r="N15" s="226"/>
      <c r="O15" s="226"/>
      <c r="P15" s="226"/>
      <c r="Q15" s="229"/>
      <c r="R15" s="226"/>
      <c r="S15" s="226"/>
      <c r="T15" s="181"/>
      <c r="U15" s="181"/>
      <c r="V15" s="181"/>
      <c r="W15" s="181"/>
      <c r="X15" s="187"/>
      <c r="Y15" s="184"/>
    </row>
    <row r="16" spans="1:25" x14ac:dyDescent="0.3">
      <c r="A16" s="174">
        <v>42974</v>
      </c>
      <c r="B16" s="224" t="s">
        <v>124</v>
      </c>
      <c r="C16" s="71" t="s">
        <v>88</v>
      </c>
      <c r="D16" s="56">
        <v>29515.32</v>
      </c>
      <c r="E16" s="56">
        <v>29327.21</v>
      </c>
      <c r="F16" s="56">
        <v>29353.57</v>
      </c>
      <c r="G16" s="56">
        <v>29286.53</v>
      </c>
      <c r="H16" s="56">
        <v>29479.35</v>
      </c>
      <c r="I16" s="56">
        <v>29444.39</v>
      </c>
      <c r="J16" s="56">
        <v>29291.97</v>
      </c>
      <c r="K16" s="56">
        <v>29305.71</v>
      </c>
      <c r="L16" s="56">
        <v>29536.45</v>
      </c>
      <c r="M16" s="224">
        <f>IF((L17=""),"",MAX(D18:L18))</f>
        <v>42573.78</v>
      </c>
      <c r="N16" s="224">
        <f>IF(L17="","",MIN(D18:L18))</f>
        <v>33271.649999999994</v>
      </c>
      <c r="O16" s="224">
        <f>IF((L18=""),"",AVERAGE(D18:L18))</f>
        <v>39340.07666666666</v>
      </c>
      <c r="P16" s="224">
        <f>IF((L17=""),"",((M16-N16)/(M16+N16))*100)</f>
        <v>12.264588650891696</v>
      </c>
      <c r="Q16" s="227" t="str">
        <f>IF(L17="","",IF(P18&lt;20,(IF(O16&gt;33000,IF(O16&lt;44000,"Pass","Fail"),"Fail"))))</f>
        <v>Pass</v>
      </c>
      <c r="R16" s="224">
        <v>121</v>
      </c>
      <c r="S16" s="224"/>
      <c r="T16" s="179"/>
      <c r="U16" s="179">
        <v>19000</v>
      </c>
      <c r="V16" s="179">
        <v>49000</v>
      </c>
      <c r="W16" s="179">
        <v>33000</v>
      </c>
      <c r="X16" s="179">
        <v>44000</v>
      </c>
      <c r="Y16" s="182">
        <v>20</v>
      </c>
    </row>
    <row r="17" spans="1:25" ht="12.75" customHeight="1" x14ac:dyDescent="0.3">
      <c r="A17" s="175"/>
      <c r="B17" s="225"/>
      <c r="C17" s="71" t="s">
        <v>89</v>
      </c>
      <c r="D17" s="56">
        <v>18424.77</v>
      </c>
      <c r="E17" s="56">
        <v>16212.9</v>
      </c>
      <c r="F17" s="56">
        <v>15936.53</v>
      </c>
      <c r="G17" s="56">
        <v>15830.12</v>
      </c>
      <c r="H17" s="56">
        <v>17309.150000000001</v>
      </c>
      <c r="I17" s="56">
        <v>16081.46</v>
      </c>
      <c r="J17" s="56">
        <v>15784.94</v>
      </c>
      <c r="K17" s="56">
        <v>15595.21</v>
      </c>
      <c r="L17" s="56">
        <v>15345.19</v>
      </c>
      <c r="M17" s="225"/>
      <c r="N17" s="225"/>
      <c r="O17" s="225"/>
      <c r="P17" s="225"/>
      <c r="Q17" s="228"/>
      <c r="R17" s="225"/>
      <c r="S17" s="225"/>
      <c r="T17" s="180"/>
      <c r="U17" s="180"/>
      <c r="V17" s="180"/>
      <c r="W17" s="180"/>
      <c r="X17" s="180"/>
      <c r="Y17" s="183"/>
    </row>
    <row r="18" spans="1:25" ht="31.05" customHeight="1" x14ac:dyDescent="0.3">
      <c r="A18" s="176"/>
      <c r="B18" s="226"/>
      <c r="C18" s="71" t="s">
        <v>123</v>
      </c>
      <c r="D18" s="71">
        <f t="shared" ref="D18:L18" si="2">IF(((D16="")*AND(D17="")),"",(D16-D17)*3)</f>
        <v>33271.649999999994</v>
      </c>
      <c r="E18" s="71">
        <f t="shared" si="2"/>
        <v>39342.93</v>
      </c>
      <c r="F18" s="71">
        <f t="shared" si="2"/>
        <v>40251.119999999995</v>
      </c>
      <c r="G18" s="71">
        <f t="shared" si="2"/>
        <v>40369.229999999996</v>
      </c>
      <c r="H18" s="71">
        <f t="shared" si="2"/>
        <v>36510.599999999991</v>
      </c>
      <c r="I18" s="71">
        <f t="shared" si="2"/>
        <v>40088.79</v>
      </c>
      <c r="J18" s="71">
        <f t="shared" si="2"/>
        <v>40521.090000000004</v>
      </c>
      <c r="K18" s="71">
        <f t="shared" si="2"/>
        <v>41131.5</v>
      </c>
      <c r="L18" s="71">
        <f t="shared" si="2"/>
        <v>42573.78</v>
      </c>
      <c r="M18" s="226"/>
      <c r="N18" s="226"/>
      <c r="O18" s="226"/>
      <c r="P18" s="226"/>
      <c r="Q18" s="229"/>
      <c r="R18" s="226"/>
      <c r="S18" s="226"/>
      <c r="T18" s="181"/>
      <c r="U18" s="181"/>
      <c r="V18" s="181"/>
      <c r="W18" s="181"/>
      <c r="X18" s="181"/>
      <c r="Y18" s="183"/>
    </row>
    <row r="19" spans="1:25" x14ac:dyDescent="0.3">
      <c r="A19" s="174">
        <v>42977</v>
      </c>
      <c r="B19" s="224" t="s">
        <v>124</v>
      </c>
      <c r="C19" s="71" t="s">
        <v>88</v>
      </c>
      <c r="D19" s="56">
        <v>29421.05</v>
      </c>
      <c r="E19" s="56">
        <v>29200.53</v>
      </c>
      <c r="F19" s="56">
        <v>29188.55</v>
      </c>
      <c r="G19" s="56">
        <v>29248.26</v>
      </c>
      <c r="H19" s="56">
        <v>29475.87</v>
      </c>
      <c r="I19" s="56">
        <v>29385.99</v>
      </c>
      <c r="J19" s="56">
        <v>29229.45</v>
      </c>
      <c r="K19" s="56">
        <v>29210.7</v>
      </c>
      <c r="L19" s="56">
        <v>29421.02</v>
      </c>
      <c r="M19" s="224">
        <f>IF((L20=""),"",MAX(D21:L21))</f>
        <v>45028.380000000005</v>
      </c>
      <c r="N19" s="224">
        <f>IF(L20="","",MIN(D21:L21))</f>
        <v>34876.14</v>
      </c>
      <c r="O19" s="224">
        <f>IF((L21=""),"",AVERAGE(D21:L21))</f>
        <v>40471.25</v>
      </c>
      <c r="P19" s="224">
        <f>IF((L20=""),"",((M19-N19)/(M19+N19))*100)</f>
        <v>12.705463971249692</v>
      </c>
      <c r="Q19" s="227" t="str">
        <f>IF(L20="","",IF(P21&lt;20,(IF(O19&gt;33000,IF(O19&lt;44000,"Pass","Fail"),"Fail"))))</f>
        <v>Pass</v>
      </c>
      <c r="R19" s="224">
        <v>1428</v>
      </c>
      <c r="S19" s="224"/>
      <c r="T19" s="179"/>
      <c r="U19" s="179">
        <v>19000</v>
      </c>
      <c r="V19" s="179">
        <v>49000</v>
      </c>
      <c r="W19" s="179">
        <v>33000</v>
      </c>
      <c r="X19" s="185">
        <v>44000</v>
      </c>
      <c r="Y19" s="182">
        <v>20</v>
      </c>
    </row>
    <row r="20" spans="1:25" x14ac:dyDescent="0.3">
      <c r="A20" s="175"/>
      <c r="B20" s="225"/>
      <c r="C20" s="71" t="s">
        <v>89</v>
      </c>
      <c r="D20" s="56">
        <v>17795.669999999998</v>
      </c>
      <c r="E20" s="56">
        <v>15791</v>
      </c>
      <c r="F20" s="56">
        <v>15791</v>
      </c>
      <c r="G20" s="56">
        <v>15791</v>
      </c>
      <c r="H20" s="56">
        <v>16802.490000000002</v>
      </c>
      <c r="I20" s="56">
        <v>15551.89</v>
      </c>
      <c r="J20" s="56">
        <v>15377.83</v>
      </c>
      <c r="K20" s="56">
        <v>15055.23</v>
      </c>
      <c r="L20" s="56">
        <v>14411.56</v>
      </c>
      <c r="M20" s="225"/>
      <c r="N20" s="225"/>
      <c r="O20" s="225"/>
      <c r="P20" s="225"/>
      <c r="Q20" s="228"/>
      <c r="R20" s="225"/>
      <c r="S20" s="225"/>
      <c r="T20" s="180"/>
      <c r="U20" s="180"/>
      <c r="V20" s="180"/>
      <c r="W20" s="180"/>
      <c r="X20" s="186"/>
      <c r="Y20" s="183"/>
    </row>
    <row r="21" spans="1:25" x14ac:dyDescent="0.3">
      <c r="A21" s="176"/>
      <c r="B21" s="226"/>
      <c r="C21" s="71" t="s">
        <v>123</v>
      </c>
      <c r="D21" s="71">
        <f t="shared" ref="D21:L21" si="3">IF(((D19="")*AND(D20="")),"",(D19-D20)*3)</f>
        <v>34876.14</v>
      </c>
      <c r="E21" s="71">
        <f t="shared" si="3"/>
        <v>40228.589999999997</v>
      </c>
      <c r="F21" s="71">
        <f t="shared" si="3"/>
        <v>40192.649999999994</v>
      </c>
      <c r="G21" s="71">
        <f t="shared" si="3"/>
        <v>40371.78</v>
      </c>
      <c r="H21" s="71">
        <f t="shared" si="3"/>
        <v>38020.139999999992</v>
      </c>
      <c r="I21" s="71">
        <f t="shared" si="3"/>
        <v>41502.300000000003</v>
      </c>
      <c r="J21" s="71">
        <f t="shared" si="3"/>
        <v>41554.86</v>
      </c>
      <c r="K21" s="71">
        <f t="shared" si="3"/>
        <v>42466.41</v>
      </c>
      <c r="L21" s="71">
        <f t="shared" si="3"/>
        <v>45028.380000000005</v>
      </c>
      <c r="M21" s="226"/>
      <c r="N21" s="226"/>
      <c r="O21" s="226"/>
      <c r="P21" s="226"/>
      <c r="Q21" s="229"/>
      <c r="R21" s="226"/>
      <c r="S21" s="226"/>
      <c r="T21" s="181"/>
      <c r="U21" s="181"/>
      <c r="V21" s="181"/>
      <c r="W21" s="181"/>
      <c r="X21" s="187"/>
      <c r="Y21" s="184"/>
    </row>
    <row r="22" spans="1:25" x14ac:dyDescent="0.3">
      <c r="A22" s="174">
        <v>42981</v>
      </c>
      <c r="B22" s="224" t="s">
        <v>124</v>
      </c>
      <c r="C22" s="71" t="s">
        <v>88</v>
      </c>
      <c r="D22" s="56">
        <v>29151</v>
      </c>
      <c r="E22" s="56">
        <v>28992</v>
      </c>
      <c r="F22" s="56">
        <v>29029</v>
      </c>
      <c r="G22" s="56">
        <v>28990</v>
      </c>
      <c r="H22" s="56">
        <v>29170</v>
      </c>
      <c r="I22" s="56">
        <v>29185</v>
      </c>
      <c r="J22" s="56">
        <v>28975</v>
      </c>
      <c r="K22" s="56">
        <v>28987</v>
      </c>
      <c r="L22" s="56">
        <v>29175</v>
      </c>
      <c r="M22" s="224">
        <f>IF((L23=""),"",MAX(D24:L24))</f>
        <v>43626</v>
      </c>
      <c r="N22" s="224">
        <f>IF(L23="","",MIN(D24:L24))</f>
        <v>33228</v>
      </c>
      <c r="O22" s="224">
        <f>IF((L24=""),"",AVERAGE(D24:L24))</f>
        <v>39396.666666666664</v>
      </c>
      <c r="P22" s="224">
        <f>IF((L23=""),"",((M22-N22)/(M22+N22))*100)</f>
        <v>13.529549535482863</v>
      </c>
      <c r="Q22" s="227" t="str">
        <f>IF(L23="","",IF(P24&lt;20,(IF(O22&gt;33000,IF(O22&lt;44000,"Pass","Fail"),"Fail"))))</f>
        <v>Pass</v>
      </c>
      <c r="R22" s="224">
        <v>1335</v>
      </c>
      <c r="S22" s="224" t="s">
        <v>160</v>
      </c>
      <c r="T22" s="179"/>
      <c r="U22" s="179">
        <v>19000</v>
      </c>
      <c r="V22" s="179">
        <v>49000</v>
      </c>
      <c r="W22" s="179">
        <v>33000</v>
      </c>
      <c r="X22" s="179">
        <v>44000</v>
      </c>
      <c r="Y22" s="182">
        <v>20</v>
      </c>
    </row>
    <row r="23" spans="1:25" x14ac:dyDescent="0.3">
      <c r="A23" s="175"/>
      <c r="B23" s="225"/>
      <c r="C23" s="71" t="s">
        <v>89</v>
      </c>
      <c r="D23" s="56">
        <v>18075</v>
      </c>
      <c r="E23" s="56">
        <v>15975</v>
      </c>
      <c r="F23" s="56">
        <v>15702</v>
      </c>
      <c r="G23" s="56">
        <v>15497</v>
      </c>
      <c r="H23" s="56">
        <v>16920</v>
      </c>
      <c r="I23" s="56">
        <v>15842</v>
      </c>
      <c r="J23" s="56">
        <v>15601</v>
      </c>
      <c r="K23" s="56">
        <v>15219</v>
      </c>
      <c r="L23" s="56">
        <v>14633</v>
      </c>
      <c r="M23" s="225"/>
      <c r="N23" s="225"/>
      <c r="O23" s="225"/>
      <c r="P23" s="225"/>
      <c r="Q23" s="228"/>
      <c r="R23" s="225"/>
      <c r="S23" s="225"/>
      <c r="T23" s="180"/>
      <c r="U23" s="180"/>
      <c r="V23" s="180"/>
      <c r="W23" s="180"/>
      <c r="X23" s="180"/>
      <c r="Y23" s="183"/>
    </row>
    <row r="24" spans="1:25" ht="29.35" customHeight="1" x14ac:dyDescent="0.3">
      <c r="A24" s="176"/>
      <c r="B24" s="226"/>
      <c r="C24" s="71" t="s">
        <v>123</v>
      </c>
      <c r="D24" s="71">
        <f t="shared" ref="D24:L24" si="4">IF(((D22="")*AND(D23="")),"",(D22-D23)*3)</f>
        <v>33228</v>
      </c>
      <c r="E24" s="71">
        <f t="shared" si="4"/>
        <v>39051</v>
      </c>
      <c r="F24" s="71">
        <f t="shared" si="4"/>
        <v>39981</v>
      </c>
      <c r="G24" s="71">
        <f t="shared" si="4"/>
        <v>40479</v>
      </c>
      <c r="H24" s="71">
        <f t="shared" si="4"/>
        <v>36750</v>
      </c>
      <c r="I24" s="71">
        <f t="shared" si="4"/>
        <v>40029</v>
      </c>
      <c r="J24" s="71">
        <f t="shared" si="4"/>
        <v>40122</v>
      </c>
      <c r="K24" s="71">
        <f t="shared" si="4"/>
        <v>41304</v>
      </c>
      <c r="L24" s="71">
        <f t="shared" si="4"/>
        <v>43626</v>
      </c>
      <c r="M24" s="226"/>
      <c r="N24" s="226"/>
      <c r="O24" s="226"/>
      <c r="P24" s="226"/>
      <c r="Q24" s="229"/>
      <c r="R24" s="226"/>
      <c r="S24" s="226"/>
      <c r="T24" s="181"/>
      <c r="U24" s="181"/>
      <c r="V24" s="181"/>
      <c r="W24" s="181"/>
      <c r="X24" s="181"/>
      <c r="Y24" s="183"/>
    </row>
    <row r="25" spans="1:25" x14ac:dyDescent="0.3">
      <c r="A25" s="174">
        <v>42989</v>
      </c>
      <c r="B25" s="224" t="s">
        <v>124</v>
      </c>
      <c r="C25" s="71" t="s">
        <v>88</v>
      </c>
      <c r="D25" s="172">
        <v>29410.36</v>
      </c>
      <c r="E25" s="172">
        <v>29258.639999999999</v>
      </c>
      <c r="F25" s="172">
        <v>29256.9</v>
      </c>
      <c r="G25" s="172">
        <v>29262.37</v>
      </c>
      <c r="H25" s="172">
        <v>29518.38</v>
      </c>
      <c r="I25" s="172">
        <v>29433.64</v>
      </c>
      <c r="J25" s="172">
        <v>29217.95</v>
      </c>
      <c r="K25" s="172">
        <v>29285.56</v>
      </c>
      <c r="L25" s="172">
        <v>29501.24</v>
      </c>
      <c r="M25" s="224">
        <f>IF((L26=""),"",MAX(D27:L27))</f>
        <v>44863.11</v>
      </c>
      <c r="N25" s="224">
        <f>IF(L26="","",MIN(D27:L27))</f>
        <v>33854.820000000007</v>
      </c>
      <c r="O25" s="224">
        <f>IF((L27=""),"",AVERAGE(D27:L27))</f>
        <v>40040.786666666667</v>
      </c>
      <c r="P25" s="224">
        <f>IF((L26=""),"",((M25-N25)/(M25+N25))*100)</f>
        <v>13.984475963735319</v>
      </c>
      <c r="Q25" s="227" t="str">
        <f>IF(L26="","",IF(P27&lt;20,(IF(O25&gt;33000,IF(O25&lt;44000,"Pass","Fail"),"Fail"))))</f>
        <v>Pass</v>
      </c>
      <c r="R25" s="224">
        <v>1534</v>
      </c>
      <c r="S25" s="224"/>
      <c r="T25" s="179"/>
      <c r="U25" s="179">
        <v>19000</v>
      </c>
      <c r="V25" s="179">
        <v>49000</v>
      </c>
      <c r="W25" s="179">
        <v>33000</v>
      </c>
      <c r="X25" s="179">
        <v>44000</v>
      </c>
      <c r="Y25" s="182">
        <v>20</v>
      </c>
    </row>
    <row r="26" spans="1:25" x14ac:dyDescent="0.3">
      <c r="A26" s="175"/>
      <c r="B26" s="225"/>
      <c r="C26" s="71" t="s">
        <v>89</v>
      </c>
      <c r="D26" s="173">
        <v>18125.419999999998</v>
      </c>
      <c r="E26" s="173">
        <v>15973.69</v>
      </c>
      <c r="F26" s="173">
        <v>15684.05</v>
      </c>
      <c r="G26" s="173">
        <v>15455.84</v>
      </c>
      <c r="H26" s="173">
        <v>16726.45</v>
      </c>
      <c r="I26" s="173">
        <v>15832.36</v>
      </c>
      <c r="J26" s="173">
        <v>16045</v>
      </c>
      <c r="K26" s="173">
        <v>15633</v>
      </c>
      <c r="L26" s="173">
        <v>14546.87</v>
      </c>
      <c r="M26" s="225"/>
      <c r="N26" s="225"/>
      <c r="O26" s="225"/>
      <c r="P26" s="225"/>
      <c r="Q26" s="228"/>
      <c r="R26" s="225"/>
      <c r="S26" s="225"/>
      <c r="T26" s="180"/>
      <c r="U26" s="180"/>
      <c r="V26" s="180"/>
      <c r="W26" s="180"/>
      <c r="X26" s="180"/>
      <c r="Y26" s="183"/>
    </row>
    <row r="27" spans="1:25" ht="31.05" customHeight="1" x14ac:dyDescent="0.3">
      <c r="A27" s="176"/>
      <c r="B27" s="226"/>
      <c r="C27" s="71" t="s">
        <v>123</v>
      </c>
      <c r="D27" s="71">
        <f t="shared" ref="D27:L27" si="5">IF(((D25="")*AND(D26="")),"",(D25-D26)*3)</f>
        <v>33854.820000000007</v>
      </c>
      <c r="E27" s="71">
        <f t="shared" si="5"/>
        <v>39854.85</v>
      </c>
      <c r="F27" s="71">
        <f t="shared" si="5"/>
        <v>40718.550000000003</v>
      </c>
      <c r="G27" s="71">
        <f t="shared" si="5"/>
        <v>41419.589999999997</v>
      </c>
      <c r="H27" s="71">
        <f t="shared" si="5"/>
        <v>38375.79</v>
      </c>
      <c r="I27" s="71">
        <f t="shared" si="5"/>
        <v>40803.839999999997</v>
      </c>
      <c r="J27" s="71">
        <f t="shared" si="5"/>
        <v>39518.850000000006</v>
      </c>
      <c r="K27" s="71">
        <f t="shared" si="5"/>
        <v>40957.680000000008</v>
      </c>
      <c r="L27" s="71">
        <f t="shared" si="5"/>
        <v>44863.11</v>
      </c>
      <c r="M27" s="226"/>
      <c r="N27" s="226"/>
      <c r="O27" s="226"/>
      <c r="P27" s="226"/>
      <c r="Q27" s="229"/>
      <c r="R27" s="226"/>
      <c r="S27" s="226"/>
      <c r="T27" s="181"/>
      <c r="U27" s="181"/>
      <c r="V27" s="181"/>
      <c r="W27" s="181"/>
      <c r="X27" s="181"/>
      <c r="Y27" s="183"/>
    </row>
    <row r="28" spans="1:25" x14ac:dyDescent="0.3">
      <c r="A28" s="174">
        <v>42994</v>
      </c>
      <c r="B28" s="224" t="s">
        <v>124</v>
      </c>
      <c r="C28" s="71" t="s">
        <v>88</v>
      </c>
      <c r="D28" s="56">
        <v>29390.33</v>
      </c>
      <c r="E28" s="56">
        <v>29177.040000000001</v>
      </c>
      <c r="F28" s="56">
        <v>29163.57</v>
      </c>
      <c r="G28" s="56">
        <v>29163.66</v>
      </c>
      <c r="H28" s="56">
        <v>29407.72</v>
      </c>
      <c r="I28" s="56">
        <v>29316.7</v>
      </c>
      <c r="J28" s="56">
        <v>29155.9</v>
      </c>
      <c r="K28" s="56">
        <v>29174.84</v>
      </c>
      <c r="L28" s="56">
        <v>29436.04</v>
      </c>
      <c r="M28" s="224">
        <f>IF((L29=""),"",MAX(D30:L30))</f>
        <v>42899.79</v>
      </c>
      <c r="N28" s="224">
        <f>IF(L29="","",MIN(D30:L30))</f>
        <v>33060.33</v>
      </c>
      <c r="O28" s="224">
        <f>IF((L30=""),"",AVERAGE(D30:L30))</f>
        <v>39291.083333333328</v>
      </c>
      <c r="P28" s="224">
        <f>IF((L29=""),"",((M28-N28)/(M28+N28))*100)</f>
        <v>12.953455049834044</v>
      </c>
      <c r="Q28" s="227" t="str">
        <f>IF(L29="","",IF(P30&lt;20,(IF(O28&gt;33000,IF(O28&lt;44000,"Pass","Fail"),"Fail"))))</f>
        <v>Pass</v>
      </c>
      <c r="R28" s="224">
        <v>1159</v>
      </c>
      <c r="S28" s="224" t="s">
        <v>161</v>
      </c>
      <c r="T28" s="179"/>
      <c r="U28" s="179">
        <v>19000</v>
      </c>
      <c r="V28" s="179">
        <v>49000</v>
      </c>
      <c r="W28" s="179">
        <v>33000</v>
      </c>
      <c r="X28" s="185">
        <v>44000</v>
      </c>
      <c r="Y28" s="182">
        <v>20</v>
      </c>
    </row>
    <row r="29" spans="1:25" x14ac:dyDescent="0.3">
      <c r="A29" s="175"/>
      <c r="B29" s="225"/>
      <c r="C29" s="71" t="s">
        <v>89</v>
      </c>
      <c r="D29" s="56">
        <v>18370.22</v>
      </c>
      <c r="E29" s="56">
        <v>16145.82</v>
      </c>
      <c r="F29" s="56">
        <v>15794.43</v>
      </c>
      <c r="G29" s="56">
        <v>15660.56</v>
      </c>
      <c r="H29" s="56">
        <v>17187.830000000002</v>
      </c>
      <c r="I29" s="56">
        <v>16031.79</v>
      </c>
      <c r="J29" s="56">
        <v>15697.42</v>
      </c>
      <c r="K29" s="56">
        <v>15488.37</v>
      </c>
      <c r="L29" s="56">
        <v>15136.11</v>
      </c>
      <c r="M29" s="225"/>
      <c r="N29" s="225"/>
      <c r="O29" s="225"/>
      <c r="P29" s="225"/>
      <c r="Q29" s="228"/>
      <c r="R29" s="225"/>
      <c r="S29" s="225"/>
      <c r="T29" s="180"/>
      <c r="U29" s="180"/>
      <c r="V29" s="180"/>
      <c r="W29" s="180"/>
      <c r="X29" s="186"/>
      <c r="Y29" s="183"/>
    </row>
    <row r="30" spans="1:25" ht="30.5" customHeight="1" x14ac:dyDescent="0.3">
      <c r="A30" s="176"/>
      <c r="B30" s="226"/>
      <c r="C30" s="71" t="s">
        <v>123</v>
      </c>
      <c r="D30" s="71">
        <f t="shared" ref="D30:L30" si="6">IF(((D28="")*AND(D29="")),"",(D28-D29)*3)</f>
        <v>33060.33</v>
      </c>
      <c r="E30" s="71">
        <f t="shared" si="6"/>
        <v>39093.660000000003</v>
      </c>
      <c r="F30" s="71">
        <f t="shared" si="6"/>
        <v>40107.42</v>
      </c>
      <c r="G30" s="71">
        <f t="shared" si="6"/>
        <v>40509.300000000003</v>
      </c>
      <c r="H30" s="71">
        <f t="shared" si="6"/>
        <v>36659.67</v>
      </c>
      <c r="I30" s="71">
        <f t="shared" si="6"/>
        <v>39854.729999999996</v>
      </c>
      <c r="J30" s="71">
        <f t="shared" si="6"/>
        <v>40375.440000000002</v>
      </c>
      <c r="K30" s="71">
        <f t="shared" si="6"/>
        <v>41059.409999999996</v>
      </c>
      <c r="L30" s="71">
        <f t="shared" si="6"/>
        <v>42899.79</v>
      </c>
      <c r="M30" s="226"/>
      <c r="N30" s="226"/>
      <c r="O30" s="226"/>
      <c r="P30" s="226"/>
      <c r="Q30" s="229"/>
      <c r="R30" s="226"/>
      <c r="S30" s="226"/>
      <c r="T30" s="181"/>
      <c r="U30" s="181"/>
      <c r="V30" s="181"/>
      <c r="W30" s="181"/>
      <c r="X30" s="187"/>
      <c r="Y30" s="184"/>
    </row>
    <row r="31" spans="1:25" x14ac:dyDescent="0.3">
      <c r="A31" s="174">
        <v>42997</v>
      </c>
      <c r="B31" s="224" t="s">
        <v>124</v>
      </c>
      <c r="C31" s="71" t="s">
        <v>88</v>
      </c>
      <c r="D31" s="56">
        <v>29300.49</v>
      </c>
      <c r="E31" s="56">
        <v>29170.36</v>
      </c>
      <c r="F31" s="56">
        <v>29249.87</v>
      </c>
      <c r="G31" s="56">
        <v>29187.61</v>
      </c>
      <c r="H31" s="56">
        <v>29396.93</v>
      </c>
      <c r="I31" s="56">
        <v>29294.01</v>
      </c>
      <c r="J31" s="56">
        <v>29163.59</v>
      </c>
      <c r="K31" s="56">
        <v>29171.16</v>
      </c>
      <c r="L31" s="56">
        <v>29407.4</v>
      </c>
      <c r="M31" s="224">
        <f>IF((L32=""),"",MAX(D33:L33))</f>
        <v>43060.05</v>
      </c>
      <c r="N31" s="224">
        <f>IF(L32="","",MIN(D33:L33))</f>
        <v>33279.510000000009</v>
      </c>
      <c r="O31" s="224">
        <f>IF((L33=""),"",AVERAGE(D33:L33))</f>
        <v>39479.769999999997</v>
      </c>
      <c r="P31" s="224">
        <f>IF((L32=""),"",((M31-N31)/(M31+N31))*100)</f>
        <v>12.811889405702617</v>
      </c>
      <c r="Q31" s="227" t="str">
        <f>IF(L32="","",IF(P33&lt;20,(IF(O31&gt;33000,IF(O31&lt;44000,"Pass","Fail"),"Fail"))))</f>
        <v>Pass</v>
      </c>
      <c r="R31" s="224">
        <v>1428</v>
      </c>
      <c r="S31" s="224" t="s">
        <v>162</v>
      </c>
      <c r="T31" s="179"/>
      <c r="U31" s="179">
        <v>19000</v>
      </c>
      <c r="V31" s="179">
        <v>49000</v>
      </c>
      <c r="W31" s="179">
        <v>33000</v>
      </c>
      <c r="X31" s="179">
        <v>44000</v>
      </c>
      <c r="Y31" s="182">
        <v>20</v>
      </c>
    </row>
    <row r="32" spans="1:25" x14ac:dyDescent="0.3">
      <c r="A32" s="175"/>
      <c r="B32" s="225"/>
      <c r="C32" s="71" t="s">
        <v>89</v>
      </c>
      <c r="D32" s="56">
        <v>18207.32</v>
      </c>
      <c r="E32" s="56">
        <v>16164.95</v>
      </c>
      <c r="F32" s="56">
        <v>15818.66</v>
      </c>
      <c r="G32" s="56">
        <v>15576.3</v>
      </c>
      <c r="H32" s="56">
        <v>16893.5</v>
      </c>
      <c r="I32" s="56">
        <v>16089.72</v>
      </c>
      <c r="J32" s="56">
        <v>15727.1</v>
      </c>
      <c r="K32" s="56">
        <v>15370.51</v>
      </c>
      <c r="L32" s="56">
        <v>15054.05</v>
      </c>
      <c r="M32" s="225"/>
      <c r="N32" s="225"/>
      <c r="O32" s="225"/>
      <c r="P32" s="225"/>
      <c r="Q32" s="228"/>
      <c r="R32" s="225"/>
      <c r="S32" s="225"/>
      <c r="T32" s="180"/>
      <c r="U32" s="180"/>
      <c r="V32" s="180"/>
      <c r="W32" s="180"/>
      <c r="X32" s="180"/>
      <c r="Y32" s="183"/>
    </row>
    <row r="33" spans="1:25" ht="27.15" customHeight="1" x14ac:dyDescent="0.3">
      <c r="A33" s="176"/>
      <c r="B33" s="226"/>
      <c r="C33" s="71" t="s">
        <v>123</v>
      </c>
      <c r="D33" s="71">
        <f t="shared" ref="D33:L33" si="7">IF(((D31="")*AND(D32="")),"",(D31-D32)*3)</f>
        <v>33279.510000000009</v>
      </c>
      <c r="E33" s="71">
        <f t="shared" si="7"/>
        <v>39016.229999999996</v>
      </c>
      <c r="F33" s="71">
        <f t="shared" si="7"/>
        <v>40293.629999999997</v>
      </c>
      <c r="G33" s="71">
        <f t="shared" si="7"/>
        <v>40833.930000000008</v>
      </c>
      <c r="H33" s="71">
        <f t="shared" si="7"/>
        <v>37510.29</v>
      </c>
      <c r="I33" s="71">
        <f t="shared" si="7"/>
        <v>39612.869999999995</v>
      </c>
      <c r="J33" s="71">
        <f t="shared" si="7"/>
        <v>40309.47</v>
      </c>
      <c r="K33" s="71">
        <f t="shared" si="7"/>
        <v>41401.949999999997</v>
      </c>
      <c r="L33" s="71">
        <f t="shared" si="7"/>
        <v>43060.05</v>
      </c>
      <c r="M33" s="226"/>
      <c r="N33" s="226"/>
      <c r="O33" s="226"/>
      <c r="P33" s="226"/>
      <c r="Q33" s="229"/>
      <c r="R33" s="226"/>
      <c r="S33" s="226"/>
      <c r="T33" s="181"/>
      <c r="U33" s="181"/>
      <c r="V33" s="181"/>
      <c r="W33" s="181"/>
      <c r="X33" s="181"/>
      <c r="Y33" s="183"/>
    </row>
    <row r="34" spans="1:25" x14ac:dyDescent="0.3">
      <c r="A34" s="174">
        <v>43000</v>
      </c>
      <c r="B34" s="224" t="s">
        <v>124</v>
      </c>
      <c r="C34" s="71" t="s">
        <v>88</v>
      </c>
      <c r="D34" s="56">
        <v>29278.42</v>
      </c>
      <c r="E34" s="56">
        <v>29098.11</v>
      </c>
      <c r="F34" s="56">
        <v>29107.81</v>
      </c>
      <c r="G34" s="56">
        <v>29105.97</v>
      </c>
      <c r="H34" s="56">
        <v>29348.37</v>
      </c>
      <c r="I34" s="56">
        <v>29289.58</v>
      </c>
      <c r="J34" s="56">
        <v>29109.22</v>
      </c>
      <c r="K34" s="56">
        <v>29091.65</v>
      </c>
      <c r="L34" s="56">
        <v>29345</v>
      </c>
      <c r="M34" s="224">
        <f>IF((L35=""),"",MAX(D36:L36))</f>
        <v>42396.57</v>
      </c>
      <c r="N34" s="224">
        <f>IF(L35="","",MIN(D36:L36))</f>
        <v>32872.979999999996</v>
      </c>
      <c r="O34" s="224">
        <f>IF((L36=""),"",AVERAGE(D36:L36))</f>
        <v>39173.076666666668</v>
      </c>
      <c r="P34" s="224">
        <f>IF((L35=""),"",((M34-N34)/(M34+N34))*100)</f>
        <v>12.652646388878377</v>
      </c>
      <c r="Q34" s="227" t="str">
        <f>IF(L35="","",IF(P36&lt;20,(IF(O34&gt;33000,IF(O34&lt;44000,"Pass","Fail"),"Fail"))))</f>
        <v>Pass</v>
      </c>
      <c r="R34" s="224">
        <v>1428</v>
      </c>
      <c r="S34" s="224" t="s">
        <v>163</v>
      </c>
      <c r="T34" s="179"/>
      <c r="U34" s="179">
        <v>19000</v>
      </c>
      <c r="V34" s="179">
        <v>49000</v>
      </c>
      <c r="W34" s="179">
        <v>33000</v>
      </c>
      <c r="X34" s="185">
        <v>44000</v>
      </c>
      <c r="Y34" s="182">
        <v>20</v>
      </c>
    </row>
    <row r="35" spans="1:25" x14ac:dyDescent="0.3">
      <c r="A35" s="175"/>
      <c r="B35" s="225"/>
      <c r="C35" s="71" t="s">
        <v>89</v>
      </c>
      <c r="D35" s="56">
        <v>18320.759999999998</v>
      </c>
      <c r="E35" s="56">
        <v>16091.92</v>
      </c>
      <c r="F35" s="56">
        <v>15655.64</v>
      </c>
      <c r="G35" s="56">
        <v>15621.03</v>
      </c>
      <c r="H35" s="56">
        <v>17205.36</v>
      </c>
      <c r="I35" s="56">
        <v>16070.97</v>
      </c>
      <c r="J35" s="56">
        <v>15705.07</v>
      </c>
      <c r="K35" s="56">
        <v>15371.34</v>
      </c>
      <c r="L35" s="56">
        <v>15212.81</v>
      </c>
      <c r="M35" s="225"/>
      <c r="N35" s="225"/>
      <c r="O35" s="225"/>
      <c r="P35" s="225"/>
      <c r="Q35" s="228"/>
      <c r="R35" s="225"/>
      <c r="S35" s="225"/>
      <c r="T35" s="180"/>
      <c r="U35" s="180"/>
      <c r="V35" s="180"/>
      <c r="W35" s="180"/>
      <c r="X35" s="186"/>
      <c r="Y35" s="183"/>
    </row>
    <row r="36" spans="1:25" ht="31.6" customHeight="1" x14ac:dyDescent="0.3">
      <c r="A36" s="176"/>
      <c r="B36" s="226"/>
      <c r="C36" s="71" t="s">
        <v>123</v>
      </c>
      <c r="D36" s="71">
        <f t="shared" ref="D36:L36" si="8">IF(((D34="")*AND(D35="")),"",(D34-D35)*3)</f>
        <v>32872.979999999996</v>
      </c>
      <c r="E36" s="71">
        <f t="shared" si="8"/>
        <v>39018.57</v>
      </c>
      <c r="F36" s="71">
        <f t="shared" si="8"/>
        <v>40356.510000000009</v>
      </c>
      <c r="G36" s="71">
        <f t="shared" si="8"/>
        <v>40454.82</v>
      </c>
      <c r="H36" s="71">
        <f t="shared" si="8"/>
        <v>36429.03</v>
      </c>
      <c r="I36" s="71">
        <f t="shared" si="8"/>
        <v>39655.830000000009</v>
      </c>
      <c r="J36" s="71">
        <f t="shared" si="8"/>
        <v>40212.450000000004</v>
      </c>
      <c r="K36" s="71">
        <f t="shared" si="8"/>
        <v>41160.930000000008</v>
      </c>
      <c r="L36" s="71">
        <f t="shared" si="8"/>
        <v>42396.57</v>
      </c>
      <c r="M36" s="226"/>
      <c r="N36" s="226"/>
      <c r="O36" s="226"/>
      <c r="P36" s="226"/>
      <c r="Q36" s="229"/>
      <c r="R36" s="226"/>
      <c r="S36" s="226"/>
      <c r="T36" s="181"/>
      <c r="U36" s="181"/>
      <c r="V36" s="181"/>
      <c r="W36" s="181"/>
      <c r="X36" s="187"/>
      <c r="Y36" s="184"/>
    </row>
    <row r="37" spans="1:25" x14ac:dyDescent="0.3">
      <c r="A37" s="174">
        <v>43003</v>
      </c>
      <c r="B37" s="224" t="s">
        <v>124</v>
      </c>
      <c r="C37" s="71" t="s">
        <v>88</v>
      </c>
      <c r="D37" s="56">
        <v>29470.799999999999</v>
      </c>
      <c r="E37" s="56">
        <v>29288.52</v>
      </c>
      <c r="F37" s="56">
        <v>29364.06</v>
      </c>
      <c r="G37" s="56">
        <v>29293.46</v>
      </c>
      <c r="H37" s="56">
        <v>29507.35</v>
      </c>
      <c r="I37" s="56">
        <v>29413.4</v>
      </c>
      <c r="J37" s="56">
        <v>29270.93</v>
      </c>
      <c r="K37" s="56">
        <v>29313.13</v>
      </c>
      <c r="L37" s="56">
        <v>29513.99</v>
      </c>
      <c r="M37" s="224">
        <f>IF((L38=""),"",MAX(D39:L39))</f>
        <v>42660.750000000007</v>
      </c>
      <c r="N37" s="224">
        <f>IF(L38="","",MIN(D39:L39))</f>
        <v>32932.17</v>
      </c>
      <c r="O37" s="224">
        <f>IF((L39=""),"",AVERAGE(D39:L39))</f>
        <v>39201.163333333338</v>
      </c>
      <c r="P37" s="224">
        <f>IF((L38=""),"",((M37-N37)/(M37+N37))*100)</f>
        <v>12.869697320860219</v>
      </c>
      <c r="Q37" s="227" t="str">
        <f>IF(L38="","",IF(P39&lt;20,(IF(O37&gt;33000,IF(O37&lt;44000,"Pass","Fail"),"Fail"))))</f>
        <v>Pass</v>
      </c>
      <c r="R37" s="224">
        <v>1159</v>
      </c>
      <c r="S37" s="224" t="s">
        <v>164</v>
      </c>
      <c r="T37" s="179"/>
      <c r="U37" s="179">
        <v>19000</v>
      </c>
      <c r="V37" s="179">
        <v>49000</v>
      </c>
      <c r="W37" s="179">
        <v>33000</v>
      </c>
      <c r="X37" s="179">
        <v>44000</v>
      </c>
      <c r="Y37" s="182">
        <v>20</v>
      </c>
    </row>
    <row r="38" spans="1:25" x14ac:dyDescent="0.3">
      <c r="A38" s="175"/>
      <c r="B38" s="225"/>
      <c r="C38" s="71" t="s">
        <v>89</v>
      </c>
      <c r="D38" s="56">
        <v>18493.41</v>
      </c>
      <c r="E38" s="56">
        <v>16285.18</v>
      </c>
      <c r="F38" s="56">
        <v>15968.36</v>
      </c>
      <c r="G38" s="56">
        <v>15803.2</v>
      </c>
      <c r="H38" s="56">
        <v>17288.88</v>
      </c>
      <c r="I38" s="56">
        <v>16196.76</v>
      </c>
      <c r="J38" s="56">
        <v>15888.33</v>
      </c>
      <c r="K38" s="56">
        <v>15614.29</v>
      </c>
      <c r="L38" s="56">
        <v>15293.74</v>
      </c>
      <c r="M38" s="225"/>
      <c r="N38" s="225"/>
      <c r="O38" s="225"/>
      <c r="P38" s="225"/>
      <c r="Q38" s="228"/>
      <c r="R38" s="225"/>
      <c r="S38" s="225"/>
      <c r="T38" s="180"/>
      <c r="U38" s="180"/>
      <c r="V38" s="180"/>
      <c r="W38" s="180"/>
      <c r="X38" s="180"/>
      <c r="Y38" s="183"/>
    </row>
    <row r="39" spans="1:25" ht="31.6" customHeight="1" x14ac:dyDescent="0.3">
      <c r="A39" s="176"/>
      <c r="B39" s="226"/>
      <c r="C39" s="71" t="s">
        <v>123</v>
      </c>
      <c r="D39" s="71">
        <f t="shared" ref="D39:L39" si="9">IF(((D37="")*AND(D38="")),"",(D37-D38)*3)</f>
        <v>32932.17</v>
      </c>
      <c r="E39" s="71">
        <f t="shared" si="9"/>
        <v>39010.020000000004</v>
      </c>
      <c r="F39" s="71">
        <f t="shared" si="9"/>
        <v>40187.100000000006</v>
      </c>
      <c r="G39" s="71">
        <f t="shared" si="9"/>
        <v>40470.78</v>
      </c>
      <c r="H39" s="71">
        <f t="shared" si="9"/>
        <v>36655.409999999989</v>
      </c>
      <c r="I39" s="71">
        <f t="shared" si="9"/>
        <v>39649.920000000006</v>
      </c>
      <c r="J39" s="71">
        <f t="shared" si="9"/>
        <v>40147.800000000003</v>
      </c>
      <c r="K39" s="71">
        <f t="shared" si="9"/>
        <v>41096.520000000004</v>
      </c>
      <c r="L39" s="71">
        <f t="shared" si="9"/>
        <v>42660.750000000007</v>
      </c>
      <c r="M39" s="226"/>
      <c r="N39" s="226"/>
      <c r="O39" s="226"/>
      <c r="P39" s="226"/>
      <c r="Q39" s="229"/>
      <c r="R39" s="226"/>
      <c r="S39" s="226"/>
      <c r="T39" s="181"/>
      <c r="U39" s="181"/>
      <c r="V39" s="181"/>
      <c r="W39" s="181"/>
      <c r="X39" s="181"/>
      <c r="Y39" s="183"/>
    </row>
    <row r="40" spans="1:25" x14ac:dyDescent="0.3">
      <c r="A40" s="174">
        <v>43007</v>
      </c>
      <c r="B40" s="224" t="s">
        <v>124</v>
      </c>
      <c r="C40" s="71" t="s">
        <v>88</v>
      </c>
      <c r="D40" s="56">
        <v>29571.599999999999</v>
      </c>
      <c r="E40" s="56">
        <v>29348.29</v>
      </c>
      <c r="F40" s="56">
        <v>29354.34</v>
      </c>
      <c r="G40" s="56">
        <v>29336.22</v>
      </c>
      <c r="H40" s="56">
        <v>29528.63</v>
      </c>
      <c r="I40" s="56">
        <v>29513.68</v>
      </c>
      <c r="J40" s="56">
        <v>29345.42</v>
      </c>
      <c r="K40" s="56">
        <v>29326.69</v>
      </c>
      <c r="L40" s="56">
        <v>29546.25</v>
      </c>
      <c r="M40" s="224">
        <f>IF((L41=""),"",MAX(D42:L42))</f>
        <v>37667.67</v>
      </c>
      <c r="N40" s="224">
        <f>IF(L41="","",MIN(D42:L42))</f>
        <v>29095.109999999997</v>
      </c>
      <c r="O40" s="224">
        <f>IF((L42=""),"",AVERAGE(D42:L42))</f>
        <v>35096.29</v>
      </c>
      <c r="P40" s="224">
        <f>IF((L41=""),"",((M40-N40)/(M40+N40))*100)</f>
        <v>12.840328098979704</v>
      </c>
      <c r="Q40" s="227" t="str">
        <f>IF(L41="","",IF(P42&lt;20,(IF(O40&gt;33000,IF(O40&lt;44000,"Pass","Fail"),"Fail"))))</f>
        <v>Pass</v>
      </c>
      <c r="R40" s="224">
        <v>1428</v>
      </c>
      <c r="S40" s="224" t="s">
        <v>165</v>
      </c>
      <c r="T40" s="179"/>
      <c r="U40" s="179">
        <v>19000</v>
      </c>
      <c r="V40" s="179">
        <v>49000</v>
      </c>
      <c r="W40" s="179">
        <v>33000</v>
      </c>
      <c r="X40" s="179">
        <v>44000</v>
      </c>
      <c r="Y40" s="182">
        <v>20</v>
      </c>
    </row>
    <row r="41" spans="1:25" x14ac:dyDescent="0.3">
      <c r="A41" s="175"/>
      <c r="B41" s="225"/>
      <c r="C41" s="71" t="s">
        <v>89</v>
      </c>
      <c r="D41" s="56">
        <v>19873.23</v>
      </c>
      <c r="E41" s="56">
        <v>17461.07</v>
      </c>
      <c r="F41" s="56">
        <v>16825.669999999998</v>
      </c>
      <c r="G41" s="56">
        <v>17103.12</v>
      </c>
      <c r="H41" s="56">
        <v>19131.96</v>
      </c>
      <c r="I41" s="56">
        <v>17972.060000000001</v>
      </c>
      <c r="J41" s="56">
        <v>17068.080000000002</v>
      </c>
      <c r="K41" s="56">
        <v>16770.8</v>
      </c>
      <c r="L41" s="56">
        <v>17376.259999999998</v>
      </c>
      <c r="M41" s="225"/>
      <c r="N41" s="225"/>
      <c r="O41" s="225"/>
      <c r="P41" s="225"/>
      <c r="Q41" s="228"/>
      <c r="R41" s="225"/>
      <c r="S41" s="225"/>
      <c r="T41" s="180"/>
      <c r="U41" s="180"/>
      <c r="V41" s="180"/>
      <c r="W41" s="180"/>
      <c r="X41" s="180"/>
      <c r="Y41" s="183"/>
    </row>
    <row r="42" spans="1:25" ht="31.05" customHeight="1" x14ac:dyDescent="0.3">
      <c r="A42" s="176"/>
      <c r="B42" s="226"/>
      <c r="C42" s="71" t="s">
        <v>123</v>
      </c>
      <c r="D42" s="71">
        <f t="shared" ref="D42:L42" si="10">IF(((D40="")*AND(D41="")),"",(D40-D41)*3)</f>
        <v>29095.109999999997</v>
      </c>
      <c r="E42" s="71">
        <f t="shared" si="10"/>
        <v>35661.660000000003</v>
      </c>
      <c r="F42" s="71">
        <f t="shared" si="10"/>
        <v>37586.010000000009</v>
      </c>
      <c r="G42" s="71">
        <f t="shared" si="10"/>
        <v>36699.300000000003</v>
      </c>
      <c r="H42" s="71">
        <f t="shared" si="10"/>
        <v>31190.010000000006</v>
      </c>
      <c r="I42" s="71">
        <f t="shared" si="10"/>
        <v>34624.86</v>
      </c>
      <c r="J42" s="71">
        <f t="shared" si="10"/>
        <v>36832.01999999999</v>
      </c>
      <c r="K42" s="71">
        <f t="shared" si="10"/>
        <v>37667.67</v>
      </c>
      <c r="L42" s="71">
        <f t="shared" si="10"/>
        <v>36509.97</v>
      </c>
      <c r="M42" s="226"/>
      <c r="N42" s="226"/>
      <c r="O42" s="226"/>
      <c r="P42" s="226"/>
      <c r="Q42" s="229"/>
      <c r="R42" s="226"/>
      <c r="S42" s="226"/>
      <c r="T42" s="181"/>
      <c r="U42" s="181"/>
      <c r="V42" s="181"/>
      <c r="W42" s="181"/>
      <c r="X42" s="181"/>
      <c r="Y42" s="183"/>
    </row>
    <row r="43" spans="1:25" x14ac:dyDescent="0.3">
      <c r="A43" s="174">
        <v>42804</v>
      </c>
      <c r="B43" s="224" t="s">
        <v>124</v>
      </c>
      <c r="C43" s="71" t="s">
        <v>88</v>
      </c>
      <c r="D43" s="56">
        <v>29442.44</v>
      </c>
      <c r="E43" s="56">
        <v>29301.26</v>
      </c>
      <c r="F43" s="56">
        <v>29322.07</v>
      </c>
      <c r="G43" s="56">
        <v>29245.25</v>
      </c>
      <c r="H43" s="56">
        <v>29507.82</v>
      </c>
      <c r="I43" s="56">
        <v>29414.35</v>
      </c>
      <c r="J43" s="56">
        <v>29301.75</v>
      </c>
      <c r="K43" s="56">
        <v>29265.08</v>
      </c>
      <c r="L43" s="56">
        <v>29517.66</v>
      </c>
      <c r="M43" s="224">
        <f>IF((L44=""),"",MAX(D45:L45))</f>
        <v>39456.510000000009</v>
      </c>
      <c r="N43" s="224">
        <f>IF(L44="","",MIN(D45:L45))</f>
        <v>30725.339999999997</v>
      </c>
      <c r="O43" s="224">
        <f>IF((L45=""),"",AVERAGE(D45:L45))</f>
        <v>36867.94</v>
      </c>
      <c r="P43" s="224">
        <f>IF((L44=""),"",((M43-N43)/(M43+N43))*100)</f>
        <v>12.440780629179784</v>
      </c>
      <c r="Q43" s="227" t="str">
        <f>IF(L44="","",IF(P45&lt;20,(IF(O43&gt;33000,IF(O43&lt;44000,"Pass","Fail"),"Fail"))))</f>
        <v>Pass</v>
      </c>
      <c r="R43" s="224">
        <v>1159</v>
      </c>
      <c r="S43" s="224" t="s">
        <v>166</v>
      </c>
      <c r="T43" s="179"/>
      <c r="U43" s="179">
        <v>19000</v>
      </c>
      <c r="V43" s="179">
        <v>49000</v>
      </c>
      <c r="W43" s="179">
        <v>33000</v>
      </c>
      <c r="X43" s="185">
        <v>44000</v>
      </c>
      <c r="Y43" s="182">
        <v>20</v>
      </c>
    </row>
    <row r="44" spans="1:25" x14ac:dyDescent="0.3">
      <c r="A44" s="175"/>
      <c r="B44" s="225"/>
      <c r="C44" s="71" t="s">
        <v>89</v>
      </c>
      <c r="D44" s="56">
        <v>19200.66</v>
      </c>
      <c r="E44" s="56">
        <v>16896.150000000001</v>
      </c>
      <c r="F44" s="56">
        <v>16283.36</v>
      </c>
      <c r="G44" s="56">
        <v>16487.330000000002</v>
      </c>
      <c r="H44" s="56">
        <v>18526.09</v>
      </c>
      <c r="I44" s="56">
        <v>17242.689999999999</v>
      </c>
      <c r="J44" s="56">
        <v>16445.7</v>
      </c>
      <c r="K44" s="56">
        <v>16112.91</v>
      </c>
      <c r="L44" s="56">
        <v>16518.97</v>
      </c>
      <c r="M44" s="225"/>
      <c r="N44" s="225"/>
      <c r="O44" s="225"/>
      <c r="P44" s="225"/>
      <c r="Q44" s="228"/>
      <c r="R44" s="225"/>
      <c r="S44" s="225"/>
      <c r="T44" s="180"/>
      <c r="U44" s="180"/>
      <c r="V44" s="180"/>
      <c r="W44" s="180"/>
      <c r="X44" s="186"/>
      <c r="Y44" s="183"/>
    </row>
    <row r="45" spans="1:25" ht="32.700000000000003" customHeight="1" x14ac:dyDescent="0.3">
      <c r="A45" s="176"/>
      <c r="B45" s="226"/>
      <c r="C45" s="71" t="s">
        <v>123</v>
      </c>
      <c r="D45" s="71">
        <f t="shared" ref="D45:L45" si="11">IF(((D43="")*AND(D44="")),"",(D43-D44)*3)</f>
        <v>30725.339999999997</v>
      </c>
      <c r="E45" s="71">
        <f t="shared" si="11"/>
        <v>37215.329999999987</v>
      </c>
      <c r="F45" s="71">
        <f t="shared" si="11"/>
        <v>39116.129999999997</v>
      </c>
      <c r="G45" s="71">
        <f t="shared" si="11"/>
        <v>38273.759999999995</v>
      </c>
      <c r="H45" s="71">
        <f t="shared" si="11"/>
        <v>32945.19</v>
      </c>
      <c r="I45" s="71">
        <f t="shared" si="11"/>
        <v>36514.979999999996</v>
      </c>
      <c r="J45" s="71">
        <f t="shared" si="11"/>
        <v>38568.149999999994</v>
      </c>
      <c r="K45" s="71">
        <f t="shared" si="11"/>
        <v>39456.510000000009</v>
      </c>
      <c r="L45" s="71">
        <f t="shared" si="11"/>
        <v>38996.069999999992</v>
      </c>
      <c r="M45" s="226"/>
      <c r="N45" s="226"/>
      <c r="O45" s="226"/>
      <c r="P45" s="226"/>
      <c r="Q45" s="229"/>
      <c r="R45" s="226"/>
      <c r="S45" s="226"/>
      <c r="T45" s="181"/>
      <c r="U45" s="181"/>
      <c r="V45" s="181"/>
      <c r="W45" s="181"/>
      <c r="X45" s="187"/>
      <c r="Y45" s="184"/>
    </row>
    <row r="46" spans="1:25" x14ac:dyDescent="0.3">
      <c r="A46" s="177">
        <v>42988</v>
      </c>
      <c r="B46" s="224" t="s">
        <v>124</v>
      </c>
      <c r="C46" s="71" t="s">
        <v>88</v>
      </c>
      <c r="D46" s="56">
        <v>29343.02</v>
      </c>
      <c r="E46" s="56">
        <v>29176.47</v>
      </c>
      <c r="F46" s="56">
        <v>29184.400000000001</v>
      </c>
      <c r="G46" s="56">
        <v>29189.119999999999</v>
      </c>
      <c r="H46" s="56">
        <v>29426.79</v>
      </c>
      <c r="I46" s="56">
        <v>29367.18</v>
      </c>
      <c r="J46" s="56">
        <v>29185.17</v>
      </c>
      <c r="K46" s="56">
        <v>29185.66</v>
      </c>
      <c r="L46" s="56">
        <v>29438.7</v>
      </c>
      <c r="M46" s="224">
        <f>IF((L47=""),"",MAX(D48:L48))</f>
        <v>42634.47</v>
      </c>
      <c r="N46" s="224">
        <f>IF(L47="","",MIN(D48:L48))</f>
        <v>32086.530000000006</v>
      </c>
      <c r="O46" s="224">
        <f>IF((L48=""),"",AVERAGE(D48:L48))</f>
        <v>38952.80333333333</v>
      </c>
      <c r="P46" s="224">
        <f>IF((L47=""),"",((M46-N46)/(M46+N46))*100)</f>
        <v>14.116433131248238</v>
      </c>
      <c r="Q46" s="227" t="str">
        <f>IF(L47="","",IF(P48&lt;20,(IF(O46&gt;33000,IF(O46&lt;44000,"Pass","Fail"),"Fail"))))</f>
        <v>Pass</v>
      </c>
      <c r="R46" s="224">
        <v>1428</v>
      </c>
      <c r="S46" s="224" t="s">
        <v>167</v>
      </c>
      <c r="T46" s="179"/>
      <c r="U46" s="179">
        <v>19000</v>
      </c>
      <c r="V46" s="179">
        <v>49000</v>
      </c>
      <c r="W46" s="179">
        <v>33000</v>
      </c>
      <c r="X46" s="179">
        <v>44000</v>
      </c>
      <c r="Y46" s="182">
        <v>20</v>
      </c>
    </row>
    <row r="47" spans="1:25" x14ac:dyDescent="0.3">
      <c r="A47" s="178"/>
      <c r="B47" s="225"/>
      <c r="C47" s="71" t="s">
        <v>89</v>
      </c>
      <c r="D47" s="56">
        <v>18647.509999999998</v>
      </c>
      <c r="E47" s="56">
        <v>16384.689999999999</v>
      </c>
      <c r="F47" s="56">
        <v>15891.06</v>
      </c>
      <c r="G47" s="56">
        <v>15699.64</v>
      </c>
      <c r="H47" s="56">
        <v>17288.5</v>
      </c>
      <c r="I47" s="56">
        <v>16153.61</v>
      </c>
      <c r="J47" s="56">
        <v>15848.56</v>
      </c>
      <c r="K47" s="56">
        <v>15497.32</v>
      </c>
      <c r="L47" s="56">
        <v>15227.21</v>
      </c>
      <c r="M47" s="225"/>
      <c r="N47" s="225"/>
      <c r="O47" s="225"/>
      <c r="P47" s="225"/>
      <c r="Q47" s="228"/>
      <c r="R47" s="225"/>
      <c r="S47" s="225"/>
      <c r="T47" s="180"/>
      <c r="U47" s="180"/>
      <c r="V47" s="180"/>
      <c r="W47" s="180"/>
      <c r="X47" s="180"/>
      <c r="Y47" s="183"/>
    </row>
    <row r="48" spans="1:25" ht="29.35" customHeight="1" x14ac:dyDescent="0.3">
      <c r="A48" s="178"/>
      <c r="B48" s="226"/>
      <c r="C48" s="71" t="s">
        <v>123</v>
      </c>
      <c r="D48" s="71">
        <f t="shared" ref="D48:L48" si="12">IF(((D46="")*AND(D47="")),"",(D46-D47)*3)</f>
        <v>32086.530000000006</v>
      </c>
      <c r="E48" s="71">
        <f t="shared" si="12"/>
        <v>38375.340000000011</v>
      </c>
      <c r="F48" s="71">
        <f t="shared" si="12"/>
        <v>39880.020000000004</v>
      </c>
      <c r="G48" s="71">
        <f t="shared" si="12"/>
        <v>40468.44</v>
      </c>
      <c r="H48" s="71">
        <f t="shared" si="12"/>
        <v>36414.870000000003</v>
      </c>
      <c r="I48" s="71">
        <f t="shared" si="12"/>
        <v>39640.71</v>
      </c>
      <c r="J48" s="71">
        <f t="shared" si="12"/>
        <v>40009.829999999994</v>
      </c>
      <c r="K48" s="71">
        <f t="shared" si="12"/>
        <v>41065.020000000004</v>
      </c>
      <c r="L48" s="71">
        <f t="shared" si="12"/>
        <v>42634.47</v>
      </c>
      <c r="M48" s="226"/>
      <c r="N48" s="226"/>
      <c r="O48" s="226"/>
      <c r="P48" s="226"/>
      <c r="Q48" s="229"/>
      <c r="R48" s="226"/>
      <c r="S48" s="226"/>
      <c r="T48" s="181"/>
      <c r="U48" s="181"/>
      <c r="V48" s="181"/>
      <c r="W48" s="181"/>
      <c r="X48" s="181"/>
      <c r="Y48" s="183"/>
    </row>
    <row r="49" spans="1:25" x14ac:dyDescent="0.3">
      <c r="A49" s="178">
        <v>43079</v>
      </c>
      <c r="B49" s="224" t="s">
        <v>124</v>
      </c>
      <c r="C49" s="71" t="s">
        <v>88</v>
      </c>
      <c r="D49" s="56">
        <v>29360.2</v>
      </c>
      <c r="E49" s="56">
        <v>29206.68</v>
      </c>
      <c r="F49" s="56">
        <v>29223.9</v>
      </c>
      <c r="G49" s="56">
        <v>29222.73</v>
      </c>
      <c r="H49" s="56">
        <v>29425.01</v>
      </c>
      <c r="I49" s="56">
        <v>29365.7</v>
      </c>
      <c r="J49" s="56">
        <v>29196.32</v>
      </c>
      <c r="K49" s="56">
        <v>29218.83</v>
      </c>
      <c r="L49" s="56">
        <v>29485.22</v>
      </c>
      <c r="M49" s="224">
        <f>IF((L50=""),"",MAX(D51:L51))</f>
        <v>41571.39</v>
      </c>
      <c r="N49" s="224">
        <f>IF(L50="","",MIN(D51:L51))</f>
        <v>31884.180000000004</v>
      </c>
      <c r="O49" s="224">
        <f>IF((L51=""),"",AVERAGE(D51:L51))</f>
        <v>38556.076666666675</v>
      </c>
      <c r="P49" s="224">
        <f>IF((L50=""),"",((M49-N49)/(M49+N49))*100)</f>
        <v>13.187849471456003</v>
      </c>
      <c r="Q49" s="227" t="str">
        <f>IF(L50="","",IF(P51&lt;20,(IF(O49&gt;33000,IF(O49&lt;44000,"Pass","Fail"),"Fail"))))</f>
        <v>Pass</v>
      </c>
      <c r="R49" s="224">
        <v>1428</v>
      </c>
      <c r="S49" s="224" t="s">
        <v>168</v>
      </c>
      <c r="T49" s="179"/>
      <c r="U49" s="179">
        <v>19000</v>
      </c>
      <c r="V49" s="179">
        <v>49000</v>
      </c>
      <c r="W49" s="179">
        <v>33000</v>
      </c>
      <c r="X49" s="185">
        <v>44000</v>
      </c>
      <c r="Y49" s="182">
        <v>20</v>
      </c>
    </row>
    <row r="50" spans="1:25" x14ac:dyDescent="0.3">
      <c r="A50" s="178"/>
      <c r="B50" s="225"/>
      <c r="C50" s="71" t="s">
        <v>89</v>
      </c>
      <c r="D50" s="56">
        <v>18732.14</v>
      </c>
      <c r="E50" s="56">
        <v>16505.71</v>
      </c>
      <c r="F50" s="56">
        <v>16053.31</v>
      </c>
      <c r="G50" s="56">
        <v>15850.82</v>
      </c>
      <c r="H50" s="56">
        <v>17296.82</v>
      </c>
      <c r="I50" s="56">
        <v>16283.46</v>
      </c>
      <c r="J50" s="56">
        <v>15919.48</v>
      </c>
      <c r="K50" s="56">
        <v>15766.53</v>
      </c>
      <c r="L50" s="56">
        <v>15628.09</v>
      </c>
      <c r="M50" s="225"/>
      <c r="N50" s="225"/>
      <c r="O50" s="225"/>
      <c r="P50" s="225"/>
      <c r="Q50" s="228"/>
      <c r="R50" s="225"/>
      <c r="S50" s="225"/>
      <c r="T50" s="180"/>
      <c r="U50" s="180"/>
      <c r="V50" s="180"/>
      <c r="W50" s="180"/>
      <c r="X50" s="186"/>
      <c r="Y50" s="183"/>
    </row>
    <row r="51" spans="1:25" ht="28.8" customHeight="1" x14ac:dyDescent="0.3">
      <c r="A51" s="178"/>
      <c r="B51" s="226"/>
      <c r="C51" s="71" t="s">
        <v>123</v>
      </c>
      <c r="D51" s="71">
        <f t="shared" ref="D51:L51" si="13">IF(((D49="")*AND(D50="")),"",(D49-D50)*3)</f>
        <v>31884.180000000004</v>
      </c>
      <c r="E51" s="71">
        <f t="shared" si="13"/>
        <v>38102.910000000003</v>
      </c>
      <c r="F51" s="71">
        <f t="shared" si="13"/>
        <v>39511.770000000004</v>
      </c>
      <c r="G51" s="71">
        <f t="shared" si="13"/>
        <v>40115.729999999996</v>
      </c>
      <c r="H51" s="71">
        <f t="shared" si="13"/>
        <v>36384.569999999992</v>
      </c>
      <c r="I51" s="71">
        <f t="shared" si="13"/>
        <v>39246.720000000001</v>
      </c>
      <c r="J51" s="71">
        <f t="shared" si="13"/>
        <v>39830.520000000004</v>
      </c>
      <c r="K51" s="71">
        <f t="shared" si="13"/>
        <v>40356.9</v>
      </c>
      <c r="L51" s="71">
        <f t="shared" si="13"/>
        <v>41571.39</v>
      </c>
      <c r="M51" s="226"/>
      <c r="N51" s="226"/>
      <c r="O51" s="226"/>
      <c r="P51" s="226"/>
      <c r="Q51" s="229"/>
      <c r="R51" s="226"/>
      <c r="S51" s="226"/>
      <c r="T51" s="181"/>
      <c r="U51" s="181"/>
      <c r="V51" s="181"/>
      <c r="W51" s="181"/>
      <c r="X51" s="187"/>
      <c r="Y51" s="184"/>
    </row>
    <row r="52" spans="1:25" x14ac:dyDescent="0.3">
      <c r="A52" s="178">
        <v>43024</v>
      </c>
      <c r="B52" s="224" t="s">
        <v>124</v>
      </c>
      <c r="C52" s="71" t="s">
        <v>88</v>
      </c>
      <c r="D52" s="56">
        <v>29280.880000000001</v>
      </c>
      <c r="E52" s="56">
        <v>29145.360000000001</v>
      </c>
      <c r="F52" s="56">
        <v>29207.87</v>
      </c>
      <c r="G52" s="56">
        <v>29155.59</v>
      </c>
      <c r="H52" s="56">
        <v>29373.31</v>
      </c>
      <c r="I52" s="56">
        <v>29267.86</v>
      </c>
      <c r="J52" s="56">
        <v>29131.58</v>
      </c>
      <c r="K52" s="56">
        <v>29149.13</v>
      </c>
      <c r="L52" s="56">
        <v>29381.74</v>
      </c>
      <c r="M52" s="224">
        <f>IF((L53=""),"",MAX(D54:L54))</f>
        <v>43460.580000000009</v>
      </c>
      <c r="N52" s="224">
        <f>IF(L53="","",MIN(D54:L54))</f>
        <v>33620.550000000003</v>
      </c>
      <c r="O52" s="224">
        <f>IF((L54=""),"",AVERAGE(D54:L54))</f>
        <v>39716.576666666668</v>
      </c>
      <c r="P52" s="224">
        <f>IF((L53=""),"",((M52-N52)/(M52+N52))*100)</f>
        <v>12.765809219454885</v>
      </c>
      <c r="Q52" s="227" t="str">
        <f>IF(L53="","",IF(P54&lt;20,(IF(O52&gt;33000,IF(O52&lt;44000,"Pass","Fail"),"Fail"))))</f>
        <v>Pass</v>
      </c>
      <c r="R52" s="224">
        <v>1335</v>
      </c>
      <c r="S52" s="224" t="s">
        <v>169</v>
      </c>
      <c r="T52" s="179"/>
      <c r="U52" s="179">
        <v>19000</v>
      </c>
      <c r="V52" s="179">
        <v>49000</v>
      </c>
      <c r="W52" s="179">
        <v>33000</v>
      </c>
      <c r="X52" s="179">
        <v>44000</v>
      </c>
      <c r="Y52" s="182">
        <v>20</v>
      </c>
    </row>
    <row r="53" spans="1:25" x14ac:dyDescent="0.3">
      <c r="A53" s="178"/>
      <c r="B53" s="225"/>
      <c r="C53" s="71" t="s">
        <v>89</v>
      </c>
      <c r="D53" s="56">
        <v>18074.03</v>
      </c>
      <c r="E53" s="56">
        <v>16042.98</v>
      </c>
      <c r="F53" s="56">
        <v>15790.69</v>
      </c>
      <c r="G53" s="56">
        <v>15554.38</v>
      </c>
      <c r="H53" s="56">
        <v>16911.53</v>
      </c>
      <c r="I53" s="56">
        <v>15739.95</v>
      </c>
      <c r="J53" s="56">
        <v>15607.54</v>
      </c>
      <c r="K53" s="56">
        <v>15327.61</v>
      </c>
      <c r="L53" s="56">
        <v>14894.88</v>
      </c>
      <c r="M53" s="225"/>
      <c r="N53" s="225"/>
      <c r="O53" s="225"/>
      <c r="P53" s="225"/>
      <c r="Q53" s="228"/>
      <c r="R53" s="225"/>
      <c r="S53" s="225"/>
      <c r="T53" s="180"/>
      <c r="U53" s="180"/>
      <c r="V53" s="180"/>
      <c r="W53" s="180"/>
      <c r="X53" s="180"/>
      <c r="Y53" s="183"/>
    </row>
    <row r="54" spans="1:25" ht="31.6" customHeight="1" x14ac:dyDescent="0.3">
      <c r="A54" s="178"/>
      <c r="B54" s="226"/>
      <c r="C54" s="71" t="s">
        <v>123</v>
      </c>
      <c r="D54" s="71">
        <f t="shared" ref="D54:L54" si="14">IF(((D52="")*AND(D53="")),"",(D52-D53)*3)</f>
        <v>33620.550000000003</v>
      </c>
      <c r="E54" s="71">
        <f t="shared" si="14"/>
        <v>39307.14</v>
      </c>
      <c r="F54" s="71">
        <f t="shared" si="14"/>
        <v>40251.539999999994</v>
      </c>
      <c r="G54" s="71">
        <f t="shared" si="14"/>
        <v>40803.630000000005</v>
      </c>
      <c r="H54" s="71">
        <f t="shared" si="14"/>
        <v>37385.340000000011</v>
      </c>
      <c r="I54" s="71">
        <f t="shared" si="14"/>
        <v>40583.729999999996</v>
      </c>
      <c r="J54" s="71">
        <f t="shared" si="14"/>
        <v>40572.120000000003</v>
      </c>
      <c r="K54" s="71">
        <f t="shared" si="14"/>
        <v>41464.559999999998</v>
      </c>
      <c r="L54" s="71">
        <f t="shared" si="14"/>
        <v>43460.580000000009</v>
      </c>
      <c r="M54" s="226"/>
      <c r="N54" s="226"/>
      <c r="O54" s="226"/>
      <c r="P54" s="226"/>
      <c r="Q54" s="229"/>
      <c r="R54" s="226"/>
      <c r="S54" s="226"/>
      <c r="T54" s="181"/>
      <c r="U54" s="181"/>
      <c r="V54" s="181"/>
      <c r="W54" s="181"/>
      <c r="X54" s="181"/>
      <c r="Y54" s="183"/>
    </row>
    <row r="55" spans="1:25" x14ac:dyDescent="0.3">
      <c r="A55" s="178">
        <v>43028</v>
      </c>
      <c r="B55" s="224" t="s">
        <v>124</v>
      </c>
      <c r="C55" s="71" t="s">
        <v>88</v>
      </c>
      <c r="D55" s="56">
        <v>29290</v>
      </c>
      <c r="E55" s="56">
        <v>29125.46</v>
      </c>
      <c r="F55" s="56">
        <v>29193.22</v>
      </c>
      <c r="G55" s="56">
        <v>29160.639999999999</v>
      </c>
      <c r="H55" s="56">
        <v>29307.57</v>
      </c>
      <c r="I55" s="56">
        <v>29284.13</v>
      </c>
      <c r="J55" s="56">
        <v>29163.97</v>
      </c>
      <c r="K55" s="56">
        <v>29118.9</v>
      </c>
      <c r="L55" s="56">
        <v>29368.04</v>
      </c>
      <c r="M55" s="224">
        <f>IF((L56=""),"",MAX(D57:L57))</f>
        <v>42966.57</v>
      </c>
      <c r="N55" s="224">
        <f>IF(L56="","",MIN(D57:L57))</f>
        <v>33050.009999999995</v>
      </c>
      <c r="O55" s="224">
        <f>IF((L57=""),"",AVERAGE(D57:L57))</f>
        <v>39201.636666666673</v>
      </c>
      <c r="P55" s="224">
        <f>IF((L56=""),"",((M55-N55)/(M55+N55))*100)</f>
        <v>13.04525933684468</v>
      </c>
      <c r="Q55" s="227" t="str">
        <f>IF(L56="","",IF(P57&lt;20,(IF(O55&gt;33000,IF(O55&lt;44000,"Pass","Fail"),"Fail"))))</f>
        <v>Pass</v>
      </c>
      <c r="R55" s="224">
        <v>1335</v>
      </c>
      <c r="S55" s="224" t="s">
        <v>170</v>
      </c>
      <c r="T55" s="179"/>
      <c r="U55" s="179">
        <v>19000</v>
      </c>
      <c r="V55" s="179">
        <v>49000</v>
      </c>
      <c r="W55" s="179">
        <v>33000</v>
      </c>
      <c r="X55" s="179">
        <v>44000</v>
      </c>
      <c r="Y55" s="182">
        <v>20</v>
      </c>
    </row>
    <row r="56" spans="1:25" x14ac:dyDescent="0.3">
      <c r="A56" s="178"/>
      <c r="B56" s="225"/>
      <c r="C56" s="71" t="s">
        <v>89</v>
      </c>
      <c r="D56" s="56">
        <v>18273.330000000002</v>
      </c>
      <c r="E56" s="56">
        <v>16283.65</v>
      </c>
      <c r="F56" s="56">
        <v>15870.93</v>
      </c>
      <c r="G56" s="56">
        <v>15656.52</v>
      </c>
      <c r="H56" s="56">
        <v>17035.830000000002</v>
      </c>
      <c r="I56" s="56">
        <v>15978.64</v>
      </c>
      <c r="J56" s="56">
        <v>15790.59</v>
      </c>
      <c r="K56" s="56">
        <v>15471.68</v>
      </c>
      <c r="L56" s="56">
        <v>15045.85</v>
      </c>
      <c r="M56" s="225"/>
      <c r="N56" s="225"/>
      <c r="O56" s="225"/>
      <c r="P56" s="225"/>
      <c r="Q56" s="228"/>
      <c r="R56" s="225"/>
      <c r="S56" s="225"/>
      <c r="T56" s="180"/>
      <c r="U56" s="180"/>
      <c r="V56" s="180"/>
      <c r="W56" s="180"/>
      <c r="X56" s="180"/>
      <c r="Y56" s="183"/>
    </row>
    <row r="57" spans="1:25" ht="28.8" customHeight="1" x14ac:dyDescent="0.3">
      <c r="A57" s="178"/>
      <c r="B57" s="226"/>
      <c r="C57" s="71" t="s">
        <v>123</v>
      </c>
      <c r="D57" s="71">
        <f t="shared" ref="D57:L57" si="15">IF(((D55="")*AND(D56="")),"",(D55-D56)*3)</f>
        <v>33050.009999999995</v>
      </c>
      <c r="E57" s="71">
        <f t="shared" si="15"/>
        <v>38525.43</v>
      </c>
      <c r="F57" s="71">
        <f t="shared" si="15"/>
        <v>39966.870000000003</v>
      </c>
      <c r="G57" s="71">
        <f t="shared" si="15"/>
        <v>40512.36</v>
      </c>
      <c r="H57" s="71">
        <f t="shared" si="15"/>
        <v>36815.219999999994</v>
      </c>
      <c r="I57" s="71">
        <f t="shared" si="15"/>
        <v>39916.47</v>
      </c>
      <c r="J57" s="71">
        <f t="shared" si="15"/>
        <v>40120.14</v>
      </c>
      <c r="K57" s="71">
        <f t="shared" si="15"/>
        <v>40941.660000000003</v>
      </c>
      <c r="L57" s="71">
        <f t="shared" si="15"/>
        <v>42966.57</v>
      </c>
      <c r="M57" s="226"/>
      <c r="N57" s="226"/>
      <c r="O57" s="226"/>
      <c r="P57" s="226"/>
      <c r="Q57" s="229"/>
      <c r="R57" s="226"/>
      <c r="S57" s="226"/>
      <c r="T57" s="181"/>
      <c r="U57" s="181"/>
      <c r="V57" s="181"/>
      <c r="W57" s="181"/>
      <c r="X57" s="181"/>
      <c r="Y57" s="183"/>
    </row>
    <row r="58" spans="1:25" ht="13.3" customHeight="1" x14ac:dyDescent="0.3">
      <c r="A58" s="174">
        <v>43032</v>
      </c>
      <c r="B58" s="224" t="s">
        <v>124</v>
      </c>
      <c r="C58" s="71" t="s">
        <v>88</v>
      </c>
      <c r="D58" s="56">
        <v>29393.3</v>
      </c>
      <c r="E58" s="56">
        <v>29176.32</v>
      </c>
      <c r="F58" s="56">
        <v>29193.73</v>
      </c>
      <c r="G58" s="56">
        <v>29178.17</v>
      </c>
      <c r="H58" s="56">
        <v>29394.6</v>
      </c>
      <c r="I58" s="56">
        <v>29354.63</v>
      </c>
      <c r="J58" s="56">
        <v>29189.74</v>
      </c>
      <c r="K58" s="56">
        <v>29207.24</v>
      </c>
      <c r="L58" s="56">
        <v>29390.63</v>
      </c>
      <c r="M58" s="224">
        <f>IF((L59=""),"",MAX(D60:L60))</f>
        <v>42838.41</v>
      </c>
      <c r="N58" s="224">
        <f>IF(L59="","",MIN(D60:L60))</f>
        <v>33195.479999999996</v>
      </c>
      <c r="O58" s="224">
        <f>IF((L60=""),"",AVERAGE(D60:L60))</f>
        <v>38409.72</v>
      </c>
      <c r="P58" s="224">
        <f>IF((L59=""),"",((M58-N58)/(M58+N58))*100)</f>
        <v>12.682410435662316</v>
      </c>
      <c r="Q58" s="227" t="str">
        <f>IF(L59="","",IF(P60&lt;20,(IF(O58&gt;33000,IF(O58&lt;44000,"Pass","Fail"),"Fail"))))</f>
        <v>Pass</v>
      </c>
      <c r="R58" s="224" t="s">
        <v>171</v>
      </c>
      <c r="S58" s="224" t="s">
        <v>172</v>
      </c>
      <c r="T58" s="179"/>
      <c r="U58" s="179">
        <v>19000</v>
      </c>
      <c r="V58" s="179">
        <v>49000</v>
      </c>
      <c r="W58" s="179">
        <v>33000</v>
      </c>
      <c r="X58" s="185">
        <v>44000</v>
      </c>
      <c r="Y58" s="182">
        <v>20</v>
      </c>
    </row>
    <row r="59" spans="1:25" x14ac:dyDescent="0.3">
      <c r="A59" s="175"/>
      <c r="B59" s="225"/>
      <c r="C59" s="71" t="s">
        <v>89</v>
      </c>
      <c r="D59" s="56">
        <v>18211.16</v>
      </c>
      <c r="E59" s="56">
        <v>18111.16</v>
      </c>
      <c r="F59" s="56">
        <v>15979.4</v>
      </c>
      <c r="G59" s="56">
        <v>15859.8</v>
      </c>
      <c r="H59" s="56">
        <v>17257.97</v>
      </c>
      <c r="I59" s="56">
        <v>16335.77</v>
      </c>
      <c r="J59" s="56">
        <v>16033.81</v>
      </c>
      <c r="K59" s="56">
        <v>15348.97</v>
      </c>
      <c r="L59" s="56">
        <v>15111.16</v>
      </c>
      <c r="M59" s="225"/>
      <c r="N59" s="225"/>
      <c r="O59" s="225"/>
      <c r="P59" s="225"/>
      <c r="Q59" s="228"/>
      <c r="R59" s="225"/>
      <c r="S59" s="225"/>
      <c r="T59" s="180"/>
      <c r="U59" s="180"/>
      <c r="V59" s="180"/>
      <c r="W59" s="180"/>
      <c r="X59" s="186"/>
      <c r="Y59" s="183"/>
    </row>
    <row r="60" spans="1:25" ht="27.7" customHeight="1" x14ac:dyDescent="0.3">
      <c r="A60" s="176"/>
      <c r="B60" s="226"/>
      <c r="C60" s="71" t="s">
        <v>123</v>
      </c>
      <c r="D60" s="71">
        <f t="shared" ref="D60:L60" si="16">IF(((D58="")*AND(D59="")),"",(D58-D59)*3)</f>
        <v>33546.42</v>
      </c>
      <c r="E60" s="71">
        <f t="shared" si="16"/>
        <v>33195.479999999996</v>
      </c>
      <c r="F60" s="71">
        <f t="shared" si="16"/>
        <v>39642.99</v>
      </c>
      <c r="G60" s="71">
        <f t="shared" si="16"/>
        <v>39955.11</v>
      </c>
      <c r="H60" s="71">
        <f t="shared" si="16"/>
        <v>36409.889999999992</v>
      </c>
      <c r="I60" s="71">
        <f t="shared" si="16"/>
        <v>39056.58</v>
      </c>
      <c r="J60" s="71">
        <f t="shared" si="16"/>
        <v>39467.790000000008</v>
      </c>
      <c r="K60" s="71">
        <f t="shared" si="16"/>
        <v>41574.810000000005</v>
      </c>
      <c r="L60" s="71">
        <f t="shared" si="16"/>
        <v>42838.41</v>
      </c>
      <c r="M60" s="226"/>
      <c r="N60" s="226"/>
      <c r="O60" s="226"/>
      <c r="P60" s="226"/>
      <c r="Q60" s="229"/>
      <c r="R60" s="226"/>
      <c r="S60" s="226"/>
      <c r="T60" s="181"/>
      <c r="U60" s="181"/>
      <c r="V60" s="181"/>
      <c r="W60" s="181"/>
      <c r="X60" s="187"/>
      <c r="Y60" s="184"/>
    </row>
    <row r="61" spans="1:25" x14ac:dyDescent="0.3">
      <c r="A61" s="174">
        <v>43035</v>
      </c>
      <c r="B61" s="224" t="s">
        <v>124</v>
      </c>
      <c r="C61" s="71" t="s">
        <v>88</v>
      </c>
      <c r="D61" s="56">
        <v>29273.72</v>
      </c>
      <c r="E61" s="56">
        <v>29097.47</v>
      </c>
      <c r="F61" s="56">
        <v>29146.71</v>
      </c>
      <c r="G61" s="56">
        <v>29115.32</v>
      </c>
      <c r="H61" s="56">
        <v>29400.11</v>
      </c>
      <c r="I61" s="56">
        <v>29381.360000000001</v>
      </c>
      <c r="J61" s="56">
        <v>29107.66</v>
      </c>
      <c r="K61" s="56">
        <v>29101.82</v>
      </c>
      <c r="L61" s="56">
        <v>29379.8</v>
      </c>
      <c r="M61" s="224">
        <f>IF((L62=""),"",MAX(D63:L63))</f>
        <v>50514.69</v>
      </c>
      <c r="N61" s="224">
        <f>IF(L62="","",MIN(D63:L63))</f>
        <v>33290.100000000006</v>
      </c>
      <c r="O61" s="224">
        <f>IF((L63=""),"",AVERAGE(D63:L63))</f>
        <v>39893.936666666676</v>
      </c>
      <c r="P61" s="224">
        <f>IF((L62=""),"",((M61-N61)/(M61+N61))*100)</f>
        <v>20.553228520708654</v>
      </c>
      <c r="Q61" s="227" t="str">
        <f>IF(L62="","",IF(P63&lt;20,(IF(O61&gt;33000,IF(O61&lt;44000,"Pass","Fail"),"Fail"))))</f>
        <v>Pass</v>
      </c>
      <c r="R61" s="224">
        <v>102</v>
      </c>
      <c r="S61" s="224"/>
      <c r="T61" s="179"/>
      <c r="U61" s="179">
        <v>19000</v>
      </c>
      <c r="V61" s="179">
        <v>49000</v>
      </c>
      <c r="W61" s="179">
        <v>33000</v>
      </c>
      <c r="X61" s="179">
        <v>44000</v>
      </c>
      <c r="Y61" s="182">
        <v>20</v>
      </c>
    </row>
    <row r="62" spans="1:25" x14ac:dyDescent="0.3">
      <c r="A62" s="175"/>
      <c r="B62" s="225"/>
      <c r="C62" s="71" t="s">
        <v>89</v>
      </c>
      <c r="D62" s="56">
        <v>18177.02</v>
      </c>
      <c r="E62" s="56">
        <v>16203.69</v>
      </c>
      <c r="F62" s="56">
        <v>16014.68</v>
      </c>
      <c r="G62" s="56">
        <v>15768.16</v>
      </c>
      <c r="H62" s="56">
        <v>17113.8</v>
      </c>
      <c r="I62" s="56">
        <v>16149.92</v>
      </c>
      <c r="J62" s="56">
        <v>15933.36</v>
      </c>
      <c r="K62" s="56">
        <v>15419.96</v>
      </c>
      <c r="L62" s="56">
        <v>12541.57</v>
      </c>
      <c r="M62" s="225"/>
      <c r="N62" s="225"/>
      <c r="O62" s="225"/>
      <c r="P62" s="225"/>
      <c r="Q62" s="228"/>
      <c r="R62" s="225"/>
      <c r="S62" s="225"/>
      <c r="T62" s="180"/>
      <c r="U62" s="180"/>
      <c r="V62" s="180"/>
      <c r="W62" s="180"/>
      <c r="X62" s="180"/>
      <c r="Y62" s="183"/>
    </row>
    <row r="63" spans="1:25" ht="29.35" customHeight="1" x14ac:dyDescent="0.3">
      <c r="A63" s="176"/>
      <c r="B63" s="226"/>
      <c r="C63" s="71" t="s">
        <v>123</v>
      </c>
      <c r="D63" s="71">
        <f t="shared" ref="D63:L63" si="17">IF(((D61="")*AND(D62="")),"",(D61-D62)*3)</f>
        <v>33290.100000000006</v>
      </c>
      <c r="E63" s="71">
        <f t="shared" si="17"/>
        <v>38681.340000000004</v>
      </c>
      <c r="F63" s="71">
        <f t="shared" si="17"/>
        <v>39396.089999999997</v>
      </c>
      <c r="G63" s="71">
        <f t="shared" si="17"/>
        <v>40041.479999999996</v>
      </c>
      <c r="H63" s="71">
        <f t="shared" si="17"/>
        <v>36858.930000000008</v>
      </c>
      <c r="I63" s="71">
        <f t="shared" si="17"/>
        <v>39694.32</v>
      </c>
      <c r="J63" s="71">
        <f t="shared" si="17"/>
        <v>39522.899999999994</v>
      </c>
      <c r="K63" s="71">
        <f t="shared" si="17"/>
        <v>41045.58</v>
      </c>
      <c r="L63" s="71">
        <f t="shared" si="17"/>
        <v>50514.69</v>
      </c>
      <c r="M63" s="226"/>
      <c r="N63" s="226"/>
      <c r="O63" s="226"/>
      <c r="P63" s="226"/>
      <c r="Q63" s="229"/>
      <c r="R63" s="226"/>
      <c r="S63" s="226"/>
      <c r="T63" s="181"/>
      <c r="U63" s="181"/>
      <c r="V63" s="181"/>
      <c r="W63" s="181"/>
      <c r="X63" s="181"/>
      <c r="Y63" s="183"/>
    </row>
    <row r="64" spans="1:25" x14ac:dyDescent="0.3">
      <c r="A64" s="174">
        <v>43038</v>
      </c>
      <c r="B64" s="224" t="s">
        <v>124</v>
      </c>
      <c r="C64" s="71" t="s">
        <v>88</v>
      </c>
      <c r="D64" s="56">
        <v>29375.69</v>
      </c>
      <c r="E64" s="56">
        <v>29286.51</v>
      </c>
      <c r="F64" s="56">
        <v>29279.13</v>
      </c>
      <c r="G64" s="56">
        <v>29262.02</v>
      </c>
      <c r="H64" s="56">
        <v>29451.53</v>
      </c>
      <c r="I64" s="56">
        <v>29368.34</v>
      </c>
      <c r="J64" s="56">
        <v>29275.15</v>
      </c>
      <c r="K64" s="56">
        <v>29273.99</v>
      </c>
      <c r="L64" s="56">
        <v>29489.87</v>
      </c>
      <c r="M64" s="224">
        <f>IF((L65=""),"",MAX(D66:L66))</f>
        <v>43785.09</v>
      </c>
      <c r="N64" s="224">
        <f>IF(L65="","",MIN(D66:L66))</f>
        <v>33162.149999999994</v>
      </c>
      <c r="O64" s="224">
        <f>IF((L66=""),"",AVERAGE(D66:L66))</f>
        <v>38818.646666666675</v>
      </c>
      <c r="P64" s="224">
        <f>IF((L65=""),"",((M64-N64)/(M64+N64))*100)</f>
        <v>13.805485420919586</v>
      </c>
      <c r="Q64" s="227" t="str">
        <f>IF(L65="","",IF(P66&lt;20,(IF(O64&gt;33000,IF(O64&lt;44000,"Pass","Fail"),"Fail"))))</f>
        <v>Pass</v>
      </c>
      <c r="R64" s="224">
        <v>102</v>
      </c>
      <c r="S64" s="224" t="s">
        <v>126</v>
      </c>
      <c r="T64" s="179"/>
      <c r="U64" s="179">
        <v>19000</v>
      </c>
      <c r="V64" s="179">
        <v>49000</v>
      </c>
      <c r="W64" s="179">
        <v>33000</v>
      </c>
      <c r="X64" s="185">
        <v>44000</v>
      </c>
      <c r="Y64" s="182">
        <v>20</v>
      </c>
    </row>
    <row r="65" spans="1:25" x14ac:dyDescent="0.3">
      <c r="A65" s="175"/>
      <c r="B65" s="225"/>
      <c r="C65" s="71" t="s">
        <v>89</v>
      </c>
      <c r="D65" s="56">
        <v>18321.64</v>
      </c>
      <c r="E65" s="56">
        <v>16374.79</v>
      </c>
      <c r="F65" s="56">
        <v>16226.05</v>
      </c>
      <c r="G65" s="56">
        <v>16097.71</v>
      </c>
      <c r="H65" s="56">
        <v>17426.11</v>
      </c>
      <c r="I65" s="56">
        <v>16455.82</v>
      </c>
      <c r="J65" s="56">
        <v>16234.64</v>
      </c>
      <c r="K65" s="56">
        <v>15574.69</v>
      </c>
      <c r="L65" s="56">
        <v>14894.84</v>
      </c>
      <c r="M65" s="225"/>
      <c r="N65" s="225"/>
      <c r="O65" s="225"/>
      <c r="P65" s="225"/>
      <c r="Q65" s="228"/>
      <c r="R65" s="225"/>
      <c r="S65" s="225"/>
      <c r="T65" s="180"/>
      <c r="U65" s="180"/>
      <c r="V65" s="180"/>
      <c r="W65" s="180"/>
      <c r="X65" s="186"/>
      <c r="Y65" s="183"/>
    </row>
    <row r="66" spans="1:25" ht="27.7" customHeight="1" x14ac:dyDescent="0.3">
      <c r="A66" s="176"/>
      <c r="B66" s="226"/>
      <c r="C66" s="71" t="s">
        <v>123</v>
      </c>
      <c r="D66" s="71">
        <f t="shared" ref="D66:L66" si="18">IF(((D64="")*AND(D65="")),"",(D64-D65)*3)</f>
        <v>33162.149999999994</v>
      </c>
      <c r="E66" s="71">
        <f t="shared" si="18"/>
        <v>38735.159999999989</v>
      </c>
      <c r="F66" s="71">
        <f t="shared" si="18"/>
        <v>39159.240000000005</v>
      </c>
      <c r="G66" s="71">
        <f t="shared" si="18"/>
        <v>39492.930000000008</v>
      </c>
      <c r="H66" s="71">
        <f t="shared" si="18"/>
        <v>36076.259999999995</v>
      </c>
      <c r="I66" s="71">
        <f t="shared" si="18"/>
        <v>38737.56</v>
      </c>
      <c r="J66" s="71">
        <f t="shared" si="18"/>
        <v>39121.530000000006</v>
      </c>
      <c r="K66" s="71">
        <f t="shared" si="18"/>
        <v>41097.9</v>
      </c>
      <c r="L66" s="71">
        <f t="shared" si="18"/>
        <v>43785.09</v>
      </c>
      <c r="M66" s="226"/>
      <c r="N66" s="226"/>
      <c r="O66" s="226"/>
      <c r="P66" s="226"/>
      <c r="Q66" s="229"/>
      <c r="R66" s="226"/>
      <c r="S66" s="226"/>
      <c r="T66" s="181"/>
      <c r="U66" s="181"/>
      <c r="V66" s="181"/>
      <c r="W66" s="181"/>
      <c r="X66" s="187"/>
      <c r="Y66" s="184"/>
    </row>
    <row r="67" spans="1:25" x14ac:dyDescent="0.3">
      <c r="A67" s="174">
        <v>42777</v>
      </c>
      <c r="B67" s="224" t="s">
        <v>124</v>
      </c>
      <c r="C67" s="71" t="s">
        <v>88</v>
      </c>
      <c r="D67" s="56">
        <v>29370.13</v>
      </c>
      <c r="E67" s="56">
        <v>29225.38</v>
      </c>
      <c r="F67" s="56">
        <v>29211.41</v>
      </c>
      <c r="G67" s="56">
        <v>29209.83</v>
      </c>
      <c r="H67" s="56">
        <v>29403.19</v>
      </c>
      <c r="I67" s="56">
        <v>29325.43</v>
      </c>
      <c r="J67" s="56">
        <v>29178.77</v>
      </c>
      <c r="K67" s="56">
        <v>29198.21</v>
      </c>
      <c r="L67" s="56">
        <v>29457.7</v>
      </c>
      <c r="M67" s="224">
        <f>IF((L68=""),"",MAX(D69:L69))</f>
        <v>44209.590000000004</v>
      </c>
      <c r="N67" s="224">
        <f>IF(L68="","",MIN(D69:L69))</f>
        <v>33627.899999999994</v>
      </c>
      <c r="O67" s="224">
        <f>IF((L69=""),"",AVERAGE(D69:L69))</f>
        <v>39297.473333333335</v>
      </c>
      <c r="P67" s="224">
        <f>IF((L68=""),"",((M67-N67)/(M67+N67))*100)</f>
        <v>13.594593042504338</v>
      </c>
      <c r="Q67" s="227" t="str">
        <f>IF(L68="","",IF(P69&lt;20,(IF(O67&gt;33000,IF(O67&lt;44000,"Pass","Fail"),"Fail"))))</f>
        <v>Pass</v>
      </c>
      <c r="R67" s="224">
        <v>1428</v>
      </c>
      <c r="S67" s="224" t="s">
        <v>173</v>
      </c>
      <c r="T67" s="179"/>
      <c r="U67" s="179">
        <v>19000</v>
      </c>
      <c r="V67" s="179">
        <v>49000</v>
      </c>
      <c r="W67" s="179">
        <v>33000</v>
      </c>
      <c r="X67" s="179">
        <v>44000</v>
      </c>
      <c r="Y67" s="182">
        <v>20</v>
      </c>
    </row>
    <row r="68" spans="1:25" x14ac:dyDescent="0.3">
      <c r="A68" s="175"/>
      <c r="B68" s="225"/>
      <c r="C68" s="71" t="s">
        <v>89</v>
      </c>
      <c r="D68" s="56">
        <v>18160.830000000002</v>
      </c>
      <c r="E68" s="56">
        <v>16230.46</v>
      </c>
      <c r="F68" s="56">
        <v>16046.6</v>
      </c>
      <c r="G68" s="56">
        <v>15903.53</v>
      </c>
      <c r="H68" s="56">
        <v>17204.36</v>
      </c>
      <c r="I68" s="56">
        <v>16017.98</v>
      </c>
      <c r="J68" s="56">
        <v>15934.46</v>
      </c>
      <c r="K68" s="56">
        <v>15468.24</v>
      </c>
      <c r="L68" s="56">
        <v>14721.17</v>
      </c>
      <c r="M68" s="225"/>
      <c r="N68" s="225"/>
      <c r="O68" s="225"/>
      <c r="P68" s="225"/>
      <c r="Q68" s="228"/>
      <c r="R68" s="225"/>
      <c r="S68" s="225"/>
      <c r="T68" s="180"/>
      <c r="U68" s="180"/>
      <c r="V68" s="180"/>
      <c r="W68" s="180"/>
      <c r="X68" s="180"/>
      <c r="Y68" s="183"/>
    </row>
    <row r="69" spans="1:25" ht="26.05" customHeight="1" x14ac:dyDescent="0.3">
      <c r="A69" s="176"/>
      <c r="B69" s="226"/>
      <c r="C69" s="71" t="s">
        <v>123</v>
      </c>
      <c r="D69" s="71">
        <f t="shared" ref="D69:L69" si="19">IF(((D67="")*AND(D68="")),"",(D67-D68)*3)</f>
        <v>33627.899999999994</v>
      </c>
      <c r="E69" s="71">
        <f t="shared" si="19"/>
        <v>38984.760000000009</v>
      </c>
      <c r="F69" s="71">
        <f t="shared" si="19"/>
        <v>39494.43</v>
      </c>
      <c r="G69" s="71">
        <f t="shared" si="19"/>
        <v>39918.9</v>
      </c>
      <c r="H69" s="71">
        <f t="shared" si="19"/>
        <v>36596.489999999991</v>
      </c>
      <c r="I69" s="71">
        <f t="shared" si="19"/>
        <v>39922.350000000006</v>
      </c>
      <c r="J69" s="71">
        <f t="shared" si="19"/>
        <v>39732.930000000008</v>
      </c>
      <c r="K69" s="71">
        <f t="shared" si="19"/>
        <v>41189.909999999996</v>
      </c>
      <c r="L69" s="71">
        <f t="shared" si="19"/>
        <v>44209.590000000004</v>
      </c>
      <c r="M69" s="226"/>
      <c r="N69" s="226"/>
      <c r="O69" s="226"/>
      <c r="P69" s="226"/>
      <c r="Q69" s="229"/>
      <c r="R69" s="226"/>
      <c r="S69" s="226"/>
      <c r="T69" s="181"/>
      <c r="U69" s="181"/>
      <c r="V69" s="181"/>
      <c r="W69" s="181"/>
      <c r="X69" s="181"/>
      <c r="Y69" s="183"/>
    </row>
    <row r="70" spans="1:25" x14ac:dyDescent="0.3">
      <c r="A70" s="174">
        <v>43045</v>
      </c>
      <c r="B70" s="224" t="s">
        <v>124</v>
      </c>
      <c r="C70" s="71" t="s">
        <v>88</v>
      </c>
      <c r="D70" s="56">
        <v>29389</v>
      </c>
      <c r="E70" s="56">
        <v>29265.32</v>
      </c>
      <c r="F70" s="56">
        <v>29351.81</v>
      </c>
      <c r="G70" s="56">
        <v>29224.86</v>
      </c>
      <c r="H70" s="56">
        <v>29488.06</v>
      </c>
      <c r="I70" s="56">
        <v>29381.48</v>
      </c>
      <c r="J70" s="56">
        <v>27030.13</v>
      </c>
      <c r="K70" s="56">
        <v>29249.88</v>
      </c>
      <c r="L70" s="56">
        <v>29476.22</v>
      </c>
      <c r="M70" s="224">
        <f>IF((L71=""),"",MAX(D72:L72))</f>
        <v>43264.950000000004</v>
      </c>
      <c r="N70" s="224">
        <f>IF(L71="","",MIN(D72:L72))</f>
        <v>34849.56</v>
      </c>
      <c r="O70" s="224">
        <f>IF((L72=""),"",AVERAGE(D72:L72))</f>
        <v>39327.853333333347</v>
      </c>
      <c r="P70" s="224">
        <f>IF((L71=""),"",((M70-N70)/(M70+N70))*100)</f>
        <v>10.77314573182371</v>
      </c>
      <c r="Q70" s="227" t="str">
        <f>IF(L71="","",IF(P72&lt;20,(IF(O70&gt;33000,IF(O70&lt;44000,"Pass","Fail"),"Fail"))))</f>
        <v>Pass</v>
      </c>
      <c r="R70" s="224">
        <v>102</v>
      </c>
      <c r="S70" s="224" t="s">
        <v>174</v>
      </c>
      <c r="T70" s="179"/>
      <c r="U70" s="179">
        <v>19000</v>
      </c>
      <c r="V70" s="179">
        <v>49000</v>
      </c>
      <c r="W70" s="179">
        <v>33000</v>
      </c>
      <c r="X70" s="179">
        <v>44000</v>
      </c>
      <c r="Y70" s="182">
        <v>20</v>
      </c>
    </row>
    <row r="71" spans="1:25" x14ac:dyDescent="0.3">
      <c r="A71" s="175"/>
      <c r="B71" s="225"/>
      <c r="C71" s="71" t="s">
        <v>89</v>
      </c>
      <c r="D71" s="56">
        <v>17772.48</v>
      </c>
      <c r="E71" s="56">
        <v>16097.31</v>
      </c>
      <c r="F71" s="56">
        <v>16085.08</v>
      </c>
      <c r="G71" s="56">
        <v>15796.86</v>
      </c>
      <c r="H71" s="56">
        <v>17160.25</v>
      </c>
      <c r="I71" s="56">
        <v>15184.39</v>
      </c>
      <c r="J71" s="56">
        <v>15174.39</v>
      </c>
      <c r="K71" s="56">
        <v>15547.87</v>
      </c>
      <c r="L71" s="56">
        <v>15054.57</v>
      </c>
      <c r="M71" s="225"/>
      <c r="N71" s="225"/>
      <c r="O71" s="225"/>
      <c r="P71" s="225"/>
      <c r="Q71" s="228"/>
      <c r="R71" s="225"/>
      <c r="S71" s="225"/>
      <c r="T71" s="180"/>
      <c r="U71" s="180"/>
      <c r="V71" s="180"/>
      <c r="W71" s="180"/>
      <c r="X71" s="180"/>
      <c r="Y71" s="183"/>
    </row>
    <row r="72" spans="1:25" ht="27.7" customHeight="1" x14ac:dyDescent="0.3">
      <c r="A72" s="176"/>
      <c r="B72" s="226"/>
      <c r="C72" s="71" t="s">
        <v>123</v>
      </c>
      <c r="D72" s="71">
        <f t="shared" ref="D72:L72" si="20">IF(((D70="")*AND(D71="")),"",(D70-D71)*3)</f>
        <v>34849.56</v>
      </c>
      <c r="E72" s="71">
        <f t="shared" si="20"/>
        <v>39504.03</v>
      </c>
      <c r="F72" s="71">
        <f t="shared" si="20"/>
        <v>39800.19</v>
      </c>
      <c r="G72" s="71">
        <f t="shared" si="20"/>
        <v>40284</v>
      </c>
      <c r="H72" s="71">
        <f t="shared" si="20"/>
        <v>36983.430000000008</v>
      </c>
      <c r="I72" s="71">
        <f t="shared" si="20"/>
        <v>42591.270000000004</v>
      </c>
      <c r="J72" s="71">
        <f t="shared" si="20"/>
        <v>35567.22</v>
      </c>
      <c r="K72" s="71">
        <f t="shared" si="20"/>
        <v>41106.03</v>
      </c>
      <c r="L72" s="71">
        <f t="shared" si="20"/>
        <v>43264.950000000004</v>
      </c>
      <c r="M72" s="226"/>
      <c r="N72" s="226"/>
      <c r="O72" s="226"/>
      <c r="P72" s="226"/>
      <c r="Q72" s="229"/>
      <c r="R72" s="226"/>
      <c r="S72" s="226"/>
      <c r="T72" s="181"/>
      <c r="U72" s="181"/>
      <c r="V72" s="181"/>
      <c r="W72" s="181"/>
      <c r="X72" s="181"/>
      <c r="Y72" s="183"/>
    </row>
    <row r="73" spans="1:25" x14ac:dyDescent="0.3">
      <c r="A73" s="174">
        <v>43048</v>
      </c>
      <c r="B73" s="224" t="s">
        <v>124</v>
      </c>
      <c r="C73" s="71" t="s">
        <v>88</v>
      </c>
      <c r="D73" s="56">
        <v>29335.59</v>
      </c>
      <c r="E73" s="56">
        <v>29218.89</v>
      </c>
      <c r="F73" s="56">
        <v>29239.34</v>
      </c>
      <c r="G73" s="56">
        <v>29218.69</v>
      </c>
      <c r="H73" s="56">
        <v>29397.64</v>
      </c>
      <c r="I73" s="56">
        <v>29296.83</v>
      </c>
      <c r="J73" s="56">
        <v>29203.78</v>
      </c>
      <c r="K73" s="56">
        <v>29173.73</v>
      </c>
      <c r="L73" s="56">
        <v>29476.91</v>
      </c>
      <c r="M73" s="224">
        <f>IF((L74=""),"",MAX(D75:L75))</f>
        <v>43780.800000000003</v>
      </c>
      <c r="N73" s="224">
        <f>IF(L74="","",MIN(D75:L75))</f>
        <v>33446.910000000003</v>
      </c>
      <c r="O73" s="224">
        <f>IF((L75=""),"",AVERAGE(D75:L75))</f>
        <v>39177.586666666662</v>
      </c>
      <c r="P73" s="224">
        <f>IF((L74=""),"",((M73-N73)/(M73+N73))*100)</f>
        <v>13.381064905329964</v>
      </c>
      <c r="Q73" s="227" t="str">
        <f>IF(L74="","",IF(P75&lt;20,(IF(O73&gt;33000,IF(O73&lt;44000,"Pass","Fail"),"Fail"))))</f>
        <v>Pass</v>
      </c>
      <c r="R73" s="224">
        <v>1159</v>
      </c>
      <c r="S73" s="224" t="s">
        <v>175</v>
      </c>
      <c r="T73" s="179"/>
      <c r="U73" s="179">
        <v>19000</v>
      </c>
      <c r="V73" s="179">
        <v>49000</v>
      </c>
      <c r="W73" s="179">
        <v>33000</v>
      </c>
      <c r="X73" s="185">
        <v>44000</v>
      </c>
      <c r="Y73" s="182">
        <v>20</v>
      </c>
    </row>
    <row r="74" spans="1:25" x14ac:dyDescent="0.3">
      <c r="A74" s="175"/>
      <c r="B74" s="225"/>
      <c r="C74" s="71" t="s">
        <v>89</v>
      </c>
      <c r="D74" s="56">
        <v>18186.62</v>
      </c>
      <c r="E74" s="56">
        <v>16308.71</v>
      </c>
      <c r="F74" s="56">
        <v>16096.63</v>
      </c>
      <c r="G74" s="56">
        <v>15880.48</v>
      </c>
      <c r="H74" s="56">
        <v>17138.93</v>
      </c>
      <c r="I74" s="56">
        <v>16057.04</v>
      </c>
      <c r="J74" s="56">
        <v>16010.49</v>
      </c>
      <c r="K74" s="56">
        <v>15466.43</v>
      </c>
      <c r="L74" s="56">
        <v>14883.31</v>
      </c>
      <c r="M74" s="225"/>
      <c r="N74" s="225"/>
      <c r="O74" s="225"/>
      <c r="P74" s="225"/>
      <c r="Q74" s="228"/>
      <c r="R74" s="225"/>
      <c r="S74" s="225"/>
      <c r="T74" s="180"/>
      <c r="U74" s="180"/>
      <c r="V74" s="180"/>
      <c r="W74" s="180"/>
      <c r="X74" s="186"/>
      <c r="Y74" s="183"/>
    </row>
    <row r="75" spans="1:25" ht="26.05" customHeight="1" x14ac:dyDescent="0.3">
      <c r="A75" s="176"/>
      <c r="B75" s="226"/>
      <c r="C75" s="71" t="s">
        <v>123</v>
      </c>
      <c r="D75" s="71">
        <f t="shared" ref="D75:L75" si="21">IF(((D73="")*AND(D74="")),"",(D73-D74)*3)</f>
        <v>33446.910000000003</v>
      </c>
      <c r="E75" s="71">
        <f t="shared" si="21"/>
        <v>38730.54</v>
      </c>
      <c r="F75" s="71">
        <f t="shared" si="21"/>
        <v>39428.130000000005</v>
      </c>
      <c r="G75" s="71">
        <f t="shared" si="21"/>
        <v>40014.629999999997</v>
      </c>
      <c r="H75" s="71">
        <f t="shared" si="21"/>
        <v>36776.129999999997</v>
      </c>
      <c r="I75" s="71">
        <f t="shared" si="21"/>
        <v>39719.370000000003</v>
      </c>
      <c r="J75" s="71">
        <f t="shared" si="21"/>
        <v>39579.869999999995</v>
      </c>
      <c r="K75" s="71">
        <f t="shared" si="21"/>
        <v>41121.899999999994</v>
      </c>
      <c r="L75" s="71">
        <f t="shared" si="21"/>
        <v>43780.800000000003</v>
      </c>
      <c r="M75" s="226"/>
      <c r="N75" s="226"/>
      <c r="O75" s="226"/>
      <c r="P75" s="226"/>
      <c r="Q75" s="229"/>
      <c r="R75" s="226"/>
      <c r="S75" s="226"/>
      <c r="T75" s="181"/>
      <c r="U75" s="181"/>
      <c r="V75" s="181"/>
      <c r="W75" s="181"/>
      <c r="X75" s="187"/>
      <c r="Y75" s="184"/>
    </row>
    <row r="76" spans="1:25" x14ac:dyDescent="0.3">
      <c r="A76" s="174">
        <v>43052</v>
      </c>
      <c r="B76" s="224" t="s">
        <v>124</v>
      </c>
      <c r="C76" s="71" t="s">
        <v>88</v>
      </c>
      <c r="D76" s="56">
        <v>29301.42</v>
      </c>
      <c r="E76" s="56">
        <v>29155.79</v>
      </c>
      <c r="F76" s="56">
        <v>29226.68</v>
      </c>
      <c r="G76" s="56">
        <v>29954.1</v>
      </c>
      <c r="H76" s="56">
        <v>29405.56</v>
      </c>
      <c r="I76" s="56">
        <v>29388.71</v>
      </c>
      <c r="J76" s="56">
        <v>29200.48</v>
      </c>
      <c r="K76" s="56">
        <v>29166.83</v>
      </c>
      <c r="L76" s="56">
        <v>29388.41</v>
      </c>
      <c r="M76" s="224">
        <f>IF((L77=""),"",MAX(D78:L78))</f>
        <v>44002.68</v>
      </c>
      <c r="N76" s="224">
        <f>IF(L77="","",MIN(D78:L78))</f>
        <v>36310.260000000009</v>
      </c>
      <c r="O76" s="224">
        <f>IF((L78=""),"",AVERAGE(D78:L78))</f>
        <v>40387.256666666668</v>
      </c>
      <c r="P76" s="224">
        <f>IF((L77=""),"",((M76-N76)/(M76+N76))*100)</f>
        <v>9.5780580314952868</v>
      </c>
      <c r="Q76" s="227" t="str">
        <f>IF(L77="","",IF(P78&lt;20,(IF(O76&gt;33000,IF(O76&lt;44000,"Pass","Fail"),"Fail"))))</f>
        <v>Pass</v>
      </c>
      <c r="R76" s="224">
        <v>1335</v>
      </c>
      <c r="S76" s="224" t="s">
        <v>175</v>
      </c>
      <c r="T76" s="179"/>
      <c r="U76" s="179">
        <v>19000</v>
      </c>
      <c r="V76" s="179">
        <v>49000</v>
      </c>
      <c r="W76" s="179">
        <v>33000</v>
      </c>
      <c r="X76" s="179">
        <v>44000</v>
      </c>
      <c r="Y76" s="182">
        <v>20</v>
      </c>
    </row>
    <row r="77" spans="1:25" x14ac:dyDescent="0.3">
      <c r="A77" s="175"/>
      <c r="B77" s="225"/>
      <c r="C77" s="71" t="s">
        <v>89</v>
      </c>
      <c r="D77" s="56">
        <v>15728.35</v>
      </c>
      <c r="E77" s="56">
        <v>16110.91</v>
      </c>
      <c r="F77" s="56">
        <v>15958.58</v>
      </c>
      <c r="G77" s="56">
        <v>15853.43</v>
      </c>
      <c r="H77" s="56">
        <v>17302.14</v>
      </c>
      <c r="I77" s="56">
        <v>16119.81</v>
      </c>
      <c r="J77" s="56">
        <v>15869.07</v>
      </c>
      <c r="K77" s="56">
        <v>15363.07</v>
      </c>
      <c r="L77" s="56">
        <v>14720.85</v>
      </c>
      <c r="M77" s="225"/>
      <c r="N77" s="225"/>
      <c r="O77" s="225"/>
      <c r="P77" s="225"/>
      <c r="Q77" s="228"/>
      <c r="R77" s="225"/>
      <c r="S77" s="225"/>
      <c r="T77" s="180"/>
      <c r="U77" s="180"/>
      <c r="V77" s="180"/>
      <c r="W77" s="180"/>
      <c r="X77" s="180"/>
      <c r="Y77" s="183"/>
    </row>
    <row r="78" spans="1:25" ht="27.15" customHeight="1" x14ac:dyDescent="0.3">
      <c r="A78" s="176"/>
      <c r="B78" s="226"/>
      <c r="C78" s="71" t="s">
        <v>123</v>
      </c>
      <c r="D78" s="71">
        <f t="shared" ref="D78:L78" si="22">IF(((D76="")*AND(D77="")),"",(D76-D77)*3)</f>
        <v>40719.209999999992</v>
      </c>
      <c r="E78" s="71">
        <f t="shared" si="22"/>
        <v>39134.639999999999</v>
      </c>
      <c r="F78" s="71">
        <f t="shared" si="22"/>
        <v>39804.300000000003</v>
      </c>
      <c r="G78" s="71">
        <f t="shared" si="22"/>
        <v>42302.009999999995</v>
      </c>
      <c r="H78" s="71">
        <f t="shared" si="22"/>
        <v>36310.260000000009</v>
      </c>
      <c r="I78" s="71">
        <f t="shared" si="22"/>
        <v>39806.699999999997</v>
      </c>
      <c r="J78" s="71">
        <f t="shared" si="22"/>
        <v>39994.229999999996</v>
      </c>
      <c r="K78" s="71">
        <f t="shared" si="22"/>
        <v>41411.280000000006</v>
      </c>
      <c r="L78" s="71">
        <f t="shared" si="22"/>
        <v>44002.68</v>
      </c>
      <c r="M78" s="226"/>
      <c r="N78" s="226"/>
      <c r="O78" s="226"/>
      <c r="P78" s="226"/>
      <c r="Q78" s="229"/>
      <c r="R78" s="226"/>
      <c r="S78" s="226"/>
      <c r="T78" s="181"/>
      <c r="U78" s="181"/>
      <c r="V78" s="181"/>
      <c r="W78" s="181"/>
      <c r="X78" s="181"/>
      <c r="Y78" s="183"/>
    </row>
    <row r="79" spans="1:25" x14ac:dyDescent="0.3">
      <c r="A79" s="174">
        <v>43055</v>
      </c>
      <c r="B79" s="224" t="s">
        <v>124</v>
      </c>
      <c r="C79" s="71" t="s">
        <v>88</v>
      </c>
      <c r="D79" s="56">
        <v>29294.080000000002</v>
      </c>
      <c r="E79" s="56">
        <v>29135.84</v>
      </c>
      <c r="F79" s="56">
        <v>29170.04</v>
      </c>
      <c r="G79" s="56">
        <v>29135.35</v>
      </c>
      <c r="H79" s="56">
        <v>29337.05</v>
      </c>
      <c r="I79" s="56">
        <v>29323.45</v>
      </c>
      <c r="J79" s="56">
        <v>29064.44</v>
      </c>
      <c r="K79" s="56">
        <v>29172.04</v>
      </c>
      <c r="L79" s="56">
        <v>29360.14</v>
      </c>
      <c r="M79" s="224">
        <f>IF((L80=""),"",MAX(D81:L81))</f>
        <v>42376.38</v>
      </c>
      <c r="N79" s="224">
        <f>IF(L80="","",MIN(D81:L81))</f>
        <v>34414.530000000006</v>
      </c>
      <c r="O79" s="224">
        <f>IF((L81=""),"",AVERAGE(D81:L81))</f>
        <v>39130.99</v>
      </c>
      <c r="P79" s="224">
        <f>IF((L80=""),"",((M79-N79)/(M79+N79))*100)</f>
        <v>10.368219363463711</v>
      </c>
      <c r="Q79" s="227" t="str">
        <f>IF(L80="","",IF(P81&lt;20,(IF(O79&gt;33000,IF(O79&lt;44000,"Pass","Fail"),"Fail"))))</f>
        <v>Pass</v>
      </c>
      <c r="R79" s="224">
        <v>121</v>
      </c>
      <c r="S79" s="224"/>
      <c r="T79" s="179"/>
      <c r="U79" s="179">
        <v>19000</v>
      </c>
      <c r="V79" s="179">
        <v>49000</v>
      </c>
      <c r="W79" s="179">
        <v>33000</v>
      </c>
      <c r="X79" s="185">
        <v>44000</v>
      </c>
      <c r="Y79" s="182">
        <v>20</v>
      </c>
    </row>
    <row r="80" spans="1:25" x14ac:dyDescent="0.3">
      <c r="A80" s="175"/>
      <c r="B80" s="225"/>
      <c r="C80" s="71" t="s">
        <v>89</v>
      </c>
      <c r="D80" s="56">
        <v>17822.57</v>
      </c>
      <c r="E80" s="56">
        <v>16057.49</v>
      </c>
      <c r="F80" s="56">
        <v>16016.43</v>
      </c>
      <c r="G80" s="56">
        <v>15776.71</v>
      </c>
      <c r="H80" s="56">
        <v>17208.45</v>
      </c>
      <c r="I80" s="56">
        <v>15957.69</v>
      </c>
      <c r="J80" s="56">
        <v>15960.75</v>
      </c>
      <c r="K80" s="56">
        <v>15564.69</v>
      </c>
      <c r="L80" s="56">
        <v>15234.68</v>
      </c>
      <c r="M80" s="225"/>
      <c r="N80" s="225"/>
      <c r="O80" s="225"/>
      <c r="P80" s="225"/>
      <c r="Q80" s="228"/>
      <c r="R80" s="225"/>
      <c r="S80" s="225"/>
      <c r="T80" s="180"/>
      <c r="U80" s="180"/>
      <c r="V80" s="180"/>
      <c r="W80" s="180"/>
      <c r="X80" s="186"/>
      <c r="Y80" s="183"/>
    </row>
    <row r="81" spans="1:25" ht="27.15" customHeight="1" x14ac:dyDescent="0.3">
      <c r="A81" s="176"/>
      <c r="B81" s="226"/>
      <c r="C81" s="71" t="s">
        <v>123</v>
      </c>
      <c r="D81" s="71">
        <f t="shared" ref="D81:L81" si="23">IF(((D79="")*AND(D80="")),"",(D79-D80)*3)</f>
        <v>34414.530000000006</v>
      </c>
      <c r="E81" s="71">
        <f t="shared" si="23"/>
        <v>39235.050000000003</v>
      </c>
      <c r="F81" s="71">
        <f t="shared" si="23"/>
        <v>39460.83</v>
      </c>
      <c r="G81" s="71">
        <f t="shared" si="23"/>
        <v>40075.919999999998</v>
      </c>
      <c r="H81" s="71">
        <f t="shared" si="23"/>
        <v>36385.799999999996</v>
      </c>
      <c r="I81" s="71">
        <f t="shared" si="23"/>
        <v>40097.279999999999</v>
      </c>
      <c r="J81" s="71">
        <f t="shared" si="23"/>
        <v>39311.069999999992</v>
      </c>
      <c r="K81" s="71">
        <f t="shared" si="23"/>
        <v>40822.050000000003</v>
      </c>
      <c r="L81" s="71">
        <f t="shared" si="23"/>
        <v>42376.38</v>
      </c>
      <c r="M81" s="226"/>
      <c r="N81" s="226"/>
      <c r="O81" s="226"/>
      <c r="P81" s="226"/>
      <c r="Q81" s="229"/>
      <c r="R81" s="226"/>
      <c r="S81" s="226"/>
      <c r="T81" s="181"/>
      <c r="U81" s="181"/>
      <c r="V81" s="181"/>
      <c r="W81" s="181"/>
      <c r="X81" s="187"/>
      <c r="Y81" s="184"/>
    </row>
    <row r="82" spans="1:25" x14ac:dyDescent="0.3">
      <c r="A82" s="174">
        <v>43060</v>
      </c>
      <c r="B82" s="224" t="s">
        <v>124</v>
      </c>
      <c r="C82" s="71" t="s">
        <v>88</v>
      </c>
      <c r="D82" s="56">
        <v>29452.27</v>
      </c>
      <c r="E82" s="56">
        <v>29271.09</v>
      </c>
      <c r="F82" s="56">
        <v>29302.97</v>
      </c>
      <c r="G82" s="56">
        <v>29268.28</v>
      </c>
      <c r="H82" s="56">
        <v>29491.37</v>
      </c>
      <c r="I82" s="56">
        <v>29423.23</v>
      </c>
      <c r="J82" s="56">
        <v>29266.51</v>
      </c>
      <c r="K82" s="56">
        <v>29275.73</v>
      </c>
      <c r="L82" s="56">
        <v>29513.91</v>
      </c>
      <c r="M82" s="224">
        <f>IF((L83=""),"",MAX(D84:L84))</f>
        <v>42878.55</v>
      </c>
      <c r="N82" s="224">
        <f>IF(L83="","",MIN(D84:L84))</f>
        <v>32485.470000000005</v>
      </c>
      <c r="O82" s="224">
        <f>IF((L84=""),"",AVERAGE(D84:L84))</f>
        <v>38642.636666666665</v>
      </c>
      <c r="P82" s="224">
        <f>IF((L83=""),"",((M82-N82)/(M82+N82))*100)</f>
        <v>13.790506398145954</v>
      </c>
      <c r="Q82" s="227" t="str">
        <f>IF(L83="","",IF(P84&lt;20,(IF(O82&gt;33000,IF(O82&lt;44000,"Pass","Fail"),"Fail"))))</f>
        <v>Pass</v>
      </c>
      <c r="R82" s="224">
        <v>121</v>
      </c>
      <c r="S82" s="224"/>
      <c r="T82" s="179"/>
      <c r="U82" s="179">
        <v>19000</v>
      </c>
      <c r="V82" s="179">
        <v>49000</v>
      </c>
      <c r="W82" s="179">
        <v>33000</v>
      </c>
      <c r="X82" s="179">
        <v>44000</v>
      </c>
      <c r="Y82" s="182">
        <v>20</v>
      </c>
    </row>
    <row r="83" spans="1:25" x14ac:dyDescent="0.3">
      <c r="A83" s="175"/>
      <c r="B83" s="225"/>
      <c r="C83" s="71" t="s">
        <v>89</v>
      </c>
      <c r="D83" s="56">
        <v>18623.78</v>
      </c>
      <c r="E83" s="56">
        <v>16485.62</v>
      </c>
      <c r="F83" s="56">
        <v>16197.44</v>
      </c>
      <c r="G83" s="56">
        <v>15962.46</v>
      </c>
      <c r="H83" s="56">
        <v>17396.669999999998</v>
      </c>
      <c r="I83" s="56">
        <v>16620.72</v>
      </c>
      <c r="J83" s="56">
        <v>16252.58</v>
      </c>
      <c r="K83" s="56">
        <v>15577.12</v>
      </c>
      <c r="L83" s="56">
        <v>15221.06</v>
      </c>
      <c r="M83" s="225"/>
      <c r="N83" s="225"/>
      <c r="O83" s="225"/>
      <c r="P83" s="225"/>
      <c r="Q83" s="228"/>
      <c r="R83" s="225"/>
      <c r="S83" s="225"/>
      <c r="T83" s="180"/>
      <c r="U83" s="180"/>
      <c r="V83" s="180"/>
      <c r="W83" s="180"/>
      <c r="X83" s="180"/>
      <c r="Y83" s="183"/>
    </row>
    <row r="84" spans="1:25" ht="25.5" customHeight="1" x14ac:dyDescent="0.3">
      <c r="A84" s="176"/>
      <c r="B84" s="226"/>
      <c r="C84" s="71" t="s">
        <v>123</v>
      </c>
      <c r="D84" s="71">
        <f t="shared" ref="D84:L84" si="24">IF(((D82="")*AND(D83="")),"",(D82-D83)*3)</f>
        <v>32485.470000000005</v>
      </c>
      <c r="E84" s="71">
        <f t="shared" si="24"/>
        <v>38356.410000000003</v>
      </c>
      <c r="F84" s="71">
        <f t="shared" si="24"/>
        <v>39316.590000000004</v>
      </c>
      <c r="G84" s="71">
        <f t="shared" si="24"/>
        <v>39917.46</v>
      </c>
      <c r="H84" s="71">
        <f t="shared" si="24"/>
        <v>36284.100000000006</v>
      </c>
      <c r="I84" s="71">
        <f t="shared" si="24"/>
        <v>38407.53</v>
      </c>
      <c r="J84" s="71">
        <f t="shared" si="24"/>
        <v>39041.789999999994</v>
      </c>
      <c r="K84" s="71">
        <f t="shared" si="24"/>
        <v>41095.829999999994</v>
      </c>
      <c r="L84" s="71">
        <f t="shared" si="24"/>
        <v>42878.55</v>
      </c>
      <c r="M84" s="226"/>
      <c r="N84" s="226"/>
      <c r="O84" s="226"/>
      <c r="P84" s="226"/>
      <c r="Q84" s="229"/>
      <c r="R84" s="226"/>
      <c r="S84" s="226"/>
      <c r="T84" s="181"/>
      <c r="U84" s="181"/>
      <c r="V84" s="181"/>
      <c r="W84" s="181"/>
      <c r="X84" s="181"/>
      <c r="Y84" s="183"/>
    </row>
    <row r="85" spans="1:25" x14ac:dyDescent="0.3">
      <c r="A85" s="174">
        <v>43063</v>
      </c>
      <c r="B85" s="224" t="s">
        <v>124</v>
      </c>
      <c r="C85" s="71" t="s">
        <v>88</v>
      </c>
      <c r="D85" s="56">
        <v>29418.080000000002</v>
      </c>
      <c r="E85" s="56">
        <v>29227.16</v>
      </c>
      <c r="F85" s="56">
        <v>29238.2</v>
      </c>
      <c r="G85" s="56">
        <v>29218.65</v>
      </c>
      <c r="H85" s="56">
        <v>29588.799999999999</v>
      </c>
      <c r="I85" s="56">
        <v>29450.7</v>
      </c>
      <c r="J85" s="56">
        <v>29214</v>
      </c>
      <c r="K85" s="56">
        <v>29217.7</v>
      </c>
      <c r="L85" s="56">
        <v>29523.87</v>
      </c>
      <c r="M85" s="224">
        <f>IF((L86=""),"",MAX(D87:L87))</f>
        <v>43652.639999999999</v>
      </c>
      <c r="N85" s="224">
        <f>IF(L86="","",MIN(D87:L87))</f>
        <v>33418.080000000002</v>
      </c>
      <c r="O85" s="224">
        <f>IF((L87=""),"",AVERAGE(D87:L87))</f>
        <v>40085.54</v>
      </c>
      <c r="P85" s="224">
        <f>IF((L86=""),"",((M85-N85)/(M85+N85))*100)</f>
        <v>13.279439974091325</v>
      </c>
      <c r="Q85" s="227" t="str">
        <f>IF(L86="","",IF(P87&lt;20,(IF(O85&gt;33000,IF(O85&lt;44000,"Pass","Fail"),"Fail"))))</f>
        <v>Pass</v>
      </c>
      <c r="R85" s="224" t="s">
        <v>127</v>
      </c>
      <c r="S85" s="224" t="s">
        <v>176</v>
      </c>
      <c r="T85" s="179"/>
      <c r="U85" s="179">
        <v>19000</v>
      </c>
      <c r="V85" s="179">
        <v>49000</v>
      </c>
      <c r="W85" s="179">
        <v>33000</v>
      </c>
      <c r="X85" s="179">
        <v>44000</v>
      </c>
      <c r="Y85" s="182">
        <v>20</v>
      </c>
    </row>
    <row r="86" spans="1:25" x14ac:dyDescent="0.3">
      <c r="A86" s="175"/>
      <c r="B86" s="225"/>
      <c r="C86" s="71" t="s">
        <v>89</v>
      </c>
      <c r="D86" s="56">
        <v>18278.72</v>
      </c>
      <c r="E86" s="56">
        <v>15961.44</v>
      </c>
      <c r="F86" s="56">
        <v>15521.53</v>
      </c>
      <c r="G86" s="56">
        <v>15353.82</v>
      </c>
      <c r="H86" s="56">
        <v>17192.009999999998</v>
      </c>
      <c r="I86" s="56">
        <v>15922.13</v>
      </c>
      <c r="J86" s="56">
        <v>15481.24</v>
      </c>
      <c r="K86" s="56">
        <v>15156.66</v>
      </c>
      <c r="L86" s="56">
        <v>14972.99</v>
      </c>
      <c r="M86" s="225"/>
      <c r="N86" s="225"/>
      <c r="O86" s="225"/>
      <c r="P86" s="225"/>
      <c r="Q86" s="228"/>
      <c r="R86" s="225"/>
      <c r="S86" s="225"/>
      <c r="T86" s="180"/>
      <c r="U86" s="180"/>
      <c r="V86" s="180"/>
      <c r="W86" s="180"/>
      <c r="X86" s="180"/>
      <c r="Y86" s="183"/>
    </row>
    <row r="87" spans="1:25" ht="27.7" customHeight="1" x14ac:dyDescent="0.3">
      <c r="A87" s="176"/>
      <c r="B87" s="226"/>
      <c r="C87" s="71" t="s">
        <v>123</v>
      </c>
      <c r="D87" s="71">
        <f t="shared" ref="D87:L87" si="25">IF(((D85="")*AND(D86="")),"",(D85-D86)*3)</f>
        <v>33418.080000000002</v>
      </c>
      <c r="E87" s="71">
        <f t="shared" si="25"/>
        <v>39797.159999999996</v>
      </c>
      <c r="F87" s="71">
        <f t="shared" si="25"/>
        <v>41150.01</v>
      </c>
      <c r="G87" s="71">
        <f t="shared" si="25"/>
        <v>41594.490000000005</v>
      </c>
      <c r="H87" s="71">
        <f t="shared" si="25"/>
        <v>37190.370000000003</v>
      </c>
      <c r="I87" s="71">
        <f t="shared" si="25"/>
        <v>40585.710000000006</v>
      </c>
      <c r="J87" s="71">
        <f t="shared" si="25"/>
        <v>41198.28</v>
      </c>
      <c r="K87" s="71">
        <f t="shared" si="25"/>
        <v>42183.12</v>
      </c>
      <c r="L87" s="71">
        <f t="shared" si="25"/>
        <v>43652.639999999999</v>
      </c>
      <c r="M87" s="226"/>
      <c r="N87" s="226"/>
      <c r="O87" s="226"/>
      <c r="P87" s="226"/>
      <c r="Q87" s="229"/>
      <c r="R87" s="226"/>
      <c r="S87" s="226"/>
      <c r="T87" s="181"/>
      <c r="U87" s="181"/>
      <c r="V87" s="181"/>
      <c r="W87" s="181"/>
      <c r="X87" s="181"/>
      <c r="Y87" s="183"/>
    </row>
    <row r="88" spans="1:25" x14ac:dyDescent="0.3">
      <c r="A88" s="174">
        <v>43069</v>
      </c>
      <c r="B88" s="224" t="s">
        <v>124</v>
      </c>
      <c r="C88" s="71" t="s">
        <v>88</v>
      </c>
      <c r="D88" s="56">
        <v>29440.55</v>
      </c>
      <c r="E88" s="56">
        <v>29287.4</v>
      </c>
      <c r="F88" s="56">
        <v>29337.3</v>
      </c>
      <c r="G88" s="56">
        <v>29287.32</v>
      </c>
      <c r="H88" s="56">
        <v>29494.95</v>
      </c>
      <c r="I88" s="56">
        <v>29435.48</v>
      </c>
      <c r="J88" s="56">
        <v>29265.37</v>
      </c>
      <c r="K88" s="56">
        <v>29298.39</v>
      </c>
      <c r="L88" s="56">
        <v>29517.89</v>
      </c>
      <c r="M88" s="224">
        <f>IF((L89=""),"",MAX(D90:L90))</f>
        <v>44046.149999999994</v>
      </c>
      <c r="N88" s="224">
        <f>IF(L89="","",MIN(D90:L90))</f>
        <v>33585.719999999994</v>
      </c>
      <c r="O88" s="224">
        <f>IF((L90=""),"",AVERAGE(D90:L90))</f>
        <v>39763.33666666667</v>
      </c>
      <c r="P88" s="224">
        <f>IF((L89=""),"",((M88-N88)/(M88+N88))*100)</f>
        <v>13.474401685802494</v>
      </c>
      <c r="Q88" s="227" t="str">
        <f>IF(L89="","",IF(P90&lt;20,(IF(O88&gt;33000,IF(O88&lt;44000,"Pass","Fail"),"Fail"))))</f>
        <v>Pass</v>
      </c>
      <c r="R88" s="224">
        <v>1159</v>
      </c>
      <c r="S88" s="224" t="s">
        <v>128</v>
      </c>
      <c r="T88" s="179"/>
      <c r="U88" s="179">
        <v>19000</v>
      </c>
      <c r="V88" s="179">
        <v>49000</v>
      </c>
      <c r="W88" s="179">
        <v>33000</v>
      </c>
      <c r="X88" s="185">
        <v>44000</v>
      </c>
      <c r="Y88" s="182">
        <v>20</v>
      </c>
    </row>
    <row r="89" spans="1:25" x14ac:dyDescent="0.3">
      <c r="A89" s="175"/>
      <c r="B89" s="225"/>
      <c r="C89" s="71" t="s">
        <v>89</v>
      </c>
      <c r="D89" s="56">
        <v>18245.310000000001</v>
      </c>
      <c r="E89" s="56">
        <v>16092.78</v>
      </c>
      <c r="F89" s="56">
        <v>15808.07</v>
      </c>
      <c r="G89" s="56">
        <v>15746.37</v>
      </c>
      <c r="H89" s="56">
        <v>17326.27</v>
      </c>
      <c r="I89" s="56">
        <v>16019.23</v>
      </c>
      <c r="J89" s="56">
        <v>15704.23</v>
      </c>
      <c r="K89" s="56">
        <v>15296.54</v>
      </c>
      <c r="L89" s="56">
        <v>14835.84</v>
      </c>
      <c r="M89" s="225"/>
      <c r="N89" s="225"/>
      <c r="O89" s="225"/>
      <c r="P89" s="225"/>
      <c r="Q89" s="228"/>
      <c r="R89" s="225"/>
      <c r="S89" s="225"/>
      <c r="T89" s="180"/>
      <c r="U89" s="180"/>
      <c r="V89" s="180"/>
      <c r="W89" s="180"/>
      <c r="X89" s="186"/>
      <c r="Y89" s="183"/>
    </row>
    <row r="90" spans="1:25" ht="26.05" customHeight="1" x14ac:dyDescent="0.3">
      <c r="A90" s="176"/>
      <c r="B90" s="226"/>
      <c r="C90" s="71" t="s">
        <v>123</v>
      </c>
      <c r="D90" s="71">
        <f t="shared" ref="D90:L90" si="26">IF(((D88="")*AND(D89="")),"",(D88-D89)*3)</f>
        <v>33585.719999999994</v>
      </c>
      <c r="E90" s="71">
        <f t="shared" si="26"/>
        <v>39583.86</v>
      </c>
      <c r="F90" s="71">
        <f t="shared" si="26"/>
        <v>40587.69</v>
      </c>
      <c r="G90" s="71">
        <f t="shared" si="26"/>
        <v>40622.85</v>
      </c>
      <c r="H90" s="71">
        <f t="shared" si="26"/>
        <v>36506.04</v>
      </c>
      <c r="I90" s="71">
        <f t="shared" si="26"/>
        <v>40248.75</v>
      </c>
      <c r="J90" s="71">
        <f t="shared" si="26"/>
        <v>40683.42</v>
      </c>
      <c r="K90" s="71">
        <f t="shared" si="26"/>
        <v>42005.549999999996</v>
      </c>
      <c r="L90" s="71">
        <f t="shared" si="26"/>
        <v>44046.149999999994</v>
      </c>
      <c r="M90" s="226"/>
      <c r="N90" s="226"/>
      <c r="O90" s="226"/>
      <c r="P90" s="226"/>
      <c r="Q90" s="229"/>
      <c r="R90" s="226"/>
      <c r="S90" s="226"/>
      <c r="T90" s="181"/>
      <c r="U90" s="181"/>
      <c r="V90" s="181"/>
      <c r="W90" s="181"/>
      <c r="X90" s="187"/>
      <c r="Y90" s="184"/>
    </row>
    <row r="91" spans="1:25" x14ac:dyDescent="0.3">
      <c r="A91" s="174">
        <v>43073</v>
      </c>
      <c r="B91" s="224" t="s">
        <v>124</v>
      </c>
      <c r="C91" s="71" t="s">
        <v>88</v>
      </c>
      <c r="D91" s="56">
        <v>29359.200000000001</v>
      </c>
      <c r="E91" s="56">
        <v>29203.26</v>
      </c>
      <c r="F91" s="56">
        <v>29253.99</v>
      </c>
      <c r="G91" s="56">
        <v>29197.74</v>
      </c>
      <c r="H91" s="56">
        <v>29383.1</v>
      </c>
      <c r="I91" s="56">
        <v>29331.93</v>
      </c>
      <c r="J91" s="56">
        <v>29199.01</v>
      </c>
      <c r="K91" s="56">
        <v>29229.01</v>
      </c>
      <c r="L91" s="56">
        <v>29489.84</v>
      </c>
      <c r="M91" s="224">
        <f>IF((L92=""),"",MAX(D93:L93))</f>
        <v>44649.39</v>
      </c>
      <c r="N91" s="224">
        <f>IF(L92="","",MIN(D93:L93))</f>
        <v>32920.050000000003</v>
      </c>
      <c r="O91" s="224">
        <f>IF((L93=""),"",AVERAGE(D93:L93))</f>
        <v>40209.826666666668</v>
      </c>
      <c r="P91" s="224">
        <f>IF((L92=""),"",((M91-N91)/(M91+N91))*100)</f>
        <v>15.121083767009273</v>
      </c>
      <c r="Q91" s="227" t="str">
        <f>IF(L92="","",IF(P93&lt;20,(IF(O91&gt;33000,IF(O91&lt;44000,"Pass","Fail"),"Fail"))))</f>
        <v>Pass</v>
      </c>
      <c r="R91" s="224">
        <v>1428</v>
      </c>
      <c r="S91" s="224"/>
      <c r="T91" s="179"/>
      <c r="U91" s="179">
        <v>19000</v>
      </c>
      <c r="V91" s="179">
        <v>49000</v>
      </c>
      <c r="W91" s="179">
        <v>33000</v>
      </c>
      <c r="X91" s="179">
        <v>44000</v>
      </c>
      <c r="Y91" s="182">
        <v>20</v>
      </c>
    </row>
    <row r="92" spans="1:25" x14ac:dyDescent="0.3">
      <c r="A92" s="175"/>
      <c r="B92" s="225"/>
      <c r="C92" s="71" t="s">
        <v>89</v>
      </c>
      <c r="D92" s="56">
        <v>18385.849999999999</v>
      </c>
      <c r="E92" s="56">
        <v>15945.3</v>
      </c>
      <c r="F92" s="56">
        <v>15497.46</v>
      </c>
      <c r="G92" s="56">
        <v>15288.1</v>
      </c>
      <c r="H92" s="56">
        <v>17159.47</v>
      </c>
      <c r="I92" s="56">
        <v>15703.19</v>
      </c>
      <c r="J92" s="56">
        <v>15351.4</v>
      </c>
      <c r="K92" s="56">
        <v>15080.12</v>
      </c>
      <c r="L92" s="56">
        <v>14606.71</v>
      </c>
      <c r="M92" s="225"/>
      <c r="N92" s="225"/>
      <c r="O92" s="225"/>
      <c r="P92" s="225"/>
      <c r="Q92" s="228"/>
      <c r="R92" s="225"/>
      <c r="S92" s="225"/>
      <c r="T92" s="180"/>
      <c r="U92" s="180"/>
      <c r="V92" s="180"/>
      <c r="W92" s="180"/>
      <c r="X92" s="180"/>
      <c r="Y92" s="183"/>
    </row>
    <row r="93" spans="1:25" ht="26.05" customHeight="1" x14ac:dyDescent="0.3">
      <c r="A93" s="176"/>
      <c r="B93" s="226"/>
      <c r="C93" s="71" t="s">
        <v>123</v>
      </c>
      <c r="D93" s="71">
        <f t="shared" ref="D93:L93" si="27">IF(((D91="")*AND(D92="")),"",(D91-D92)*3)</f>
        <v>32920.050000000003</v>
      </c>
      <c r="E93" s="71">
        <f t="shared" si="27"/>
        <v>39773.879999999997</v>
      </c>
      <c r="F93" s="71">
        <f t="shared" si="27"/>
        <v>41269.590000000011</v>
      </c>
      <c r="G93" s="71">
        <f t="shared" si="27"/>
        <v>41728.920000000006</v>
      </c>
      <c r="H93" s="71">
        <f t="shared" si="27"/>
        <v>36670.889999999992</v>
      </c>
      <c r="I93" s="71">
        <f t="shared" si="27"/>
        <v>40886.22</v>
      </c>
      <c r="J93" s="71">
        <f t="shared" si="27"/>
        <v>41542.829999999994</v>
      </c>
      <c r="K93" s="71">
        <f t="shared" si="27"/>
        <v>42446.669999999991</v>
      </c>
      <c r="L93" s="71">
        <f t="shared" si="27"/>
        <v>44649.39</v>
      </c>
      <c r="M93" s="226"/>
      <c r="N93" s="226"/>
      <c r="O93" s="226"/>
      <c r="P93" s="226"/>
      <c r="Q93" s="229"/>
      <c r="R93" s="226"/>
      <c r="S93" s="226"/>
      <c r="T93" s="181"/>
      <c r="U93" s="181"/>
      <c r="V93" s="181"/>
      <c r="W93" s="181"/>
      <c r="X93" s="181"/>
      <c r="Y93" s="183"/>
    </row>
    <row r="94" spans="1:25" x14ac:dyDescent="0.3">
      <c r="A94" s="174">
        <v>43077</v>
      </c>
      <c r="B94" s="224" t="s">
        <v>124</v>
      </c>
      <c r="C94" s="71" t="s">
        <v>88</v>
      </c>
      <c r="D94" s="56">
        <v>29375</v>
      </c>
      <c r="E94" s="56">
        <v>29207.7</v>
      </c>
      <c r="F94" s="56">
        <v>29231.26</v>
      </c>
      <c r="G94" s="56">
        <v>29216.44</v>
      </c>
      <c r="H94" s="56">
        <v>29448.400000000001</v>
      </c>
      <c r="I94" s="56">
        <v>29384.74</v>
      </c>
      <c r="J94" s="56">
        <v>29200.86</v>
      </c>
      <c r="K94" s="56">
        <v>29213.52</v>
      </c>
      <c r="L94" s="56">
        <v>29482.7</v>
      </c>
      <c r="M94" s="224">
        <f>IF((L95=""),"",MAX(D96:L96))</f>
        <v>43387.020000000004</v>
      </c>
      <c r="N94" s="224">
        <f>IF(L95="","",MIN(D96:L96))</f>
        <v>33858.839999999997</v>
      </c>
      <c r="O94" s="224">
        <f>IF((L96=""),"",AVERAGE(D96:L96))</f>
        <v>39851.08666666667</v>
      </c>
      <c r="P94" s="224">
        <f>IF((L95=""),"",((M94-N94)/(M94+N94))*100)</f>
        <v>12.334874645709178</v>
      </c>
      <c r="Q94" s="227" t="str">
        <f>IF(L95="","",IF(P96&lt;20,(IF(O94&gt;33000,IF(O94&lt;44000,"Pass","Fail"),"Fail"))))</f>
        <v>Pass</v>
      </c>
      <c r="R94" s="224">
        <v>102</v>
      </c>
      <c r="S94" s="224"/>
      <c r="T94" s="179"/>
      <c r="U94" s="179">
        <v>19000</v>
      </c>
      <c r="V94" s="179">
        <v>49000</v>
      </c>
      <c r="W94" s="179">
        <v>33000</v>
      </c>
      <c r="X94" s="185">
        <v>44000</v>
      </c>
      <c r="Y94" s="182">
        <v>20</v>
      </c>
    </row>
    <row r="95" spans="1:25" x14ac:dyDescent="0.3">
      <c r="A95" s="175"/>
      <c r="B95" s="225"/>
      <c r="C95" s="71" t="s">
        <v>89</v>
      </c>
      <c r="D95" s="56">
        <v>18088.72</v>
      </c>
      <c r="E95" s="56">
        <v>15957.77</v>
      </c>
      <c r="F95" s="56">
        <v>15578.61</v>
      </c>
      <c r="G95" s="56">
        <v>15485.88</v>
      </c>
      <c r="H95" s="56">
        <v>17078.099999999999</v>
      </c>
      <c r="I95" s="56">
        <v>16132.83</v>
      </c>
      <c r="J95" s="56">
        <v>15561.54</v>
      </c>
      <c r="K95" s="56">
        <v>15303.55</v>
      </c>
      <c r="L95" s="56">
        <v>15020.36</v>
      </c>
      <c r="M95" s="225"/>
      <c r="N95" s="225"/>
      <c r="O95" s="225"/>
      <c r="P95" s="225"/>
      <c r="Q95" s="228"/>
      <c r="R95" s="225"/>
      <c r="S95" s="225"/>
      <c r="T95" s="180"/>
      <c r="U95" s="180"/>
      <c r="V95" s="180"/>
      <c r="W95" s="180"/>
      <c r="X95" s="186"/>
      <c r="Y95" s="183"/>
    </row>
    <row r="96" spans="1:25" ht="26.6" customHeight="1" x14ac:dyDescent="0.3">
      <c r="A96" s="176"/>
      <c r="B96" s="226"/>
      <c r="C96" s="71" t="s">
        <v>123</v>
      </c>
      <c r="D96" s="71">
        <f t="shared" ref="D96:L96" si="28">IF(((D94="")*AND(D95="")),"",(D94-D95)*3)</f>
        <v>33858.839999999997</v>
      </c>
      <c r="E96" s="71">
        <f t="shared" si="28"/>
        <v>39749.79</v>
      </c>
      <c r="F96" s="71">
        <f t="shared" si="28"/>
        <v>40957.949999999997</v>
      </c>
      <c r="G96" s="71">
        <f t="shared" si="28"/>
        <v>41191.68</v>
      </c>
      <c r="H96" s="71">
        <f t="shared" si="28"/>
        <v>37110.900000000009</v>
      </c>
      <c r="I96" s="71">
        <f t="shared" si="28"/>
        <v>39755.730000000003</v>
      </c>
      <c r="J96" s="71">
        <f t="shared" si="28"/>
        <v>40917.96</v>
      </c>
      <c r="K96" s="71">
        <f t="shared" si="28"/>
        <v>41729.910000000003</v>
      </c>
      <c r="L96" s="71">
        <f t="shared" si="28"/>
        <v>43387.020000000004</v>
      </c>
      <c r="M96" s="226"/>
      <c r="N96" s="226"/>
      <c r="O96" s="226"/>
      <c r="P96" s="226"/>
      <c r="Q96" s="229"/>
      <c r="R96" s="226"/>
      <c r="S96" s="226"/>
      <c r="T96" s="181"/>
      <c r="U96" s="181"/>
      <c r="V96" s="181"/>
      <c r="W96" s="181"/>
      <c r="X96" s="187"/>
      <c r="Y96" s="184"/>
    </row>
    <row r="97" spans="1:25" x14ac:dyDescent="0.3">
      <c r="A97" s="174">
        <v>43080</v>
      </c>
      <c r="B97" s="224" t="s">
        <v>124</v>
      </c>
      <c r="C97" s="71" t="s">
        <v>88</v>
      </c>
      <c r="D97" s="56">
        <v>29394.79</v>
      </c>
      <c r="E97" s="56">
        <v>29191.85</v>
      </c>
      <c r="F97" s="56">
        <v>29230.63</v>
      </c>
      <c r="G97" s="56">
        <v>29173.81</v>
      </c>
      <c r="H97" s="56">
        <v>29386.66</v>
      </c>
      <c r="I97" s="56">
        <v>29311.97</v>
      </c>
      <c r="J97" s="56">
        <v>29171.89</v>
      </c>
      <c r="K97" s="56">
        <v>29160.05</v>
      </c>
      <c r="L97" s="56">
        <v>29405.26</v>
      </c>
      <c r="M97" s="224">
        <f>IF((L98=""),"",MAX(D99:L99))</f>
        <v>43695.899999999994</v>
      </c>
      <c r="N97" s="224">
        <f>IF(L98="","",MIN(D99:L99))</f>
        <v>33368.639999999999</v>
      </c>
      <c r="O97" s="224">
        <f>IF((L99=""),"",AVERAGE(D99:L99))</f>
        <v>39411.64</v>
      </c>
      <c r="P97" s="224">
        <f>IF((L98=""),"",((M97-N97)/(M97+N97))*100)</f>
        <v>13.400793672420539</v>
      </c>
      <c r="Q97" s="227" t="str">
        <f>IF(L98="","",IF(P99&lt;20,(IF(O97&gt;33000,IF(O97&lt;44000,"Pass","Fail"),"Fail"))))</f>
        <v>Pass</v>
      </c>
      <c r="R97" s="224">
        <v>1335</v>
      </c>
      <c r="S97" s="224" t="s">
        <v>177</v>
      </c>
      <c r="T97" s="179"/>
      <c r="U97" s="179">
        <v>19000</v>
      </c>
      <c r="V97" s="179">
        <v>49000</v>
      </c>
      <c r="W97" s="179">
        <v>33000</v>
      </c>
      <c r="X97" s="185">
        <v>44000</v>
      </c>
      <c r="Y97" s="182">
        <v>20</v>
      </c>
    </row>
    <row r="98" spans="1:25" x14ac:dyDescent="0.3">
      <c r="A98" s="175"/>
      <c r="B98" s="225"/>
      <c r="C98" s="71" t="s">
        <v>89</v>
      </c>
      <c r="D98" s="56">
        <v>18271.91</v>
      </c>
      <c r="E98" s="56">
        <v>16254.5</v>
      </c>
      <c r="F98" s="56">
        <v>15910.34</v>
      </c>
      <c r="G98" s="56">
        <v>15691.64</v>
      </c>
      <c r="H98" s="56">
        <v>17084.28</v>
      </c>
      <c r="I98" s="56">
        <v>15950.97</v>
      </c>
      <c r="J98" s="56">
        <v>15796.81</v>
      </c>
      <c r="K98" s="56">
        <v>15391.58</v>
      </c>
      <c r="L98" s="56">
        <v>14839.96</v>
      </c>
      <c r="M98" s="225"/>
      <c r="N98" s="225"/>
      <c r="O98" s="225"/>
      <c r="P98" s="225"/>
      <c r="Q98" s="228"/>
      <c r="R98" s="225"/>
      <c r="S98" s="225"/>
      <c r="T98" s="180"/>
      <c r="U98" s="180"/>
      <c r="V98" s="180"/>
      <c r="W98" s="180"/>
      <c r="X98" s="186"/>
      <c r="Y98" s="183"/>
    </row>
    <row r="99" spans="1:25" ht="26.6" customHeight="1" x14ac:dyDescent="0.3">
      <c r="A99" s="176"/>
      <c r="B99" s="226"/>
      <c r="C99" s="71" t="s">
        <v>123</v>
      </c>
      <c r="D99" s="71">
        <f t="shared" ref="D99:L99" si="29">IF(((D97="")*AND(D98="")),"",(D97-D98)*3)</f>
        <v>33368.639999999999</v>
      </c>
      <c r="E99" s="71">
        <f t="shared" si="29"/>
        <v>38812.049999999996</v>
      </c>
      <c r="F99" s="71">
        <f t="shared" si="29"/>
        <v>39960.870000000003</v>
      </c>
      <c r="G99" s="71">
        <f t="shared" si="29"/>
        <v>40446.510000000009</v>
      </c>
      <c r="H99" s="71">
        <f t="shared" si="29"/>
        <v>36907.14</v>
      </c>
      <c r="I99" s="71">
        <f t="shared" si="29"/>
        <v>40083.000000000007</v>
      </c>
      <c r="J99" s="71">
        <f t="shared" si="29"/>
        <v>40125.24</v>
      </c>
      <c r="K99" s="71">
        <f t="shared" si="29"/>
        <v>41305.409999999996</v>
      </c>
      <c r="L99" s="71">
        <f t="shared" si="29"/>
        <v>43695.899999999994</v>
      </c>
      <c r="M99" s="226"/>
      <c r="N99" s="226"/>
      <c r="O99" s="226"/>
      <c r="P99" s="226"/>
      <c r="Q99" s="229"/>
      <c r="R99" s="226"/>
      <c r="S99" s="226"/>
      <c r="T99" s="181"/>
      <c r="U99" s="181"/>
      <c r="V99" s="181"/>
      <c r="W99" s="181"/>
      <c r="X99" s="187"/>
      <c r="Y99" s="184"/>
    </row>
    <row r="100" spans="1:25" x14ac:dyDescent="0.3">
      <c r="A100" s="174">
        <v>43084</v>
      </c>
      <c r="B100" s="224" t="s">
        <v>124</v>
      </c>
      <c r="C100" s="71" t="s">
        <v>88</v>
      </c>
      <c r="D100" s="56">
        <v>29352.06</v>
      </c>
      <c r="E100" s="56">
        <v>29236.33</v>
      </c>
      <c r="F100" s="56">
        <v>29184.66</v>
      </c>
      <c r="G100" s="56">
        <v>29154.55</v>
      </c>
      <c r="H100" s="56">
        <v>29352.32</v>
      </c>
      <c r="I100" s="56">
        <v>29339.47</v>
      </c>
      <c r="J100" s="56">
        <v>29130.74</v>
      </c>
      <c r="K100" s="56">
        <v>29187.81</v>
      </c>
      <c r="L100" s="56">
        <v>29449.96</v>
      </c>
      <c r="M100" s="224">
        <f>IF((L101=""),"",MAX(D102:L102))</f>
        <v>41993.31</v>
      </c>
      <c r="N100" s="224">
        <f>IF(L101="","",MIN(D102:L102))</f>
        <v>32434.650000000009</v>
      </c>
      <c r="O100" s="224">
        <f>IF((L102=""),"",AVERAGE(D102:L102))</f>
        <v>38579.49</v>
      </c>
      <c r="P100" s="224">
        <f>IF((L101=""),"",((M100-N100)/(M100+N100))*100)</f>
        <v>12.842834870121376</v>
      </c>
      <c r="Q100" s="227" t="str">
        <f>IF(L101="","",IF(P102&lt;20,(IF(O100&gt;33000,IF(O100&lt;44000,"Pass","Fail"),"Fail"))))</f>
        <v>Pass</v>
      </c>
      <c r="R100" s="224">
        <v>1335</v>
      </c>
      <c r="S100" s="224"/>
      <c r="T100" s="179"/>
      <c r="U100" s="179">
        <v>19000</v>
      </c>
      <c r="V100" s="179">
        <v>49000</v>
      </c>
      <c r="W100" s="179">
        <v>33000</v>
      </c>
      <c r="X100" s="185">
        <v>44000</v>
      </c>
      <c r="Y100" s="182">
        <v>20</v>
      </c>
    </row>
    <row r="101" spans="1:25" x14ac:dyDescent="0.3">
      <c r="A101" s="175"/>
      <c r="B101" s="225"/>
      <c r="C101" s="71" t="s">
        <v>89</v>
      </c>
      <c r="D101" s="56">
        <v>18540.509999999998</v>
      </c>
      <c r="E101" s="56">
        <v>16330.67</v>
      </c>
      <c r="F101" s="56">
        <v>15885.1</v>
      </c>
      <c r="G101" s="56">
        <v>15856.94</v>
      </c>
      <c r="H101" s="56">
        <v>17628.71</v>
      </c>
      <c r="I101" s="56">
        <v>16481.87</v>
      </c>
      <c r="J101" s="56">
        <v>15878.14</v>
      </c>
      <c r="K101" s="56">
        <v>15595.3</v>
      </c>
      <c r="L101" s="56">
        <v>15452.19</v>
      </c>
      <c r="M101" s="225"/>
      <c r="N101" s="225"/>
      <c r="O101" s="225"/>
      <c r="P101" s="225"/>
      <c r="Q101" s="228"/>
      <c r="R101" s="225"/>
      <c r="S101" s="225"/>
      <c r="T101" s="180"/>
      <c r="U101" s="180"/>
      <c r="V101" s="180"/>
      <c r="W101" s="180"/>
      <c r="X101" s="186"/>
      <c r="Y101" s="183"/>
    </row>
    <row r="102" spans="1:25" ht="26.6" customHeight="1" x14ac:dyDescent="0.3">
      <c r="A102" s="176"/>
      <c r="B102" s="226"/>
      <c r="C102" s="71" t="s">
        <v>123</v>
      </c>
      <c r="D102" s="71">
        <f t="shared" ref="D102:L102" si="30">IF(((D100="")*AND(D101="")),"",(D100-D101)*3)</f>
        <v>32434.650000000009</v>
      </c>
      <c r="E102" s="71">
        <f t="shared" si="30"/>
        <v>38716.980000000003</v>
      </c>
      <c r="F102" s="71">
        <f t="shared" si="30"/>
        <v>39898.68</v>
      </c>
      <c r="G102" s="71">
        <f t="shared" si="30"/>
        <v>39892.829999999994</v>
      </c>
      <c r="H102" s="71">
        <f t="shared" si="30"/>
        <v>35170.83</v>
      </c>
      <c r="I102" s="71">
        <f t="shared" si="30"/>
        <v>38572.800000000003</v>
      </c>
      <c r="J102" s="71">
        <f t="shared" si="30"/>
        <v>39757.800000000003</v>
      </c>
      <c r="K102" s="71">
        <f t="shared" si="30"/>
        <v>40777.530000000006</v>
      </c>
      <c r="L102" s="71">
        <f t="shared" si="30"/>
        <v>41993.31</v>
      </c>
      <c r="M102" s="226"/>
      <c r="N102" s="226"/>
      <c r="O102" s="226"/>
      <c r="P102" s="226"/>
      <c r="Q102" s="229"/>
      <c r="R102" s="226"/>
      <c r="S102" s="226"/>
      <c r="T102" s="181"/>
      <c r="U102" s="181"/>
      <c r="V102" s="181"/>
      <c r="W102" s="181"/>
      <c r="X102" s="187"/>
      <c r="Y102" s="184"/>
    </row>
    <row r="103" spans="1:25" x14ac:dyDescent="0.3">
      <c r="A103" s="174">
        <v>43088</v>
      </c>
      <c r="B103" s="224" t="s">
        <v>124</v>
      </c>
      <c r="C103" s="71" t="s">
        <v>88</v>
      </c>
      <c r="D103" s="56">
        <v>29327.42</v>
      </c>
      <c r="E103" s="56">
        <v>29128.85</v>
      </c>
      <c r="F103" s="56">
        <v>29113.75</v>
      </c>
      <c r="G103" s="56">
        <v>29130.89</v>
      </c>
      <c r="H103" s="56">
        <v>29383.19</v>
      </c>
      <c r="I103" s="56">
        <v>29267.63</v>
      </c>
      <c r="J103" s="56">
        <v>29117.95</v>
      </c>
      <c r="K103" s="56">
        <v>29134.799999999999</v>
      </c>
      <c r="L103" s="56">
        <v>29382.85</v>
      </c>
      <c r="M103" s="224">
        <f>IF((L104=""),"",MAX(D105:L105))</f>
        <v>42560.28</v>
      </c>
      <c r="N103" s="224">
        <f>IF(L104="","",MIN(D105:L105))</f>
        <v>33356.30999999999</v>
      </c>
      <c r="O103" s="224">
        <f>IF((L105=""),"",AVERAGE(D105:L105))</f>
        <v>39288.160000000003</v>
      </c>
      <c r="P103" s="224">
        <f>IF((L104=""),"",((M103-N103)/(M103+N103))*100)</f>
        <v>12.123792704598573</v>
      </c>
      <c r="Q103" s="227" t="str">
        <f>IF(L104="","",IF(P105&lt;20,(IF(O103&gt;33000,IF(O103&lt;44000,"Pass","Fail"),"Fail"))))</f>
        <v>Pass</v>
      </c>
      <c r="R103" s="224">
        <v>1335</v>
      </c>
      <c r="S103" s="224"/>
      <c r="T103" s="179"/>
      <c r="U103" s="179">
        <v>19000</v>
      </c>
      <c r="V103" s="179">
        <v>49000</v>
      </c>
      <c r="W103" s="179">
        <v>33000</v>
      </c>
      <c r="X103" s="185">
        <v>44000</v>
      </c>
      <c r="Y103" s="182">
        <v>20</v>
      </c>
    </row>
    <row r="104" spans="1:25" x14ac:dyDescent="0.3">
      <c r="A104" s="175"/>
      <c r="B104" s="225"/>
      <c r="C104" s="71" t="s">
        <v>89</v>
      </c>
      <c r="D104" s="56">
        <v>18208.650000000001</v>
      </c>
      <c r="E104" s="56">
        <v>16124.38</v>
      </c>
      <c r="F104" s="56">
        <v>15704.96</v>
      </c>
      <c r="G104" s="56">
        <v>15527.27</v>
      </c>
      <c r="H104" s="56">
        <v>17046.87</v>
      </c>
      <c r="I104" s="56">
        <v>16192.84</v>
      </c>
      <c r="J104" s="56">
        <v>15765.02</v>
      </c>
      <c r="K104" s="56">
        <v>15356.77</v>
      </c>
      <c r="L104" s="56">
        <v>15196.09</v>
      </c>
      <c r="M104" s="225"/>
      <c r="N104" s="225"/>
      <c r="O104" s="225"/>
      <c r="P104" s="225"/>
      <c r="Q104" s="228"/>
      <c r="R104" s="225"/>
      <c r="S104" s="225"/>
      <c r="T104" s="180"/>
      <c r="U104" s="180"/>
      <c r="V104" s="180"/>
      <c r="W104" s="180"/>
      <c r="X104" s="186"/>
      <c r="Y104" s="183"/>
    </row>
    <row r="105" spans="1:25" ht="26.6" customHeight="1" x14ac:dyDescent="0.3">
      <c r="A105" s="176"/>
      <c r="B105" s="226"/>
      <c r="C105" s="71" t="s">
        <v>123</v>
      </c>
      <c r="D105" s="71">
        <f t="shared" ref="D105:L105" si="31">IF(((D103="")*AND(D104="")),"",(D103-D104)*3)</f>
        <v>33356.30999999999</v>
      </c>
      <c r="E105" s="71">
        <f t="shared" si="31"/>
        <v>39013.409999999996</v>
      </c>
      <c r="F105" s="71">
        <f t="shared" si="31"/>
        <v>40226.370000000003</v>
      </c>
      <c r="G105" s="71">
        <f t="shared" si="31"/>
        <v>40810.86</v>
      </c>
      <c r="H105" s="71">
        <f t="shared" si="31"/>
        <v>37008.959999999999</v>
      </c>
      <c r="I105" s="71">
        <f t="shared" si="31"/>
        <v>39224.370000000003</v>
      </c>
      <c r="J105" s="71">
        <f t="shared" si="31"/>
        <v>40058.79</v>
      </c>
      <c r="K105" s="71">
        <f t="shared" si="31"/>
        <v>41334.089999999997</v>
      </c>
      <c r="L105" s="71">
        <f t="shared" si="31"/>
        <v>42560.28</v>
      </c>
      <c r="M105" s="226"/>
      <c r="N105" s="226"/>
      <c r="O105" s="226"/>
      <c r="P105" s="226"/>
      <c r="Q105" s="229"/>
      <c r="R105" s="226"/>
      <c r="S105" s="226"/>
      <c r="T105" s="181"/>
      <c r="U105" s="181"/>
      <c r="V105" s="181"/>
      <c r="W105" s="181"/>
      <c r="X105" s="187"/>
      <c r="Y105" s="184"/>
    </row>
    <row r="106" spans="1:25" x14ac:dyDescent="0.3">
      <c r="A106" s="174">
        <v>43091</v>
      </c>
      <c r="B106" s="224" t="s">
        <v>124</v>
      </c>
      <c r="C106" s="71" t="s">
        <v>88</v>
      </c>
      <c r="D106" s="56">
        <v>29372.31</v>
      </c>
      <c r="E106" s="56">
        <v>29180.02</v>
      </c>
      <c r="F106" s="56">
        <v>29235.81</v>
      </c>
      <c r="G106" s="56">
        <v>29179.02</v>
      </c>
      <c r="H106" s="56">
        <v>29431.69</v>
      </c>
      <c r="I106" s="56">
        <v>29285.49</v>
      </c>
      <c r="J106" s="56">
        <v>29177.61</v>
      </c>
      <c r="K106" s="56">
        <v>29214.82</v>
      </c>
      <c r="L106" s="56">
        <v>29433.39</v>
      </c>
      <c r="M106" s="224">
        <f>IF((L107=""),"",MAX(D108:L108))</f>
        <v>41521.079999999994</v>
      </c>
      <c r="N106" s="224">
        <f>IF(L107="","",MIN(D108:L108))</f>
        <v>32808.270000000004</v>
      </c>
      <c r="O106" s="224">
        <f>IF((L108=""),"",AVERAGE(D108:L108))</f>
        <v>38271.373333333337</v>
      </c>
      <c r="P106" s="224">
        <f>IF((L107=""),"",((M106-N106)/(M106+N106))*100)</f>
        <v>11.721897204805355</v>
      </c>
      <c r="Q106" s="227" t="str">
        <f>IF(L107="","",IF(P108&lt;20,(IF(O106&gt;33000,IF(O106&lt;44000,"Pass","Fail"),"Fail"))))</f>
        <v>Pass</v>
      </c>
      <c r="R106" s="224"/>
      <c r="S106" s="224"/>
      <c r="T106" s="179"/>
      <c r="U106" s="179">
        <v>19000</v>
      </c>
      <c r="V106" s="179">
        <v>49000</v>
      </c>
      <c r="W106" s="179">
        <v>33000</v>
      </c>
      <c r="X106" s="185">
        <v>44000</v>
      </c>
      <c r="Y106" s="182">
        <v>20</v>
      </c>
    </row>
    <row r="107" spans="1:25" x14ac:dyDescent="0.3">
      <c r="A107" s="175"/>
      <c r="B107" s="225"/>
      <c r="C107" s="71" t="s">
        <v>89</v>
      </c>
      <c r="D107" s="56">
        <v>18436.22</v>
      </c>
      <c r="E107" s="56">
        <v>16570.080000000002</v>
      </c>
      <c r="F107" s="56">
        <v>16259.72</v>
      </c>
      <c r="G107" s="56">
        <v>16006.7</v>
      </c>
      <c r="H107" s="56">
        <v>17283.060000000001</v>
      </c>
      <c r="I107" s="56">
        <v>16527.46</v>
      </c>
      <c r="J107" s="56">
        <v>16153.62</v>
      </c>
      <c r="K107" s="56">
        <v>15866.15</v>
      </c>
      <c r="L107" s="56">
        <v>15593.03</v>
      </c>
      <c r="M107" s="225"/>
      <c r="N107" s="225"/>
      <c r="O107" s="225"/>
      <c r="P107" s="225"/>
      <c r="Q107" s="228"/>
      <c r="R107" s="225"/>
      <c r="S107" s="225"/>
      <c r="T107" s="180"/>
      <c r="U107" s="180"/>
      <c r="V107" s="180"/>
      <c r="W107" s="180"/>
      <c r="X107" s="186"/>
      <c r="Y107" s="183"/>
    </row>
    <row r="108" spans="1:25" ht="26.6" customHeight="1" x14ac:dyDescent="0.3">
      <c r="A108" s="176"/>
      <c r="B108" s="226"/>
      <c r="C108" s="71" t="s">
        <v>123</v>
      </c>
      <c r="D108" s="71">
        <f t="shared" ref="D108:L108" si="32">IF(((D106="")*AND(D107="")),"",(D106-D107)*3)</f>
        <v>32808.270000000004</v>
      </c>
      <c r="E108" s="71">
        <f t="shared" si="32"/>
        <v>37829.819999999992</v>
      </c>
      <c r="F108" s="71">
        <f t="shared" si="32"/>
        <v>38928.270000000004</v>
      </c>
      <c r="G108" s="71">
        <f t="shared" si="32"/>
        <v>39516.959999999999</v>
      </c>
      <c r="H108" s="71">
        <f t="shared" si="32"/>
        <v>36445.889999999992</v>
      </c>
      <c r="I108" s="71">
        <f t="shared" si="32"/>
        <v>38274.090000000011</v>
      </c>
      <c r="J108" s="71">
        <f t="shared" si="32"/>
        <v>39071.97</v>
      </c>
      <c r="K108" s="71">
        <f t="shared" si="32"/>
        <v>40046.01</v>
      </c>
      <c r="L108" s="71">
        <f t="shared" si="32"/>
        <v>41521.079999999994</v>
      </c>
      <c r="M108" s="226"/>
      <c r="N108" s="226"/>
      <c r="O108" s="226"/>
      <c r="P108" s="226"/>
      <c r="Q108" s="229"/>
      <c r="R108" s="226"/>
      <c r="S108" s="226"/>
      <c r="T108" s="181"/>
      <c r="U108" s="181"/>
      <c r="V108" s="181"/>
      <c r="W108" s="181"/>
      <c r="X108" s="187"/>
      <c r="Y108" s="184"/>
    </row>
    <row r="109" spans="1:25" x14ac:dyDescent="0.3">
      <c r="A109" s="174">
        <v>43095</v>
      </c>
      <c r="B109" s="224" t="s">
        <v>124</v>
      </c>
      <c r="C109" s="71" t="s">
        <v>88</v>
      </c>
      <c r="D109" s="56">
        <v>29279.78</v>
      </c>
      <c r="E109" s="56">
        <v>29042.13</v>
      </c>
      <c r="F109" s="56">
        <v>29167.200000000001</v>
      </c>
      <c r="G109" s="56">
        <v>29148.76</v>
      </c>
      <c r="H109" s="56">
        <v>29331.99</v>
      </c>
      <c r="I109" s="56">
        <v>29253.37</v>
      </c>
      <c r="J109" s="56">
        <v>29095</v>
      </c>
      <c r="K109" s="56">
        <v>29072.01</v>
      </c>
      <c r="L109" s="56">
        <v>29327.17</v>
      </c>
      <c r="M109" s="224">
        <f>IF((L110=""),"",MAX(D111:L111))</f>
        <v>40908.78</v>
      </c>
      <c r="N109" s="224">
        <f>IF(L110="","",MIN(D111:L111))</f>
        <v>31741.29</v>
      </c>
      <c r="O109" s="224">
        <f>IF((L111=""),"",AVERAGE(D111:L111))</f>
        <v>37107.78666666666</v>
      </c>
      <c r="P109" s="224">
        <f>IF((L110=""),"",((M109-N109)/(M109+N109))*100)</f>
        <v>12.618693966846827</v>
      </c>
      <c r="Q109" s="227" t="str">
        <f>IF(L110="","",IF(P111&lt;20,(IF(O109&gt;33000,IF(O109&lt;44000,"Pass","Fail"),"Fail"))))</f>
        <v>Pass</v>
      </c>
      <c r="R109" s="224"/>
      <c r="S109" s="224"/>
      <c r="T109" s="179"/>
      <c r="U109" s="179">
        <v>19000</v>
      </c>
      <c r="V109" s="179">
        <v>49000</v>
      </c>
      <c r="W109" s="179">
        <v>33000</v>
      </c>
      <c r="X109" s="185">
        <v>44000</v>
      </c>
      <c r="Y109" s="182">
        <v>20</v>
      </c>
    </row>
    <row r="110" spans="1:25" x14ac:dyDescent="0.3">
      <c r="A110" s="175"/>
      <c r="B110" s="225"/>
      <c r="C110" s="71" t="s">
        <v>89</v>
      </c>
      <c r="D110" s="56">
        <v>18699.349999999999</v>
      </c>
      <c r="E110" s="56">
        <v>16653.66</v>
      </c>
      <c r="F110" s="56">
        <v>16465.78</v>
      </c>
      <c r="G110" s="56">
        <v>16466.830000000002</v>
      </c>
      <c r="H110" s="56">
        <v>18085.84</v>
      </c>
      <c r="I110" s="56">
        <v>16884.32</v>
      </c>
      <c r="J110" s="56">
        <v>16466.759999999998</v>
      </c>
      <c r="K110" s="56">
        <v>15980.6</v>
      </c>
      <c r="L110" s="56">
        <v>15690.91</v>
      </c>
      <c r="M110" s="225"/>
      <c r="N110" s="225"/>
      <c r="O110" s="225"/>
      <c r="P110" s="225"/>
      <c r="Q110" s="228"/>
      <c r="R110" s="225"/>
      <c r="S110" s="225"/>
      <c r="T110" s="180"/>
      <c r="U110" s="180"/>
      <c r="V110" s="180"/>
      <c r="W110" s="180"/>
      <c r="X110" s="186"/>
      <c r="Y110" s="183"/>
    </row>
    <row r="111" spans="1:25" ht="26.6" customHeight="1" x14ac:dyDescent="0.3">
      <c r="A111" s="176"/>
      <c r="B111" s="226"/>
      <c r="C111" s="71" t="s">
        <v>123</v>
      </c>
      <c r="D111" s="71">
        <f t="shared" ref="D111:L111" si="33">IF(((D109="")*AND(D110="")),"",(D109-D110)*3)</f>
        <v>31741.29</v>
      </c>
      <c r="E111" s="71">
        <f t="shared" si="33"/>
        <v>37165.410000000003</v>
      </c>
      <c r="F111" s="71">
        <f t="shared" si="33"/>
        <v>38104.260000000009</v>
      </c>
      <c r="G111" s="71">
        <f t="shared" si="33"/>
        <v>38045.789999999994</v>
      </c>
      <c r="H111" s="71">
        <f t="shared" si="33"/>
        <v>33738.450000000004</v>
      </c>
      <c r="I111" s="71">
        <f t="shared" si="33"/>
        <v>37107.149999999994</v>
      </c>
      <c r="J111" s="71">
        <f t="shared" si="33"/>
        <v>37884.720000000001</v>
      </c>
      <c r="K111" s="71">
        <f t="shared" si="33"/>
        <v>39274.229999999996</v>
      </c>
      <c r="L111" s="71">
        <f t="shared" si="33"/>
        <v>40908.78</v>
      </c>
      <c r="M111" s="226"/>
      <c r="N111" s="226"/>
      <c r="O111" s="226"/>
      <c r="P111" s="226"/>
      <c r="Q111" s="229"/>
      <c r="R111" s="226"/>
      <c r="S111" s="226"/>
      <c r="T111" s="181"/>
      <c r="U111" s="181"/>
      <c r="V111" s="181"/>
      <c r="W111" s="181"/>
      <c r="X111" s="187"/>
      <c r="Y111" s="184"/>
    </row>
    <row r="112" spans="1:25" x14ac:dyDescent="0.3">
      <c r="A112" s="174">
        <v>43098</v>
      </c>
      <c r="B112" s="224" t="s">
        <v>124</v>
      </c>
      <c r="C112" s="71" t="s">
        <v>88</v>
      </c>
      <c r="D112" s="56">
        <v>29228.22</v>
      </c>
      <c r="E112" s="56">
        <v>29017.11</v>
      </c>
      <c r="F112" s="56">
        <v>29082.1</v>
      </c>
      <c r="G112" s="56">
        <v>29048.74</v>
      </c>
      <c r="H112" s="56">
        <v>29239.53</v>
      </c>
      <c r="I112" s="56">
        <v>29227.4</v>
      </c>
      <c r="J112" s="56">
        <v>29047.53</v>
      </c>
      <c r="K112" s="56">
        <v>29042.92</v>
      </c>
      <c r="L112" s="56">
        <v>29274.06</v>
      </c>
      <c r="M112" s="224">
        <f>IF((L113=""),"",MAX(D114:L114))</f>
        <v>43053.750000000007</v>
      </c>
      <c r="N112" s="224">
        <f>IF(L113="","",MIN(D114:L114))</f>
        <v>33151.229999999996</v>
      </c>
      <c r="O112" s="224">
        <f>IF((L114=""),"",AVERAGE(D114:L114))</f>
        <v>39021.05333333333</v>
      </c>
      <c r="P112" s="224">
        <f>IF((L113=""),"",((M112-N112)/(M112+N112))*100)</f>
        <v>12.994583818537855</v>
      </c>
      <c r="Q112" s="227" t="str">
        <f>IF(L113="","",IF(P114&lt;20,(IF(O112&gt;33000,IF(O112&lt;44000,"Pass","Fail"),"Fail"))))</f>
        <v>Pass</v>
      </c>
      <c r="R112" s="224"/>
      <c r="S112" s="224"/>
      <c r="T112" s="179"/>
      <c r="U112" s="179">
        <v>19000</v>
      </c>
      <c r="V112" s="179">
        <v>49000</v>
      </c>
      <c r="W112" s="179">
        <v>33000</v>
      </c>
      <c r="X112" s="185">
        <v>44000</v>
      </c>
      <c r="Y112" s="182">
        <v>20</v>
      </c>
    </row>
    <row r="113" spans="1:25" x14ac:dyDescent="0.3">
      <c r="A113" s="175"/>
      <c r="B113" s="225"/>
      <c r="C113" s="71" t="s">
        <v>89</v>
      </c>
      <c r="D113" s="56">
        <v>18177.810000000001</v>
      </c>
      <c r="E113" s="56">
        <v>16319.5</v>
      </c>
      <c r="F113" s="56">
        <v>15688.22</v>
      </c>
      <c r="G113" s="56">
        <v>15660.21</v>
      </c>
      <c r="H113" s="56">
        <v>16780.02</v>
      </c>
      <c r="I113" s="56">
        <v>16172.54</v>
      </c>
      <c r="J113" s="56">
        <v>15901.08</v>
      </c>
      <c r="K113" s="56">
        <v>15522.26</v>
      </c>
      <c r="L113" s="56">
        <v>14922.81</v>
      </c>
      <c r="M113" s="225"/>
      <c r="N113" s="225"/>
      <c r="O113" s="225"/>
      <c r="P113" s="225"/>
      <c r="Q113" s="228"/>
      <c r="R113" s="225"/>
      <c r="S113" s="225"/>
      <c r="T113" s="180"/>
      <c r="U113" s="180"/>
      <c r="V113" s="180"/>
      <c r="W113" s="180"/>
      <c r="X113" s="186"/>
      <c r="Y113" s="183"/>
    </row>
    <row r="114" spans="1:25" ht="26.6" customHeight="1" x14ac:dyDescent="0.3">
      <c r="A114" s="176"/>
      <c r="B114" s="226"/>
      <c r="C114" s="71" t="s">
        <v>123</v>
      </c>
      <c r="D114" s="71">
        <f t="shared" ref="D114:L114" si="34">IF(((D112="")*AND(D113="")),"",(D112-D113)*3)</f>
        <v>33151.229999999996</v>
      </c>
      <c r="E114" s="71">
        <f t="shared" si="34"/>
        <v>38092.83</v>
      </c>
      <c r="F114" s="71">
        <f t="shared" si="34"/>
        <v>40181.64</v>
      </c>
      <c r="G114" s="71">
        <f t="shared" si="34"/>
        <v>40165.590000000011</v>
      </c>
      <c r="H114" s="71">
        <f t="shared" si="34"/>
        <v>37378.53</v>
      </c>
      <c r="I114" s="71">
        <f t="shared" si="34"/>
        <v>39164.58</v>
      </c>
      <c r="J114" s="71">
        <f t="shared" si="34"/>
        <v>39439.35</v>
      </c>
      <c r="K114" s="71">
        <f t="shared" si="34"/>
        <v>40561.979999999996</v>
      </c>
      <c r="L114" s="71">
        <f t="shared" si="34"/>
        <v>43053.750000000007</v>
      </c>
      <c r="M114" s="226"/>
      <c r="N114" s="226"/>
      <c r="O114" s="226"/>
      <c r="P114" s="226"/>
      <c r="Q114" s="229"/>
      <c r="R114" s="226"/>
      <c r="S114" s="226"/>
      <c r="T114" s="181"/>
      <c r="U114" s="181"/>
      <c r="V114" s="181"/>
      <c r="W114" s="181"/>
      <c r="X114" s="187"/>
      <c r="Y114" s="184"/>
    </row>
    <row r="115" spans="1:25" x14ac:dyDescent="0.3">
      <c r="A115" s="174">
        <v>42736</v>
      </c>
      <c r="B115" s="224" t="s">
        <v>124</v>
      </c>
      <c r="C115" s="71" t="s">
        <v>88</v>
      </c>
      <c r="D115" s="56">
        <v>29289.64</v>
      </c>
      <c r="E115" s="56">
        <v>29103.02</v>
      </c>
      <c r="F115" s="56">
        <v>29141.03</v>
      </c>
      <c r="G115" s="56">
        <v>29077.21</v>
      </c>
      <c r="H115" s="56">
        <v>29281.31</v>
      </c>
      <c r="I115" s="56">
        <v>29232.98</v>
      </c>
      <c r="J115" s="56">
        <v>29080.560000000001</v>
      </c>
      <c r="K115" s="56">
        <v>29092.21</v>
      </c>
      <c r="L115" s="56">
        <v>29360.15</v>
      </c>
      <c r="M115" s="224">
        <f>IF((L116=""),"",MAX(D117:L117))</f>
        <v>41693.070000000007</v>
      </c>
      <c r="N115" s="224">
        <f>IF(L116="","",MIN(D117:L117))</f>
        <v>31999.649999999998</v>
      </c>
      <c r="O115" s="224">
        <f>IF((L117=""),"",AVERAGE(D117:L117))</f>
        <v>37869.18</v>
      </c>
      <c r="P115" s="224">
        <f>IF((L116=""),"",((M115-N115)/(M115+N115))*100)</f>
        <v>13.153836634066444</v>
      </c>
      <c r="Q115" s="227" t="str">
        <f>IF(L116="","",IF(P117&lt;20,(IF(O115&gt;33000,IF(O115&lt;44000,"Pass","Fail"),"Fail"))))</f>
        <v>Pass</v>
      </c>
      <c r="R115" s="224">
        <v>1428</v>
      </c>
      <c r="S115" s="224"/>
      <c r="T115" s="179"/>
      <c r="U115" s="179">
        <v>19000</v>
      </c>
      <c r="V115" s="179">
        <v>49000</v>
      </c>
      <c r="W115" s="179">
        <v>33000</v>
      </c>
      <c r="X115" s="185">
        <v>44000</v>
      </c>
      <c r="Y115" s="182">
        <v>20</v>
      </c>
    </row>
    <row r="116" spans="1:25" x14ac:dyDescent="0.3">
      <c r="A116" s="175"/>
      <c r="B116" s="225"/>
      <c r="C116" s="71" t="s">
        <v>89</v>
      </c>
      <c r="D116" s="56">
        <v>18623.09</v>
      </c>
      <c r="E116" s="56">
        <v>16615.650000000001</v>
      </c>
      <c r="F116" s="56">
        <v>16259.89</v>
      </c>
      <c r="G116" s="56">
        <v>16033.06</v>
      </c>
      <c r="H116" s="56">
        <v>17472</v>
      </c>
      <c r="I116" s="56">
        <v>16540.43</v>
      </c>
      <c r="J116" s="56">
        <v>16215.7</v>
      </c>
      <c r="K116" s="56">
        <v>15828.29</v>
      </c>
      <c r="L116" s="56">
        <v>15462.46</v>
      </c>
      <c r="M116" s="225"/>
      <c r="N116" s="225"/>
      <c r="O116" s="225"/>
      <c r="P116" s="225"/>
      <c r="Q116" s="228"/>
      <c r="R116" s="225"/>
      <c r="S116" s="225"/>
      <c r="T116" s="180"/>
      <c r="U116" s="180"/>
      <c r="V116" s="180"/>
      <c r="W116" s="180"/>
      <c r="X116" s="186"/>
      <c r="Y116" s="183"/>
    </row>
    <row r="117" spans="1:25" ht="26.6" customHeight="1" x14ac:dyDescent="0.3">
      <c r="A117" s="176"/>
      <c r="B117" s="226"/>
      <c r="C117" s="71" t="s">
        <v>123</v>
      </c>
      <c r="D117" s="71">
        <f t="shared" ref="D117:L117" si="35">IF(((D115="")*AND(D116="")),"",(D115-D116)*3)</f>
        <v>31999.649999999998</v>
      </c>
      <c r="E117" s="71">
        <f t="shared" si="35"/>
        <v>37462.11</v>
      </c>
      <c r="F117" s="71">
        <f t="shared" si="35"/>
        <v>38643.42</v>
      </c>
      <c r="G117" s="71">
        <f t="shared" si="35"/>
        <v>39132.449999999997</v>
      </c>
      <c r="H117" s="71">
        <f t="shared" si="35"/>
        <v>35427.930000000008</v>
      </c>
      <c r="I117" s="71">
        <f t="shared" si="35"/>
        <v>38077.649999999994</v>
      </c>
      <c r="J117" s="71">
        <f t="shared" si="35"/>
        <v>38594.58</v>
      </c>
      <c r="K117" s="71">
        <f t="shared" si="35"/>
        <v>39791.759999999995</v>
      </c>
      <c r="L117" s="71">
        <f t="shared" si="35"/>
        <v>41693.070000000007</v>
      </c>
      <c r="M117" s="226"/>
      <c r="N117" s="226"/>
      <c r="O117" s="226"/>
      <c r="P117" s="226"/>
      <c r="Q117" s="229"/>
      <c r="R117" s="226"/>
      <c r="S117" s="226"/>
      <c r="T117" s="181"/>
      <c r="U117" s="181"/>
      <c r="V117" s="181"/>
      <c r="W117" s="181"/>
      <c r="X117" s="187"/>
      <c r="Y117" s="184"/>
    </row>
    <row r="118" spans="1:25" x14ac:dyDescent="0.3">
      <c r="A118" s="174">
        <v>42739</v>
      </c>
      <c r="B118" s="224" t="s">
        <v>124</v>
      </c>
      <c r="C118" s="71" t="s">
        <v>88</v>
      </c>
      <c r="D118" s="56">
        <v>29411.16</v>
      </c>
      <c r="E118" s="56">
        <v>29274.49</v>
      </c>
      <c r="F118" s="56">
        <v>29334.15</v>
      </c>
      <c r="G118" s="56">
        <v>29292.1</v>
      </c>
      <c r="H118" s="56">
        <v>29496</v>
      </c>
      <c r="I118" s="56">
        <v>29439.16</v>
      </c>
      <c r="J118" s="56">
        <v>29292.13</v>
      </c>
      <c r="K118" s="56">
        <v>29275.97</v>
      </c>
      <c r="L118" s="56">
        <v>29470.240000000002</v>
      </c>
      <c r="M118" s="224">
        <f>IF((L119=""),"",MAX(D120:L120))</f>
        <v>41379.450000000004</v>
      </c>
      <c r="N118" s="224">
        <f>IF(L119="","",MIN(D120:L120))</f>
        <v>32885.820000000007</v>
      </c>
      <c r="O118" s="224">
        <f>IF((L120=""),"",AVERAGE(D120:L120))</f>
        <v>36620.753333333334</v>
      </c>
      <c r="P118" s="224">
        <f>IF((L119=""),"",((M118-N118)/(M118+N118))*100)</f>
        <v>11.436880253717511</v>
      </c>
      <c r="Q118" s="227" t="str">
        <f>IF(L119="","",IF(P120&lt;20,(IF(O118&gt;33000,IF(O118&lt;44000,"Pass","Fail"),"Fail"))))</f>
        <v>Pass</v>
      </c>
      <c r="R118" s="224">
        <v>1335</v>
      </c>
      <c r="S118" s="224"/>
      <c r="T118" s="179"/>
      <c r="U118" s="179">
        <v>19000</v>
      </c>
      <c r="V118" s="179">
        <v>49000</v>
      </c>
      <c r="W118" s="179">
        <v>33000</v>
      </c>
      <c r="X118" s="185">
        <v>44000</v>
      </c>
      <c r="Y118" s="182">
        <v>20</v>
      </c>
    </row>
    <row r="119" spans="1:25" x14ac:dyDescent="0.3">
      <c r="A119" s="175"/>
      <c r="B119" s="225"/>
      <c r="C119" s="71" t="s">
        <v>89</v>
      </c>
      <c r="D119" s="56">
        <v>18320.169999999998</v>
      </c>
      <c r="E119" s="56">
        <v>18312.55</v>
      </c>
      <c r="F119" s="56">
        <v>16255.88</v>
      </c>
      <c r="G119" s="56">
        <v>15980.15</v>
      </c>
      <c r="H119" s="56">
        <v>17264.43</v>
      </c>
      <c r="I119" s="56">
        <v>18320.169999999998</v>
      </c>
      <c r="J119" s="56">
        <v>18312.55</v>
      </c>
      <c r="K119" s="56">
        <v>15980.15</v>
      </c>
      <c r="L119" s="56">
        <v>15677.09</v>
      </c>
      <c r="M119" s="225"/>
      <c r="N119" s="225"/>
      <c r="O119" s="225"/>
      <c r="P119" s="225"/>
      <c r="Q119" s="228"/>
      <c r="R119" s="225"/>
      <c r="S119" s="225"/>
      <c r="T119" s="180"/>
      <c r="U119" s="180"/>
      <c r="V119" s="180"/>
      <c r="W119" s="180"/>
      <c r="X119" s="186"/>
      <c r="Y119" s="183"/>
    </row>
    <row r="120" spans="1:25" ht="26.6" customHeight="1" x14ac:dyDescent="0.3">
      <c r="A120" s="176"/>
      <c r="B120" s="226"/>
      <c r="C120" s="71" t="s">
        <v>123</v>
      </c>
      <c r="D120" s="71">
        <f t="shared" ref="D120:L120" si="36">IF(((D118="")*AND(D119="")),"",(D118-D119)*3)</f>
        <v>33272.97</v>
      </c>
      <c r="E120" s="71">
        <f t="shared" si="36"/>
        <v>32885.820000000007</v>
      </c>
      <c r="F120" s="71">
        <f t="shared" si="36"/>
        <v>39234.810000000005</v>
      </c>
      <c r="G120" s="71">
        <f t="shared" si="36"/>
        <v>39935.85</v>
      </c>
      <c r="H120" s="71">
        <f t="shared" si="36"/>
        <v>36694.71</v>
      </c>
      <c r="I120" s="71">
        <f t="shared" si="36"/>
        <v>33356.97</v>
      </c>
      <c r="J120" s="71">
        <f t="shared" si="36"/>
        <v>32938.740000000005</v>
      </c>
      <c r="K120" s="71">
        <f t="shared" si="36"/>
        <v>39887.460000000006</v>
      </c>
      <c r="L120" s="71">
        <f t="shared" si="36"/>
        <v>41379.450000000004</v>
      </c>
      <c r="M120" s="226"/>
      <c r="N120" s="226"/>
      <c r="O120" s="226"/>
      <c r="P120" s="226"/>
      <c r="Q120" s="229"/>
      <c r="R120" s="226"/>
      <c r="S120" s="226"/>
      <c r="T120" s="181"/>
      <c r="U120" s="181"/>
      <c r="V120" s="181"/>
      <c r="W120" s="181"/>
      <c r="X120" s="187"/>
      <c r="Y120" s="184"/>
    </row>
    <row r="121" spans="1:25" x14ac:dyDescent="0.3">
      <c r="A121" s="174">
        <v>42743</v>
      </c>
      <c r="B121" s="224" t="s">
        <v>124</v>
      </c>
      <c r="C121" s="71" t="s">
        <v>88</v>
      </c>
      <c r="D121" s="56">
        <v>29290.959999999999</v>
      </c>
      <c r="E121" s="56">
        <v>29154.54</v>
      </c>
      <c r="F121" s="56">
        <v>29209.59</v>
      </c>
      <c r="G121" s="56">
        <v>29169.98</v>
      </c>
      <c r="H121" s="56">
        <v>29387.34</v>
      </c>
      <c r="I121" s="56">
        <v>29279.71</v>
      </c>
      <c r="J121" s="56">
        <v>29145.5</v>
      </c>
      <c r="K121" s="56">
        <v>29162.880000000001</v>
      </c>
      <c r="L121" s="56">
        <v>29400.04</v>
      </c>
      <c r="M121" s="224">
        <f>IF((L122=""),"",MAX(D123:L123))</f>
        <v>41731.26</v>
      </c>
      <c r="N121" s="224">
        <f>IF(L122="","",MIN(D123:L123))</f>
        <v>32992.229999999996</v>
      </c>
      <c r="O121" s="224">
        <f>IF((L123=""),"",AVERAGE(D123:L123))</f>
        <v>38268.886666666665</v>
      </c>
      <c r="P121" s="224">
        <f>IF((L122=""),"",((M121-N121)/(M121+N121))*100)</f>
        <v>11.695157707435785</v>
      </c>
      <c r="Q121" s="227" t="str">
        <f>IF(L122="","",IF(P123&lt;20,(IF(O121&gt;33000,IF(O121&lt;44000,"Pass","Fail"),"Fail"))))</f>
        <v>Pass</v>
      </c>
      <c r="R121" s="224"/>
      <c r="S121" s="224"/>
      <c r="T121" s="179"/>
      <c r="U121" s="179">
        <v>19000</v>
      </c>
      <c r="V121" s="179">
        <v>49000</v>
      </c>
      <c r="W121" s="179">
        <v>33000</v>
      </c>
      <c r="X121" s="185">
        <v>44000</v>
      </c>
      <c r="Y121" s="182">
        <v>20</v>
      </c>
    </row>
    <row r="122" spans="1:25" x14ac:dyDescent="0.3">
      <c r="A122" s="175"/>
      <c r="B122" s="225"/>
      <c r="C122" s="71" t="s">
        <v>89</v>
      </c>
      <c r="D122" s="56">
        <v>18293.55</v>
      </c>
      <c r="E122" s="56">
        <v>16443.84</v>
      </c>
      <c r="F122" s="56">
        <v>16245.72</v>
      </c>
      <c r="G122" s="56">
        <v>16144.93</v>
      </c>
      <c r="H122" s="56">
        <v>17439.02</v>
      </c>
      <c r="I122" s="56">
        <v>16337.78</v>
      </c>
      <c r="J122" s="56">
        <v>16122.15</v>
      </c>
      <c r="K122" s="56">
        <v>15877.27</v>
      </c>
      <c r="L122" s="56">
        <v>15489.62</v>
      </c>
      <c r="M122" s="225"/>
      <c r="N122" s="225"/>
      <c r="O122" s="225"/>
      <c r="P122" s="225"/>
      <c r="Q122" s="228"/>
      <c r="R122" s="225"/>
      <c r="S122" s="225"/>
      <c r="T122" s="180"/>
      <c r="U122" s="180"/>
      <c r="V122" s="180"/>
      <c r="W122" s="180"/>
      <c r="X122" s="186"/>
      <c r="Y122" s="183"/>
    </row>
    <row r="123" spans="1:25" ht="26.6" customHeight="1" x14ac:dyDescent="0.3">
      <c r="A123" s="176"/>
      <c r="B123" s="226"/>
      <c r="C123" s="71" t="s">
        <v>123</v>
      </c>
      <c r="D123" s="71">
        <f t="shared" ref="D123:L123" si="37">IF(((D121="")*AND(D122="")),"",(D121-D122)*3)</f>
        <v>32992.229999999996</v>
      </c>
      <c r="E123" s="71">
        <f t="shared" si="37"/>
        <v>38132.100000000006</v>
      </c>
      <c r="F123" s="71">
        <f t="shared" si="37"/>
        <v>38891.61</v>
      </c>
      <c r="G123" s="71">
        <f t="shared" si="37"/>
        <v>39075.149999999994</v>
      </c>
      <c r="H123" s="71">
        <f t="shared" si="37"/>
        <v>35844.959999999999</v>
      </c>
      <c r="I123" s="71">
        <f t="shared" si="37"/>
        <v>38825.789999999994</v>
      </c>
      <c r="J123" s="71">
        <f t="shared" si="37"/>
        <v>39070.050000000003</v>
      </c>
      <c r="K123" s="71">
        <f t="shared" si="37"/>
        <v>39856.83</v>
      </c>
      <c r="L123" s="71">
        <f t="shared" si="37"/>
        <v>41731.26</v>
      </c>
      <c r="M123" s="226"/>
      <c r="N123" s="226"/>
      <c r="O123" s="226"/>
      <c r="P123" s="226"/>
      <c r="Q123" s="229"/>
      <c r="R123" s="226"/>
      <c r="S123" s="226"/>
      <c r="T123" s="181"/>
      <c r="U123" s="181"/>
      <c r="V123" s="181"/>
      <c r="W123" s="181"/>
      <c r="X123" s="187"/>
      <c r="Y123" s="184"/>
    </row>
    <row r="124" spans="1:25" x14ac:dyDescent="0.3">
      <c r="A124" s="174">
        <v>43111</v>
      </c>
      <c r="B124" s="224" t="s">
        <v>124</v>
      </c>
      <c r="C124" s="71" t="s">
        <v>88</v>
      </c>
      <c r="D124" s="56">
        <v>29303.19</v>
      </c>
      <c r="E124" s="56">
        <v>29107.89</v>
      </c>
      <c r="F124" s="56">
        <v>29103.69</v>
      </c>
      <c r="G124" s="56">
        <v>29118.79</v>
      </c>
      <c r="H124" s="56">
        <v>29389.16</v>
      </c>
      <c r="I124" s="56">
        <v>29258.29</v>
      </c>
      <c r="J124" s="56">
        <v>29096.44</v>
      </c>
      <c r="K124" s="56">
        <v>29110.06</v>
      </c>
      <c r="L124" s="56">
        <v>29349.45</v>
      </c>
      <c r="M124" s="224">
        <f>IF((L125=""),"",MAX(D126:L126))</f>
        <v>41832.15</v>
      </c>
      <c r="N124" s="224">
        <f>IF(L125="","",MIN(D126:L126))</f>
        <v>32480.46</v>
      </c>
      <c r="O124" s="224">
        <f>IF((L126=""),"",AVERAGE(D126:L126))</f>
        <v>38425.279999999999</v>
      </c>
      <c r="P124" s="224">
        <f>IF((L125=""),"",((M124-N124)/(M124+N124))*100)</f>
        <v>12.584257234404769</v>
      </c>
      <c r="Q124" s="227" t="str">
        <f>IF(L125="","",IF(P126&lt;20,(IF(O124&gt;33000,IF(O124&lt;44000,"Pass","Fail"),"Fail"))))</f>
        <v>Pass</v>
      </c>
      <c r="R124" s="224">
        <v>1159</v>
      </c>
      <c r="S124" s="224" t="s">
        <v>178</v>
      </c>
      <c r="T124" s="179"/>
      <c r="U124" s="179">
        <v>19000</v>
      </c>
      <c r="V124" s="179">
        <v>49000</v>
      </c>
      <c r="W124" s="179">
        <v>33000</v>
      </c>
      <c r="X124" s="185">
        <v>44000</v>
      </c>
      <c r="Y124" s="182">
        <v>20</v>
      </c>
    </row>
    <row r="125" spans="1:25" x14ac:dyDescent="0.3">
      <c r="A125" s="175"/>
      <c r="B125" s="225"/>
      <c r="C125" s="71" t="s">
        <v>89</v>
      </c>
      <c r="D125" s="56">
        <v>18476.37</v>
      </c>
      <c r="E125" s="56">
        <v>16392.8</v>
      </c>
      <c r="F125" s="56">
        <v>16108.27</v>
      </c>
      <c r="G125" s="56">
        <v>15920.14</v>
      </c>
      <c r="H125" s="56">
        <v>17285.689999999999</v>
      </c>
      <c r="I125" s="56">
        <v>16224.47</v>
      </c>
      <c r="J125" s="56">
        <v>15979.11</v>
      </c>
      <c r="K125" s="56">
        <v>15768.87</v>
      </c>
      <c r="L125" s="56">
        <v>15405.4</v>
      </c>
      <c r="M125" s="225"/>
      <c r="N125" s="225"/>
      <c r="O125" s="225"/>
      <c r="P125" s="225"/>
      <c r="Q125" s="228"/>
      <c r="R125" s="225"/>
      <c r="S125" s="225"/>
      <c r="T125" s="180"/>
      <c r="U125" s="180"/>
      <c r="V125" s="180"/>
      <c r="W125" s="180"/>
      <c r="X125" s="186"/>
      <c r="Y125" s="183"/>
    </row>
    <row r="126" spans="1:25" ht="26.6" customHeight="1" x14ac:dyDescent="0.3">
      <c r="A126" s="176"/>
      <c r="B126" s="226"/>
      <c r="C126" s="71" t="s">
        <v>123</v>
      </c>
      <c r="D126" s="71">
        <f t="shared" ref="D126:L126" si="38">IF(((D124="")*AND(D125="")),"",(D124-D125)*3)</f>
        <v>32480.46</v>
      </c>
      <c r="E126" s="71">
        <f t="shared" si="38"/>
        <v>38145.270000000004</v>
      </c>
      <c r="F126" s="71">
        <f t="shared" si="38"/>
        <v>38986.259999999995</v>
      </c>
      <c r="G126" s="71">
        <f t="shared" si="38"/>
        <v>39595.950000000004</v>
      </c>
      <c r="H126" s="71">
        <f t="shared" si="38"/>
        <v>36310.410000000003</v>
      </c>
      <c r="I126" s="71">
        <f t="shared" si="38"/>
        <v>39101.460000000006</v>
      </c>
      <c r="J126" s="71">
        <f t="shared" si="38"/>
        <v>39351.989999999991</v>
      </c>
      <c r="K126" s="71">
        <f t="shared" si="38"/>
        <v>40023.57</v>
      </c>
      <c r="L126" s="71">
        <f t="shared" si="38"/>
        <v>41832.15</v>
      </c>
      <c r="M126" s="226"/>
      <c r="N126" s="226"/>
      <c r="O126" s="226"/>
      <c r="P126" s="226"/>
      <c r="Q126" s="229"/>
      <c r="R126" s="226"/>
      <c r="S126" s="226"/>
      <c r="T126" s="181"/>
      <c r="U126" s="181"/>
      <c r="V126" s="181"/>
      <c r="W126" s="181"/>
      <c r="X126" s="187"/>
      <c r="Y126" s="184"/>
    </row>
    <row r="127" spans="1:25" x14ac:dyDescent="0.3">
      <c r="A127" s="174">
        <v>43118</v>
      </c>
      <c r="B127" s="224" t="s">
        <v>124</v>
      </c>
      <c r="C127" s="71" t="s">
        <v>88</v>
      </c>
      <c r="D127" s="56">
        <v>29237.87</v>
      </c>
      <c r="E127" s="56">
        <v>29057.53</v>
      </c>
      <c r="F127" s="56">
        <v>29075.83</v>
      </c>
      <c r="G127" s="56">
        <v>29028.48</v>
      </c>
      <c r="H127" s="56">
        <v>29235.83</v>
      </c>
      <c r="I127" s="56">
        <v>29199.360000000001</v>
      </c>
      <c r="J127" s="56">
        <v>29003.439999999999</v>
      </c>
      <c r="K127" s="56">
        <v>29020.53</v>
      </c>
      <c r="L127" s="56">
        <v>29307.23</v>
      </c>
      <c r="M127" s="224">
        <f>IF((L128=""),"",MAX(D129:L129))</f>
        <v>42621.09</v>
      </c>
      <c r="N127" s="224">
        <f>IF(L128="","",MIN(D129:L129))</f>
        <v>33489.299999999996</v>
      </c>
      <c r="O127" s="224">
        <f>IF((L129=""),"",AVERAGE(D129:L129))</f>
        <v>39055.126666666671</v>
      </c>
      <c r="P127" s="224">
        <f>IF((L128=""),"",((M127-N127)/(M127+N127))*100)</f>
        <v>11.998085938069694</v>
      </c>
      <c r="Q127" s="227" t="str">
        <f>IF(L128="","",IF(P129&lt;20,(IF(O127&gt;33000,IF(O127&lt;44000,"Pass","Fail"),"Fail"))))</f>
        <v>Pass</v>
      </c>
      <c r="R127" s="224">
        <v>121</v>
      </c>
      <c r="S127" s="224"/>
      <c r="T127" s="179"/>
      <c r="U127" s="179">
        <v>19000</v>
      </c>
      <c r="V127" s="179">
        <v>49000</v>
      </c>
      <c r="W127" s="179">
        <v>33000</v>
      </c>
      <c r="X127" s="185">
        <v>44000</v>
      </c>
      <c r="Y127" s="182">
        <v>20</v>
      </c>
    </row>
    <row r="128" spans="1:25" x14ac:dyDescent="0.3">
      <c r="A128" s="175"/>
      <c r="B128" s="225"/>
      <c r="C128" s="71" t="s">
        <v>89</v>
      </c>
      <c r="D128" s="56">
        <v>18074.77</v>
      </c>
      <c r="E128" s="56">
        <v>16120.11</v>
      </c>
      <c r="F128" s="56">
        <v>15954.36</v>
      </c>
      <c r="G128" s="56">
        <v>15631.76</v>
      </c>
      <c r="H128" s="56">
        <v>16899.23</v>
      </c>
      <c r="I128" s="56">
        <v>15988.37</v>
      </c>
      <c r="J128" s="56">
        <v>15745.55</v>
      </c>
      <c r="K128" s="56">
        <v>15486.37</v>
      </c>
      <c r="L128" s="56">
        <v>15100.2</v>
      </c>
      <c r="M128" s="225"/>
      <c r="N128" s="225"/>
      <c r="O128" s="225"/>
      <c r="P128" s="225"/>
      <c r="Q128" s="228"/>
      <c r="R128" s="225"/>
      <c r="S128" s="225"/>
      <c r="T128" s="180"/>
      <c r="U128" s="180"/>
      <c r="V128" s="180"/>
      <c r="W128" s="180"/>
      <c r="X128" s="186"/>
      <c r="Y128" s="183"/>
    </row>
    <row r="129" spans="1:25" ht="26.6" customHeight="1" x14ac:dyDescent="0.3">
      <c r="A129" s="176"/>
      <c r="B129" s="226"/>
      <c r="C129" s="71" t="s">
        <v>123</v>
      </c>
      <c r="D129" s="71">
        <f t="shared" ref="D129:L129" si="39">IF(((D127="")*AND(D128="")),"",(D127-D128)*3)</f>
        <v>33489.299999999996</v>
      </c>
      <c r="E129" s="71">
        <f t="shared" si="39"/>
        <v>38812.259999999995</v>
      </c>
      <c r="F129" s="71">
        <f t="shared" si="39"/>
        <v>39364.410000000003</v>
      </c>
      <c r="G129" s="71">
        <f t="shared" si="39"/>
        <v>40190.159999999996</v>
      </c>
      <c r="H129" s="71">
        <f t="shared" si="39"/>
        <v>37009.800000000003</v>
      </c>
      <c r="I129" s="71">
        <f t="shared" si="39"/>
        <v>39632.97</v>
      </c>
      <c r="J129" s="71">
        <f t="shared" si="39"/>
        <v>39773.67</v>
      </c>
      <c r="K129" s="71">
        <f t="shared" si="39"/>
        <v>40602.479999999996</v>
      </c>
      <c r="L129" s="71">
        <f t="shared" si="39"/>
        <v>42621.09</v>
      </c>
      <c r="M129" s="226"/>
      <c r="N129" s="226"/>
      <c r="O129" s="226"/>
      <c r="P129" s="226"/>
      <c r="Q129" s="229"/>
      <c r="R129" s="226"/>
      <c r="S129" s="226"/>
      <c r="T129" s="181"/>
      <c r="U129" s="181"/>
      <c r="V129" s="181"/>
      <c r="W129" s="181"/>
      <c r="X129" s="187"/>
      <c r="Y129" s="184"/>
    </row>
    <row r="130" spans="1:25" x14ac:dyDescent="0.3">
      <c r="A130" s="174">
        <v>43122</v>
      </c>
      <c r="B130" s="224" t="s">
        <v>124</v>
      </c>
      <c r="C130" s="71" t="s">
        <v>88</v>
      </c>
      <c r="D130" s="56">
        <v>29248.87</v>
      </c>
      <c r="E130" s="56">
        <v>29067.14</v>
      </c>
      <c r="F130" s="56">
        <v>29094.91</v>
      </c>
      <c r="G130" s="56">
        <v>29084.49</v>
      </c>
      <c r="H130" s="56">
        <v>29284.9</v>
      </c>
      <c r="I130" s="56">
        <v>29216.89</v>
      </c>
      <c r="J130" s="56">
        <v>29084.09</v>
      </c>
      <c r="K130" s="56">
        <v>29003.21</v>
      </c>
      <c r="L130" s="56">
        <v>29245.97</v>
      </c>
      <c r="M130" s="224">
        <f>IF((L131=""),"",MAX(D132:L132))</f>
        <v>43505.850000000006</v>
      </c>
      <c r="N130" s="224">
        <f>IF(L131="","",MIN(D132:L132))</f>
        <v>28034.31</v>
      </c>
      <c r="O130" s="224">
        <f>IF((L132=""),"",AVERAGE(D132:L132))</f>
        <v>35633.203333333331</v>
      </c>
      <c r="P130" s="224">
        <f>IF((L131=""),"",((M130-N130)/(M130+N130))*100)</f>
        <v>21.626370419076508</v>
      </c>
      <c r="Q130" s="227" t="str">
        <f>IF(L131="","",IF(P132&lt;20,(IF(O130&gt;33000,IF(O130&lt;44000,"Pass","Fail"),"Fail"))))</f>
        <v>Pass</v>
      </c>
      <c r="R130" s="224">
        <v>1428</v>
      </c>
      <c r="S130" s="224"/>
      <c r="T130" s="179"/>
      <c r="U130" s="179">
        <v>19000</v>
      </c>
      <c r="V130" s="179">
        <v>49000</v>
      </c>
      <c r="W130" s="179">
        <v>33000</v>
      </c>
      <c r="X130" s="185">
        <v>44000</v>
      </c>
      <c r="Y130" s="182">
        <v>20</v>
      </c>
    </row>
    <row r="131" spans="1:25" x14ac:dyDescent="0.3">
      <c r="A131" s="175"/>
      <c r="B131" s="225"/>
      <c r="C131" s="71" t="s">
        <v>89</v>
      </c>
      <c r="D131" s="56">
        <v>19904.099999999999</v>
      </c>
      <c r="E131" s="56">
        <v>17726.21</v>
      </c>
      <c r="F131" s="56">
        <v>14592.96</v>
      </c>
      <c r="G131" s="56">
        <v>16656.14</v>
      </c>
      <c r="H131" s="56">
        <v>18174.240000000002</v>
      </c>
      <c r="I131" s="56">
        <v>17856.080000000002</v>
      </c>
      <c r="J131" s="56">
        <v>17082.939999999999</v>
      </c>
      <c r="K131" s="56">
        <v>16655.189999999999</v>
      </c>
      <c r="L131" s="56">
        <v>16783</v>
      </c>
      <c r="M131" s="225"/>
      <c r="N131" s="225"/>
      <c r="O131" s="225"/>
      <c r="P131" s="225"/>
      <c r="Q131" s="228"/>
      <c r="R131" s="225"/>
      <c r="S131" s="225"/>
      <c r="T131" s="180"/>
      <c r="U131" s="180"/>
      <c r="V131" s="180"/>
      <c r="W131" s="180"/>
      <c r="X131" s="186"/>
      <c r="Y131" s="183"/>
    </row>
    <row r="132" spans="1:25" ht="26.6" customHeight="1" x14ac:dyDescent="0.3">
      <c r="A132" s="176"/>
      <c r="B132" s="226"/>
      <c r="C132" s="71" t="s">
        <v>123</v>
      </c>
      <c r="D132" s="71">
        <f t="shared" ref="D132:L132" si="40">IF(((D130="")*AND(D131="")),"",(D130-D131)*3)</f>
        <v>28034.31</v>
      </c>
      <c r="E132" s="71">
        <f t="shared" si="40"/>
        <v>34022.79</v>
      </c>
      <c r="F132" s="71">
        <f t="shared" si="40"/>
        <v>43505.850000000006</v>
      </c>
      <c r="G132" s="71">
        <f t="shared" si="40"/>
        <v>37285.050000000003</v>
      </c>
      <c r="H132" s="71">
        <f t="shared" si="40"/>
        <v>33331.979999999996</v>
      </c>
      <c r="I132" s="71">
        <f t="shared" si="40"/>
        <v>34082.429999999993</v>
      </c>
      <c r="J132" s="71">
        <f t="shared" si="40"/>
        <v>36003.450000000004</v>
      </c>
      <c r="K132" s="71">
        <f t="shared" si="40"/>
        <v>37044.06</v>
      </c>
      <c r="L132" s="71">
        <f t="shared" si="40"/>
        <v>37388.910000000003</v>
      </c>
      <c r="M132" s="226"/>
      <c r="N132" s="226"/>
      <c r="O132" s="226"/>
      <c r="P132" s="226"/>
      <c r="Q132" s="229"/>
      <c r="R132" s="226"/>
      <c r="S132" s="226"/>
      <c r="T132" s="181"/>
      <c r="U132" s="181"/>
      <c r="V132" s="181"/>
      <c r="W132" s="181"/>
      <c r="X132" s="187"/>
      <c r="Y132" s="184"/>
    </row>
    <row r="133" spans="1:25" x14ac:dyDescent="0.3">
      <c r="A133" s="174">
        <v>43125</v>
      </c>
      <c r="B133" s="224" t="s">
        <v>124</v>
      </c>
      <c r="C133" s="71" t="s">
        <v>88</v>
      </c>
      <c r="D133" s="56">
        <v>29204.97</v>
      </c>
      <c r="E133" s="56">
        <v>29015.119999999999</v>
      </c>
      <c r="F133" s="56">
        <v>29031.82</v>
      </c>
      <c r="G133" s="56">
        <v>28991.49</v>
      </c>
      <c r="H133" s="56">
        <v>29226.73</v>
      </c>
      <c r="I133" s="56">
        <v>29178.65</v>
      </c>
      <c r="J133" s="56">
        <v>28997.89</v>
      </c>
      <c r="K133" s="56">
        <v>28996.55</v>
      </c>
      <c r="L133" s="56">
        <v>29224.37</v>
      </c>
      <c r="M133" s="224">
        <f>IF((L134=""),"",MAX(D135:L135))</f>
        <v>43051.319999999992</v>
      </c>
      <c r="N133" s="224">
        <f>IF(L134="","",MIN(D135:L135))</f>
        <v>33243.780000000006</v>
      </c>
      <c r="O133" s="224">
        <f>IF((L135=""),"",AVERAGE(D135:L135))</f>
        <v>39034.773333333338</v>
      </c>
      <c r="P133" s="224">
        <f>IF((L134=""),"",((M133-N133)/(M133+N133))*100)</f>
        <v>12.854744275844695</v>
      </c>
      <c r="Q133" s="227" t="str">
        <f>IF(L134="","",IF(P135&lt;20,(IF(O133&gt;33000,IF(O133&lt;44000,"Pass","Fail"),"Fail"))))</f>
        <v>Pass</v>
      </c>
      <c r="R133" s="224">
        <v>1428</v>
      </c>
      <c r="S133" s="224"/>
      <c r="T133" s="179"/>
      <c r="U133" s="179">
        <v>19000</v>
      </c>
      <c r="V133" s="179">
        <v>49000</v>
      </c>
      <c r="W133" s="179">
        <v>33000</v>
      </c>
      <c r="X133" s="185">
        <v>44000</v>
      </c>
      <c r="Y133" s="182">
        <v>20</v>
      </c>
    </row>
    <row r="134" spans="1:25" x14ac:dyDescent="0.3">
      <c r="A134" s="175"/>
      <c r="B134" s="225"/>
      <c r="C134" s="71" t="s">
        <v>89</v>
      </c>
      <c r="D134" s="56">
        <v>18123.71</v>
      </c>
      <c r="E134" s="56">
        <v>16161.55</v>
      </c>
      <c r="F134" s="56">
        <v>15894.2</v>
      </c>
      <c r="G134" s="56">
        <v>15569.95</v>
      </c>
      <c r="H134" s="56">
        <v>16945.990000000002</v>
      </c>
      <c r="I134" s="56">
        <v>16022.52</v>
      </c>
      <c r="J134" s="56">
        <v>15764.26</v>
      </c>
      <c r="K134" s="56">
        <v>15407.16</v>
      </c>
      <c r="L134" s="56">
        <v>14873.93</v>
      </c>
      <c r="M134" s="225"/>
      <c r="N134" s="225"/>
      <c r="O134" s="225"/>
      <c r="P134" s="225"/>
      <c r="Q134" s="228"/>
      <c r="R134" s="225"/>
      <c r="S134" s="225"/>
      <c r="T134" s="180"/>
      <c r="U134" s="180"/>
      <c r="V134" s="180"/>
      <c r="W134" s="180"/>
      <c r="X134" s="186"/>
      <c r="Y134" s="183"/>
    </row>
    <row r="135" spans="1:25" ht="26.6" customHeight="1" x14ac:dyDescent="0.3">
      <c r="A135" s="176"/>
      <c r="B135" s="226"/>
      <c r="C135" s="71" t="s">
        <v>123</v>
      </c>
      <c r="D135" s="71">
        <f t="shared" ref="D135:L135" si="41">IF(((D133="")*AND(D134="")),"",(D133-D134)*3)</f>
        <v>33243.780000000006</v>
      </c>
      <c r="E135" s="71">
        <f t="shared" si="41"/>
        <v>38560.71</v>
      </c>
      <c r="F135" s="71">
        <f t="shared" si="41"/>
        <v>39412.86</v>
      </c>
      <c r="G135" s="71">
        <f t="shared" si="41"/>
        <v>40264.620000000003</v>
      </c>
      <c r="H135" s="71">
        <f t="shared" si="41"/>
        <v>36842.219999999994</v>
      </c>
      <c r="I135" s="71">
        <f t="shared" si="41"/>
        <v>39468.39</v>
      </c>
      <c r="J135" s="71">
        <f t="shared" si="41"/>
        <v>39700.89</v>
      </c>
      <c r="K135" s="71">
        <f t="shared" si="41"/>
        <v>40768.17</v>
      </c>
      <c r="L135" s="71">
        <f t="shared" si="41"/>
        <v>43051.319999999992</v>
      </c>
      <c r="M135" s="226"/>
      <c r="N135" s="226"/>
      <c r="O135" s="226"/>
      <c r="P135" s="226"/>
      <c r="Q135" s="229"/>
      <c r="R135" s="226"/>
      <c r="S135" s="226"/>
      <c r="T135" s="181"/>
      <c r="U135" s="181"/>
      <c r="V135" s="181"/>
      <c r="W135" s="181"/>
      <c r="X135" s="187"/>
      <c r="Y135" s="184"/>
    </row>
    <row r="136" spans="1:25" x14ac:dyDescent="0.3">
      <c r="A136" s="174">
        <v>43128</v>
      </c>
      <c r="B136" s="224" t="s">
        <v>124</v>
      </c>
      <c r="C136" s="71" t="s">
        <v>88</v>
      </c>
      <c r="D136" s="56">
        <v>29194.68</v>
      </c>
      <c r="E136" s="56">
        <v>29029.53</v>
      </c>
      <c r="F136" s="56">
        <v>29092.26</v>
      </c>
      <c r="G136" s="56">
        <v>29123.759999999998</v>
      </c>
      <c r="H136" s="56">
        <v>29285.83</v>
      </c>
      <c r="I136" s="56">
        <v>29267.759999999998</v>
      </c>
      <c r="J136" s="56">
        <v>29058.04</v>
      </c>
      <c r="K136" s="56">
        <v>29053.27</v>
      </c>
      <c r="L136" s="56">
        <v>29256.71</v>
      </c>
      <c r="M136" s="224">
        <f>IF((L137=""),"",MAX(D138:L138))</f>
        <v>36323.399999999994</v>
      </c>
      <c r="N136" s="224">
        <f>IF(L137="","",MIN(D138:L138))</f>
        <v>28628.490000000005</v>
      </c>
      <c r="O136" s="224">
        <f>IF((L138=""),"",AVERAGE(D138:L138))</f>
        <v>33003.966666666667</v>
      </c>
      <c r="P136" s="224">
        <f>IF((L137=""),"",((M136-N136)/(M136+N136))*100)</f>
        <v>11.847091747445669</v>
      </c>
      <c r="Q136" s="227" t="str">
        <f>IF(L137="","",IF(P138&lt;20,(IF(O136&gt;33000,IF(O136&lt;44000,"Pass","Fail"),"Fail"))))</f>
        <v>Pass</v>
      </c>
      <c r="R136" s="224">
        <v>1519</v>
      </c>
      <c r="S136" s="224"/>
      <c r="T136" s="179"/>
      <c r="U136" s="179">
        <v>19000</v>
      </c>
      <c r="V136" s="179">
        <v>49000</v>
      </c>
      <c r="W136" s="179">
        <v>33000</v>
      </c>
      <c r="X136" s="185">
        <v>44000</v>
      </c>
      <c r="Y136" s="182">
        <v>20</v>
      </c>
    </row>
    <row r="137" spans="1:25" x14ac:dyDescent="0.3">
      <c r="A137" s="175"/>
      <c r="B137" s="225"/>
      <c r="C137" s="71" t="s">
        <v>89</v>
      </c>
      <c r="D137" s="56">
        <v>19651.849999999999</v>
      </c>
      <c r="E137" s="56">
        <v>18152.560000000001</v>
      </c>
      <c r="F137" s="56">
        <v>17976.87</v>
      </c>
      <c r="G137" s="56">
        <v>17823.53</v>
      </c>
      <c r="H137" s="56">
        <v>18870.37</v>
      </c>
      <c r="I137" s="56">
        <v>18116.13</v>
      </c>
      <c r="J137" s="56">
        <v>17941.150000000001</v>
      </c>
      <c r="K137" s="56">
        <v>17668.57</v>
      </c>
      <c r="L137" s="56">
        <v>17148.91</v>
      </c>
      <c r="M137" s="225"/>
      <c r="N137" s="225"/>
      <c r="O137" s="225"/>
      <c r="P137" s="225"/>
      <c r="Q137" s="228"/>
      <c r="R137" s="225"/>
      <c r="S137" s="225"/>
      <c r="T137" s="180"/>
      <c r="U137" s="180"/>
      <c r="V137" s="180"/>
      <c r="W137" s="180"/>
      <c r="X137" s="186"/>
      <c r="Y137" s="183"/>
    </row>
    <row r="138" spans="1:25" ht="26.6" customHeight="1" x14ac:dyDescent="0.3">
      <c r="A138" s="176"/>
      <c r="B138" s="226"/>
      <c r="C138" s="71" t="s">
        <v>123</v>
      </c>
      <c r="D138" s="71">
        <f t="shared" ref="D138:L138" si="42">IF(((D136="")*AND(D137="")),"",(D136-D137)*3)</f>
        <v>28628.490000000005</v>
      </c>
      <c r="E138" s="71">
        <f t="shared" si="42"/>
        <v>32630.909999999993</v>
      </c>
      <c r="F138" s="71">
        <f t="shared" si="42"/>
        <v>33346.17</v>
      </c>
      <c r="G138" s="71">
        <f t="shared" si="42"/>
        <v>33900.69</v>
      </c>
      <c r="H138" s="71">
        <f t="shared" si="42"/>
        <v>31246.380000000008</v>
      </c>
      <c r="I138" s="71">
        <f t="shared" si="42"/>
        <v>33454.889999999992</v>
      </c>
      <c r="J138" s="71">
        <f t="shared" si="42"/>
        <v>33350.67</v>
      </c>
      <c r="K138" s="71">
        <f t="shared" si="42"/>
        <v>34154.100000000006</v>
      </c>
      <c r="L138" s="71">
        <f t="shared" si="42"/>
        <v>36323.399999999994</v>
      </c>
      <c r="M138" s="226"/>
      <c r="N138" s="226"/>
      <c r="O138" s="226"/>
      <c r="P138" s="226"/>
      <c r="Q138" s="229"/>
      <c r="R138" s="226"/>
      <c r="S138" s="226"/>
      <c r="T138" s="181"/>
      <c r="U138" s="181"/>
      <c r="V138" s="181"/>
      <c r="W138" s="181"/>
      <c r="X138" s="187"/>
      <c r="Y138" s="184"/>
    </row>
    <row r="139" spans="1:25" x14ac:dyDescent="0.3">
      <c r="A139" s="174">
        <v>43131</v>
      </c>
      <c r="B139" s="224" t="s">
        <v>124</v>
      </c>
      <c r="C139" s="71" t="s">
        <v>88</v>
      </c>
      <c r="D139" s="56">
        <v>29387.58</v>
      </c>
      <c r="E139" s="56">
        <v>29246.66</v>
      </c>
      <c r="F139" s="56">
        <v>29307.65</v>
      </c>
      <c r="G139" s="56">
        <v>29242.73</v>
      </c>
      <c r="H139" s="56">
        <v>29541.25</v>
      </c>
      <c r="I139" s="56">
        <v>29397.71</v>
      </c>
      <c r="J139" s="56">
        <v>29249.66</v>
      </c>
      <c r="K139" s="56">
        <v>29241.64</v>
      </c>
      <c r="L139" s="56">
        <v>29464.53</v>
      </c>
      <c r="M139" s="224">
        <f>IF((L140=""),"",MAX(D141:L141))</f>
        <v>43135.95</v>
      </c>
      <c r="N139" s="224">
        <f>IF(L140="","",MIN(D141:L141))</f>
        <v>33306.990000000005</v>
      </c>
      <c r="O139" s="224">
        <f>IF((L141=""),"",AVERAGE(D141:L141))</f>
        <v>39146.939999999995</v>
      </c>
      <c r="P139" s="224">
        <f>IF((L140=""),"",((M139-N139)/(M139+N139))*100)</f>
        <v>12.857904209335736</v>
      </c>
      <c r="Q139" s="227" t="str">
        <f>IF(L140="","",IF(P141&lt;20,(IF(O139&gt;33000,IF(O139&lt;44000,"Pass","Fail"),"Fail"))))</f>
        <v>Pass</v>
      </c>
      <c r="R139" s="224">
        <v>1335</v>
      </c>
      <c r="S139" s="224" t="s">
        <v>179</v>
      </c>
      <c r="T139" s="179"/>
      <c r="U139" s="179">
        <v>19000</v>
      </c>
      <c r="V139" s="179">
        <v>49000</v>
      </c>
      <c r="W139" s="179">
        <v>33000</v>
      </c>
      <c r="X139" s="185">
        <v>44000</v>
      </c>
      <c r="Y139" s="182">
        <v>20</v>
      </c>
    </row>
    <row r="140" spans="1:25" x14ac:dyDescent="0.3">
      <c r="A140" s="175"/>
      <c r="B140" s="225"/>
      <c r="C140" s="71" t="s">
        <v>89</v>
      </c>
      <c r="D140" s="56">
        <v>18285.25</v>
      </c>
      <c r="E140" s="56">
        <v>16338.86</v>
      </c>
      <c r="F140" s="56">
        <v>16057.26</v>
      </c>
      <c r="G140" s="56">
        <v>15814.18</v>
      </c>
      <c r="H140" s="56">
        <v>17284.580000000002</v>
      </c>
      <c r="I140" s="56">
        <v>16189.75</v>
      </c>
      <c r="J140" s="56">
        <v>15949.46</v>
      </c>
      <c r="K140" s="56">
        <v>15633.37</v>
      </c>
      <c r="L140" s="56">
        <v>15085.88</v>
      </c>
      <c r="M140" s="225"/>
      <c r="N140" s="225"/>
      <c r="O140" s="225"/>
      <c r="P140" s="225"/>
      <c r="Q140" s="228"/>
      <c r="R140" s="225"/>
      <c r="S140" s="225"/>
      <c r="T140" s="180"/>
      <c r="U140" s="180"/>
      <c r="V140" s="180"/>
      <c r="W140" s="180"/>
      <c r="X140" s="186"/>
      <c r="Y140" s="183"/>
    </row>
    <row r="141" spans="1:25" ht="26.6" customHeight="1" x14ac:dyDescent="0.3">
      <c r="A141" s="176"/>
      <c r="B141" s="226"/>
      <c r="C141" s="71" t="s">
        <v>123</v>
      </c>
      <c r="D141" s="71">
        <f t="shared" ref="D141:L141" si="43">IF(((D139="")*AND(D140="")),"",(D139-D140)*3)</f>
        <v>33306.990000000005</v>
      </c>
      <c r="E141" s="71">
        <f t="shared" si="43"/>
        <v>38723.399999999994</v>
      </c>
      <c r="F141" s="71">
        <f t="shared" si="43"/>
        <v>39751.170000000006</v>
      </c>
      <c r="G141" s="71">
        <f t="shared" si="43"/>
        <v>40285.649999999994</v>
      </c>
      <c r="H141" s="71">
        <f t="shared" si="43"/>
        <v>36770.009999999995</v>
      </c>
      <c r="I141" s="71">
        <f t="shared" si="43"/>
        <v>39623.879999999997</v>
      </c>
      <c r="J141" s="71">
        <f t="shared" si="43"/>
        <v>39900.600000000006</v>
      </c>
      <c r="K141" s="71">
        <f t="shared" si="43"/>
        <v>40824.81</v>
      </c>
      <c r="L141" s="71">
        <f t="shared" si="43"/>
        <v>43135.95</v>
      </c>
      <c r="M141" s="226"/>
      <c r="N141" s="226"/>
      <c r="O141" s="226"/>
      <c r="P141" s="226"/>
      <c r="Q141" s="229"/>
      <c r="R141" s="226"/>
      <c r="S141" s="226"/>
      <c r="T141" s="181"/>
      <c r="U141" s="181"/>
      <c r="V141" s="181"/>
      <c r="W141" s="181"/>
      <c r="X141" s="187"/>
      <c r="Y141" s="184"/>
    </row>
    <row r="142" spans="1:25" x14ac:dyDescent="0.3">
      <c r="A142" s="174">
        <v>43134</v>
      </c>
      <c r="B142" s="224" t="s">
        <v>124</v>
      </c>
      <c r="C142" s="71" t="s">
        <v>88</v>
      </c>
      <c r="D142" s="56">
        <v>29308.47</v>
      </c>
      <c r="E142" s="56">
        <v>29245.41</v>
      </c>
      <c r="F142" s="56">
        <v>29289.74</v>
      </c>
      <c r="G142" s="56">
        <v>29209.26</v>
      </c>
      <c r="H142" s="56">
        <v>29467.06</v>
      </c>
      <c r="I142" s="56">
        <v>29369.13</v>
      </c>
      <c r="J142" s="56">
        <v>29223.19</v>
      </c>
      <c r="K142" s="56">
        <v>29230.79</v>
      </c>
      <c r="L142" s="56">
        <v>29454.93</v>
      </c>
      <c r="M142" s="224">
        <f>IF((L143=""),"",MAX(D144:L144))</f>
        <v>42167.31</v>
      </c>
      <c r="N142" s="224">
        <f>IF(L143="","",MIN(D144:L144))</f>
        <v>32835.270000000004</v>
      </c>
      <c r="O142" s="224">
        <f>IF((L144=""),"",AVERAGE(D144:L144))</f>
        <v>38739.286666666667</v>
      </c>
      <c r="P142" s="224">
        <f>IF((L143=""),"",((M142-N142)/(M142+N142))*100)</f>
        <v>12.442291985155702</v>
      </c>
      <c r="Q142" s="227" t="str">
        <f>IF(L143="","",IF(P144&lt;20,(IF(O142&gt;33000,IF(O142&lt;44000,"Pass","Fail"),"Fail"))))</f>
        <v>Pass</v>
      </c>
      <c r="R142" s="224">
        <v>1335</v>
      </c>
      <c r="S142" s="224"/>
      <c r="T142" s="179"/>
      <c r="U142" s="179">
        <v>19000</v>
      </c>
      <c r="V142" s="179">
        <v>49000</v>
      </c>
      <c r="W142" s="179">
        <v>33000</v>
      </c>
      <c r="X142" s="185">
        <v>44000</v>
      </c>
      <c r="Y142" s="182">
        <v>20</v>
      </c>
    </row>
    <row r="143" spans="1:25" x14ac:dyDescent="0.3">
      <c r="A143" s="175"/>
      <c r="B143" s="225"/>
      <c r="C143" s="71" t="s">
        <v>89</v>
      </c>
      <c r="D143" s="56">
        <v>18363.38</v>
      </c>
      <c r="E143" s="56">
        <v>16355.38</v>
      </c>
      <c r="F143" s="56">
        <v>16036.84</v>
      </c>
      <c r="G143" s="56">
        <v>15889.32</v>
      </c>
      <c r="H143" s="56">
        <v>17560.54</v>
      </c>
      <c r="I143" s="56">
        <v>16361.4</v>
      </c>
      <c r="J143" s="56">
        <v>15973.57</v>
      </c>
      <c r="K143" s="56">
        <v>15640.53</v>
      </c>
      <c r="L143" s="56">
        <v>15399.16</v>
      </c>
      <c r="M143" s="225"/>
      <c r="N143" s="225"/>
      <c r="O143" s="225"/>
      <c r="P143" s="225"/>
      <c r="Q143" s="228"/>
      <c r="R143" s="225"/>
      <c r="S143" s="225"/>
      <c r="T143" s="180"/>
      <c r="U143" s="180"/>
      <c r="V143" s="180"/>
      <c r="W143" s="180"/>
      <c r="X143" s="186"/>
      <c r="Y143" s="183"/>
    </row>
    <row r="144" spans="1:25" ht="26.6" customHeight="1" x14ac:dyDescent="0.3">
      <c r="A144" s="176"/>
      <c r="B144" s="226"/>
      <c r="C144" s="71" t="s">
        <v>123</v>
      </c>
      <c r="D144" s="71">
        <f t="shared" ref="D144:L144" si="44">IF(((D142="")*AND(D143="")),"",(D142-D143)*3)</f>
        <v>32835.270000000004</v>
      </c>
      <c r="E144" s="71">
        <f t="shared" si="44"/>
        <v>38670.090000000004</v>
      </c>
      <c r="F144" s="71">
        <f t="shared" si="44"/>
        <v>39758.700000000004</v>
      </c>
      <c r="G144" s="71">
        <f t="shared" si="44"/>
        <v>39959.819999999992</v>
      </c>
      <c r="H144" s="71">
        <f t="shared" si="44"/>
        <v>35719.56</v>
      </c>
      <c r="I144" s="71">
        <f t="shared" si="44"/>
        <v>39023.19</v>
      </c>
      <c r="J144" s="71">
        <f t="shared" si="44"/>
        <v>39748.86</v>
      </c>
      <c r="K144" s="71">
        <f t="shared" si="44"/>
        <v>40770.78</v>
      </c>
      <c r="L144" s="71">
        <f t="shared" si="44"/>
        <v>42167.31</v>
      </c>
      <c r="M144" s="226"/>
      <c r="N144" s="226"/>
      <c r="O144" s="226"/>
      <c r="P144" s="226"/>
      <c r="Q144" s="229"/>
      <c r="R144" s="226"/>
      <c r="S144" s="226"/>
      <c r="T144" s="181"/>
      <c r="U144" s="181"/>
      <c r="V144" s="181"/>
      <c r="W144" s="181"/>
      <c r="X144" s="187"/>
      <c r="Y144" s="184"/>
    </row>
    <row r="145" spans="1:25" x14ac:dyDescent="0.3">
      <c r="A145" s="174">
        <v>43137</v>
      </c>
      <c r="B145" s="224" t="s">
        <v>124</v>
      </c>
      <c r="C145" s="71" t="s">
        <v>88</v>
      </c>
      <c r="D145" s="56">
        <v>29328.35</v>
      </c>
      <c r="E145" s="56">
        <v>29165.66</v>
      </c>
      <c r="F145" s="56">
        <v>29196.69</v>
      </c>
      <c r="G145" s="56">
        <v>29257.68</v>
      </c>
      <c r="H145" s="56">
        <v>29410.29</v>
      </c>
      <c r="I145" s="56">
        <v>29381.31</v>
      </c>
      <c r="J145" s="56">
        <v>29160.55</v>
      </c>
      <c r="K145" s="56">
        <v>29160.16</v>
      </c>
      <c r="L145" s="56">
        <v>29408.3</v>
      </c>
      <c r="M145" s="224">
        <f>IF((L146=""),"",MAX(D147:L147))</f>
        <v>42359.49</v>
      </c>
      <c r="N145" s="224">
        <f>IF(L146="","",MIN(D147:L147))</f>
        <v>32621.30999999999</v>
      </c>
      <c r="O145" s="224">
        <f>IF((L147=""),"",AVERAGE(D147:L147))</f>
        <v>38893.376666666663</v>
      </c>
      <c r="P145" s="224">
        <f>IF((L146=""),"",((M145-N145)/(M145+N145))*100)</f>
        <v>12.987564816593061</v>
      </c>
      <c r="Q145" s="227" t="str">
        <f>IF(L146="","",IF(P147&lt;20,(IF(O145&gt;33000,IF(O145&lt;44000,"Pass","Fail"),"Fail"))))</f>
        <v>Pass</v>
      </c>
      <c r="R145" s="224">
        <v>102</v>
      </c>
      <c r="S145" s="224"/>
      <c r="T145" s="179"/>
      <c r="U145" s="179">
        <v>19000</v>
      </c>
      <c r="V145" s="179">
        <v>49000</v>
      </c>
      <c r="W145" s="179">
        <v>33000</v>
      </c>
      <c r="X145" s="185">
        <v>44000</v>
      </c>
      <c r="Y145" s="182">
        <v>20</v>
      </c>
    </row>
    <row r="146" spans="1:25" x14ac:dyDescent="0.3">
      <c r="A146" s="175"/>
      <c r="B146" s="225"/>
      <c r="C146" s="71" t="s">
        <v>89</v>
      </c>
      <c r="D146" s="56">
        <v>18454.580000000002</v>
      </c>
      <c r="E146" s="56">
        <v>16251.28</v>
      </c>
      <c r="F146" s="56">
        <v>15939.22</v>
      </c>
      <c r="G146" s="56">
        <v>15707.17</v>
      </c>
      <c r="H146" s="56">
        <v>17255.79</v>
      </c>
      <c r="I146" s="56">
        <v>16413.96</v>
      </c>
      <c r="J146" s="56">
        <v>15946.12</v>
      </c>
      <c r="K146" s="56">
        <v>15532.27</v>
      </c>
      <c r="L146" s="56">
        <v>15288.47</v>
      </c>
      <c r="M146" s="225"/>
      <c r="N146" s="225"/>
      <c r="O146" s="225"/>
      <c r="P146" s="225"/>
      <c r="Q146" s="228"/>
      <c r="R146" s="225"/>
      <c r="S146" s="225"/>
      <c r="T146" s="180"/>
      <c r="U146" s="180"/>
      <c r="V146" s="180"/>
      <c r="W146" s="180"/>
      <c r="X146" s="186"/>
      <c r="Y146" s="183"/>
    </row>
    <row r="147" spans="1:25" ht="26.6" customHeight="1" x14ac:dyDescent="0.3">
      <c r="A147" s="176"/>
      <c r="B147" s="226"/>
      <c r="C147" s="71" t="s">
        <v>123</v>
      </c>
      <c r="D147" s="71">
        <f t="shared" ref="D147:L147" si="45">IF(((D145="")*AND(D146="")),"",(D145-D146)*3)</f>
        <v>32621.30999999999</v>
      </c>
      <c r="E147" s="71">
        <f t="shared" si="45"/>
        <v>38743.14</v>
      </c>
      <c r="F147" s="71">
        <f t="shared" si="45"/>
        <v>39772.409999999996</v>
      </c>
      <c r="G147" s="71">
        <f t="shared" si="45"/>
        <v>40651.53</v>
      </c>
      <c r="H147" s="71">
        <f t="shared" si="45"/>
        <v>36463.5</v>
      </c>
      <c r="I147" s="71">
        <f t="shared" si="45"/>
        <v>38902.050000000003</v>
      </c>
      <c r="J147" s="71">
        <f t="shared" si="45"/>
        <v>39643.289999999994</v>
      </c>
      <c r="K147" s="71">
        <f t="shared" si="45"/>
        <v>40883.67</v>
      </c>
      <c r="L147" s="71">
        <f t="shared" si="45"/>
        <v>42359.49</v>
      </c>
      <c r="M147" s="226"/>
      <c r="N147" s="226"/>
      <c r="O147" s="226"/>
      <c r="P147" s="226"/>
      <c r="Q147" s="229"/>
      <c r="R147" s="226"/>
      <c r="S147" s="226"/>
      <c r="T147" s="181"/>
      <c r="U147" s="181"/>
      <c r="V147" s="181"/>
      <c r="W147" s="181"/>
      <c r="X147" s="187"/>
      <c r="Y147" s="184"/>
    </row>
    <row r="148" spans="1:25" x14ac:dyDescent="0.3">
      <c r="A148" s="174">
        <v>43140</v>
      </c>
      <c r="B148" s="224" t="s">
        <v>124</v>
      </c>
      <c r="C148" s="71" t="s">
        <v>88</v>
      </c>
      <c r="D148" s="56">
        <v>29291.16</v>
      </c>
      <c r="E148" s="56">
        <v>29142.37</v>
      </c>
      <c r="F148" s="56">
        <v>29194.68</v>
      </c>
      <c r="G148" s="56">
        <v>29115.37</v>
      </c>
      <c r="H148" s="56">
        <v>29353.37</v>
      </c>
      <c r="I148" s="56">
        <v>29290.95</v>
      </c>
      <c r="J148" s="56">
        <v>29121.07</v>
      </c>
      <c r="K148" s="56">
        <v>29132.01</v>
      </c>
      <c r="L148" s="56">
        <v>29372.78</v>
      </c>
      <c r="M148" s="224">
        <f>IF((L149=""),"",MAX(D150:L150))</f>
        <v>42970.38</v>
      </c>
      <c r="N148" s="224">
        <f>IF(L149="","",MIN(D150:L150))</f>
        <v>33298.44</v>
      </c>
      <c r="O148" s="224">
        <f>IF((L150=""),"",AVERAGE(D150:L150))</f>
        <v>39217.96</v>
      </c>
      <c r="P148" s="224">
        <f>IF((L149=""),"",((M148-N148)/(M148+N148))*100)</f>
        <v>12.681381460995455</v>
      </c>
      <c r="Q148" s="227" t="str">
        <f>IF(L149="","",IF(P150&lt;20,(IF(O148&gt;33000,IF(O148&lt;44000,"Pass","Fail"),"Fail"))))</f>
        <v>Pass</v>
      </c>
      <c r="R148" s="224"/>
      <c r="S148" s="224"/>
      <c r="T148" s="179"/>
      <c r="U148" s="179">
        <v>19000</v>
      </c>
      <c r="V148" s="179">
        <v>49000</v>
      </c>
      <c r="W148" s="179">
        <v>33000</v>
      </c>
      <c r="X148" s="185">
        <v>44000</v>
      </c>
      <c r="Y148" s="182">
        <v>20</v>
      </c>
    </row>
    <row r="149" spans="1:25" x14ac:dyDescent="0.3">
      <c r="A149" s="175"/>
      <c r="B149" s="225"/>
      <c r="C149" s="71" t="s">
        <v>89</v>
      </c>
      <c r="D149" s="56">
        <v>18191.68</v>
      </c>
      <c r="E149" s="56">
        <v>16121.53</v>
      </c>
      <c r="F149" s="56">
        <v>15843.56</v>
      </c>
      <c r="G149" s="56">
        <v>15671.27</v>
      </c>
      <c r="H149" s="56">
        <v>17195.05</v>
      </c>
      <c r="I149" s="56">
        <v>16152.44</v>
      </c>
      <c r="J149" s="56">
        <v>15751.84</v>
      </c>
      <c r="K149" s="56">
        <v>15383.19</v>
      </c>
      <c r="L149" s="56">
        <v>15049.32</v>
      </c>
      <c r="M149" s="225"/>
      <c r="N149" s="225"/>
      <c r="O149" s="225"/>
      <c r="P149" s="225"/>
      <c r="Q149" s="228"/>
      <c r="R149" s="225"/>
      <c r="S149" s="225"/>
      <c r="T149" s="180"/>
      <c r="U149" s="180"/>
      <c r="V149" s="180"/>
      <c r="W149" s="180"/>
      <c r="X149" s="186"/>
      <c r="Y149" s="183"/>
    </row>
    <row r="150" spans="1:25" ht="26.6" customHeight="1" x14ac:dyDescent="0.3">
      <c r="A150" s="176"/>
      <c r="B150" s="226"/>
      <c r="C150" s="71" t="s">
        <v>123</v>
      </c>
      <c r="D150" s="71">
        <f t="shared" ref="D150:L150" si="46">IF(((D148="")*AND(D149="")),"",(D148-D149)*3)</f>
        <v>33298.44</v>
      </c>
      <c r="E150" s="71">
        <f t="shared" si="46"/>
        <v>39062.519999999997</v>
      </c>
      <c r="F150" s="71">
        <f t="shared" si="46"/>
        <v>40053.360000000001</v>
      </c>
      <c r="G150" s="71">
        <f t="shared" si="46"/>
        <v>40332.299999999996</v>
      </c>
      <c r="H150" s="71">
        <f t="shared" si="46"/>
        <v>36474.959999999999</v>
      </c>
      <c r="I150" s="71">
        <f t="shared" si="46"/>
        <v>39415.53</v>
      </c>
      <c r="J150" s="71">
        <f t="shared" si="46"/>
        <v>40107.69</v>
      </c>
      <c r="K150" s="71">
        <f t="shared" si="46"/>
        <v>41246.459999999992</v>
      </c>
      <c r="L150" s="71">
        <f t="shared" si="46"/>
        <v>42970.38</v>
      </c>
      <c r="M150" s="226"/>
      <c r="N150" s="226"/>
      <c r="O150" s="226"/>
      <c r="P150" s="226"/>
      <c r="Q150" s="229"/>
      <c r="R150" s="226"/>
      <c r="S150" s="226"/>
      <c r="T150" s="181"/>
      <c r="U150" s="181"/>
      <c r="V150" s="181"/>
      <c r="W150" s="181"/>
      <c r="X150" s="187"/>
      <c r="Y150" s="184"/>
    </row>
    <row r="151" spans="1:25" x14ac:dyDescent="0.3">
      <c r="A151" s="174">
        <v>43143</v>
      </c>
      <c r="B151" s="224" t="s">
        <v>124</v>
      </c>
      <c r="C151" s="71" t="s">
        <v>88</v>
      </c>
      <c r="D151" s="56">
        <v>29416.240000000002</v>
      </c>
      <c r="E151" s="56">
        <v>29236.560000000001</v>
      </c>
      <c r="F151" s="56">
        <v>29242.25</v>
      </c>
      <c r="G151" s="56">
        <v>29242.31</v>
      </c>
      <c r="H151" s="56">
        <v>29473.21</v>
      </c>
      <c r="I151" s="56">
        <v>29396.65</v>
      </c>
      <c r="J151" s="56">
        <v>29226.59</v>
      </c>
      <c r="K151" s="56">
        <v>29234.16</v>
      </c>
      <c r="L151" s="56">
        <v>29463.279999999999</v>
      </c>
      <c r="M151" s="224">
        <f>IF((L152=""),"",MAX(D153:L153))</f>
        <v>43321.53</v>
      </c>
      <c r="N151" s="224">
        <f>IF(L152="","",MIN(D153:L153))</f>
        <v>33795.150000000009</v>
      </c>
      <c r="O151" s="224">
        <f>IF((L153=""),"",AVERAGE(D153:L153))</f>
        <v>39963.05333333333</v>
      </c>
      <c r="P151" s="224">
        <f>IF((L152=""),"",((M151-N151)/(M151+N151))*100)</f>
        <v>12.353202964650436</v>
      </c>
      <c r="Q151" s="227" t="str">
        <f>IF(L152="","",IF(P153&lt;20,(IF(O151&gt;33000,IF(O151&lt;44000,"Pass","Fail"),"Fail"))))</f>
        <v>Pass</v>
      </c>
      <c r="R151" s="224">
        <v>121</v>
      </c>
      <c r="S151" s="224"/>
      <c r="T151" s="179"/>
      <c r="U151" s="179">
        <v>19000</v>
      </c>
      <c r="V151" s="179">
        <v>49000</v>
      </c>
      <c r="W151" s="179">
        <v>33000</v>
      </c>
      <c r="X151" s="185">
        <v>44000</v>
      </c>
      <c r="Y151" s="182">
        <v>20</v>
      </c>
    </row>
    <row r="152" spans="1:25" x14ac:dyDescent="0.3">
      <c r="A152" s="175"/>
      <c r="B152" s="225"/>
      <c r="C152" s="71" t="s">
        <v>89</v>
      </c>
      <c r="D152" s="56">
        <v>18151.189999999999</v>
      </c>
      <c r="E152" s="56">
        <v>15965.1</v>
      </c>
      <c r="F152" s="56">
        <v>15556.4</v>
      </c>
      <c r="G152" s="56">
        <v>15336.4</v>
      </c>
      <c r="H152" s="56">
        <v>17008.400000000001</v>
      </c>
      <c r="I152" s="56">
        <v>16163.05</v>
      </c>
      <c r="J152" s="56">
        <v>15636.62</v>
      </c>
      <c r="K152" s="56">
        <v>15202.16</v>
      </c>
      <c r="L152" s="56">
        <v>15022.77</v>
      </c>
      <c r="M152" s="225"/>
      <c r="N152" s="225"/>
      <c r="O152" s="225"/>
      <c r="P152" s="225"/>
      <c r="Q152" s="228"/>
      <c r="R152" s="225"/>
      <c r="S152" s="225"/>
      <c r="T152" s="180"/>
      <c r="U152" s="180"/>
      <c r="V152" s="180"/>
      <c r="W152" s="180"/>
      <c r="X152" s="186"/>
      <c r="Y152" s="183"/>
    </row>
    <row r="153" spans="1:25" ht="26.6" customHeight="1" x14ac:dyDescent="0.3">
      <c r="A153" s="176"/>
      <c r="B153" s="226"/>
      <c r="C153" s="71" t="s">
        <v>123</v>
      </c>
      <c r="D153" s="71">
        <f t="shared" ref="D153:L153" si="47">IF(((D151="")*AND(D152="")),"",(D151-D152)*3)</f>
        <v>33795.150000000009</v>
      </c>
      <c r="E153" s="71">
        <f t="shared" si="47"/>
        <v>39814.380000000005</v>
      </c>
      <c r="F153" s="71">
        <f t="shared" si="47"/>
        <v>41057.550000000003</v>
      </c>
      <c r="G153" s="71">
        <f t="shared" si="47"/>
        <v>41717.730000000003</v>
      </c>
      <c r="H153" s="71">
        <f t="shared" si="47"/>
        <v>37394.429999999993</v>
      </c>
      <c r="I153" s="71">
        <f t="shared" si="47"/>
        <v>39700.800000000003</v>
      </c>
      <c r="J153" s="71">
        <f t="shared" si="47"/>
        <v>40769.909999999996</v>
      </c>
      <c r="K153" s="71">
        <f t="shared" si="47"/>
        <v>42096</v>
      </c>
      <c r="L153" s="71">
        <f t="shared" si="47"/>
        <v>43321.53</v>
      </c>
      <c r="M153" s="226"/>
      <c r="N153" s="226"/>
      <c r="O153" s="226"/>
      <c r="P153" s="226"/>
      <c r="Q153" s="229"/>
      <c r="R153" s="226"/>
      <c r="S153" s="226"/>
      <c r="T153" s="181"/>
      <c r="U153" s="181"/>
      <c r="V153" s="181"/>
      <c r="W153" s="181"/>
      <c r="X153" s="187"/>
      <c r="Y153" s="184"/>
    </row>
    <row r="154" spans="1:25" x14ac:dyDescent="0.3">
      <c r="A154" s="174">
        <v>43146</v>
      </c>
      <c r="B154" s="224" t="s">
        <v>124</v>
      </c>
      <c r="C154" s="71" t="s">
        <v>88</v>
      </c>
      <c r="D154" s="56">
        <v>29303.4</v>
      </c>
      <c r="E154" s="56">
        <v>29140.51</v>
      </c>
      <c r="F154" s="56">
        <v>29164.13</v>
      </c>
      <c r="G154" s="56">
        <v>29188.07</v>
      </c>
      <c r="H154" s="56">
        <v>29403.58</v>
      </c>
      <c r="I154" s="56">
        <v>29328.44</v>
      </c>
      <c r="J154" s="56">
        <v>29161.67</v>
      </c>
      <c r="K154" s="56">
        <v>29148.02</v>
      </c>
      <c r="L154" s="56">
        <v>29391.09</v>
      </c>
      <c r="M154" s="224">
        <f>IF((L155=""),"",MAX(D156:L156))</f>
        <v>43573.05</v>
      </c>
      <c r="N154" s="224">
        <f>IF(L155="","",MIN(D156:L156))</f>
        <v>33767.79</v>
      </c>
      <c r="O154" s="224">
        <f>IF((L156=""),"",AVERAGE(D156:L156))</f>
        <v>39755.279999999999</v>
      </c>
      <c r="P154" s="224">
        <f>IF((L155=""),"",((M154-N154)/(M154+N154))*100)</f>
        <v>12.677984878364395</v>
      </c>
      <c r="Q154" s="227" t="str">
        <f>IF(L155="","",IF(P156&lt;20,(IF(O154&gt;33000,IF(O154&lt;44000,"Pass","Fail"),"Fail"))))</f>
        <v>Pass</v>
      </c>
      <c r="R154" s="224">
        <v>102</v>
      </c>
      <c r="S154" s="224"/>
      <c r="T154" s="179"/>
      <c r="U154" s="179">
        <v>19000</v>
      </c>
      <c r="V154" s="179">
        <v>49000</v>
      </c>
      <c r="W154" s="179">
        <v>33000</v>
      </c>
      <c r="X154" s="185">
        <v>44000</v>
      </c>
      <c r="Y154" s="182">
        <v>20</v>
      </c>
    </row>
    <row r="155" spans="1:25" x14ac:dyDescent="0.3">
      <c r="A155" s="175"/>
      <c r="B155" s="225"/>
      <c r="C155" s="71" t="s">
        <v>89</v>
      </c>
      <c r="D155" s="56">
        <v>18047.47</v>
      </c>
      <c r="E155" s="56">
        <v>16055.39</v>
      </c>
      <c r="F155" s="56">
        <v>15747.89</v>
      </c>
      <c r="G155" s="56">
        <v>15490.05</v>
      </c>
      <c r="H155" s="56">
        <v>17014.47</v>
      </c>
      <c r="I155" s="56">
        <v>15849.28</v>
      </c>
      <c r="J155" s="56">
        <v>15630.77</v>
      </c>
      <c r="K155" s="56">
        <v>15261.01</v>
      </c>
      <c r="L155" s="56">
        <v>14866.74</v>
      </c>
      <c r="M155" s="225"/>
      <c r="N155" s="225"/>
      <c r="O155" s="225"/>
      <c r="P155" s="225"/>
      <c r="Q155" s="228"/>
      <c r="R155" s="225"/>
      <c r="S155" s="225"/>
      <c r="T155" s="180"/>
      <c r="U155" s="180"/>
      <c r="V155" s="180"/>
      <c r="W155" s="180"/>
      <c r="X155" s="186"/>
      <c r="Y155" s="183"/>
    </row>
    <row r="156" spans="1:25" ht="26.6" customHeight="1" x14ac:dyDescent="0.3">
      <c r="A156" s="176"/>
      <c r="B156" s="226"/>
      <c r="C156" s="71" t="s">
        <v>123</v>
      </c>
      <c r="D156" s="71">
        <f t="shared" ref="D156:L156" si="48">IF(((D154="")*AND(D155="")),"",(D154-D155)*3)</f>
        <v>33767.79</v>
      </c>
      <c r="E156" s="71">
        <f t="shared" si="48"/>
        <v>39255.360000000001</v>
      </c>
      <c r="F156" s="71">
        <f t="shared" si="48"/>
        <v>40248.720000000001</v>
      </c>
      <c r="G156" s="71">
        <f t="shared" si="48"/>
        <v>41094.06</v>
      </c>
      <c r="H156" s="71">
        <f t="shared" si="48"/>
        <v>37167.33</v>
      </c>
      <c r="I156" s="71">
        <f t="shared" si="48"/>
        <v>40437.479999999996</v>
      </c>
      <c r="J156" s="71">
        <f t="shared" si="48"/>
        <v>40592.699999999997</v>
      </c>
      <c r="K156" s="71">
        <f t="shared" si="48"/>
        <v>41661.03</v>
      </c>
      <c r="L156" s="71">
        <f t="shared" si="48"/>
        <v>43573.05</v>
      </c>
      <c r="M156" s="226"/>
      <c r="N156" s="226"/>
      <c r="O156" s="226"/>
      <c r="P156" s="226"/>
      <c r="Q156" s="229"/>
      <c r="R156" s="226"/>
      <c r="S156" s="226"/>
      <c r="T156" s="181"/>
      <c r="U156" s="181"/>
      <c r="V156" s="181"/>
      <c r="W156" s="181"/>
      <c r="X156" s="187"/>
      <c r="Y156" s="184"/>
    </row>
    <row r="157" spans="1:25" x14ac:dyDescent="0.3">
      <c r="A157" s="174">
        <v>43150</v>
      </c>
      <c r="B157" s="224" t="s">
        <v>124</v>
      </c>
      <c r="C157" s="71" t="s">
        <v>88</v>
      </c>
      <c r="D157" s="56">
        <v>29333.39</v>
      </c>
      <c r="E157" s="56">
        <v>26892.799999999999</v>
      </c>
      <c r="F157" s="56">
        <v>26911.08</v>
      </c>
      <c r="G157" s="56">
        <v>29112.58</v>
      </c>
      <c r="H157" s="56">
        <v>29338.42</v>
      </c>
      <c r="I157" s="56">
        <v>29280.49</v>
      </c>
      <c r="J157" s="56">
        <v>29067.25</v>
      </c>
      <c r="K157" s="56">
        <v>29134.58</v>
      </c>
      <c r="L157" s="56">
        <v>29322.5</v>
      </c>
      <c r="M157" s="224">
        <f>IF((L158=""),"",MAX(D159:L159))</f>
        <v>42907.11</v>
      </c>
      <c r="N157" s="224">
        <f>IF(L158="","",MIN(D159:L159))</f>
        <v>32791.47</v>
      </c>
      <c r="O157" s="224">
        <f>IF((L159=""),"",AVERAGE(D159:L159))</f>
        <v>38189.25</v>
      </c>
      <c r="P157" s="224">
        <f>IF((L158=""),"",((M157-N157)/(M157+N157))*100)</f>
        <v>13.363051195940532</v>
      </c>
      <c r="Q157" s="227" t="str">
        <f>IF(L158="","",IF(P159&lt;20,(IF(O157&gt;33000,IF(O157&lt;44000,"Pass","Fail"),"Fail"))))</f>
        <v>Pass</v>
      </c>
      <c r="R157" s="224"/>
      <c r="S157" s="224"/>
      <c r="T157" s="179"/>
      <c r="U157" s="179">
        <v>19000</v>
      </c>
      <c r="V157" s="179">
        <v>49000</v>
      </c>
      <c r="W157" s="179">
        <v>33000</v>
      </c>
      <c r="X157" s="185">
        <v>44000</v>
      </c>
      <c r="Y157" s="182">
        <v>20</v>
      </c>
    </row>
    <row r="158" spans="1:25" x14ac:dyDescent="0.3">
      <c r="A158" s="175"/>
      <c r="B158" s="225"/>
      <c r="C158" s="71" t="s">
        <v>89</v>
      </c>
      <c r="D158" s="56">
        <v>18363.37</v>
      </c>
      <c r="E158" s="56">
        <v>15834.77</v>
      </c>
      <c r="F158" s="56">
        <v>15980.59</v>
      </c>
      <c r="G158" s="56">
        <v>15107.03</v>
      </c>
      <c r="H158" s="56">
        <v>16979.96</v>
      </c>
      <c r="I158" s="56">
        <v>16088.96</v>
      </c>
      <c r="J158" s="56">
        <v>15481.04</v>
      </c>
      <c r="K158" s="56">
        <v>14969.49</v>
      </c>
      <c r="L158" s="56">
        <v>15020.13</v>
      </c>
      <c r="M158" s="225"/>
      <c r="N158" s="225"/>
      <c r="O158" s="225"/>
      <c r="P158" s="225"/>
      <c r="Q158" s="228"/>
      <c r="R158" s="225"/>
      <c r="S158" s="225"/>
      <c r="T158" s="180"/>
      <c r="U158" s="180"/>
      <c r="V158" s="180"/>
      <c r="W158" s="180"/>
      <c r="X158" s="186"/>
      <c r="Y158" s="183"/>
    </row>
    <row r="159" spans="1:25" ht="26.6" customHeight="1" x14ac:dyDescent="0.3">
      <c r="A159" s="176"/>
      <c r="B159" s="226"/>
      <c r="C159" s="71" t="s">
        <v>123</v>
      </c>
      <c r="D159" s="71">
        <f t="shared" ref="D159:L159" si="49">IF(((D157="")*AND(D158="")),"",(D157-D158)*3)</f>
        <v>32910.06</v>
      </c>
      <c r="E159" s="71">
        <f t="shared" si="49"/>
        <v>33174.089999999997</v>
      </c>
      <c r="F159" s="71">
        <f t="shared" si="49"/>
        <v>32791.47</v>
      </c>
      <c r="G159" s="71">
        <f t="shared" si="49"/>
        <v>42016.65</v>
      </c>
      <c r="H159" s="71">
        <f t="shared" si="49"/>
        <v>37075.379999999997</v>
      </c>
      <c r="I159" s="71">
        <f t="shared" si="49"/>
        <v>39574.590000000011</v>
      </c>
      <c r="J159" s="71">
        <f t="shared" si="49"/>
        <v>40758.629999999997</v>
      </c>
      <c r="K159" s="71">
        <f t="shared" si="49"/>
        <v>42495.270000000004</v>
      </c>
      <c r="L159" s="71">
        <f t="shared" si="49"/>
        <v>42907.11</v>
      </c>
      <c r="M159" s="226"/>
      <c r="N159" s="226"/>
      <c r="O159" s="226"/>
      <c r="P159" s="226"/>
      <c r="Q159" s="229"/>
      <c r="R159" s="226"/>
      <c r="S159" s="226"/>
      <c r="T159" s="181"/>
      <c r="U159" s="181"/>
      <c r="V159" s="181"/>
      <c r="W159" s="181"/>
      <c r="X159" s="187"/>
      <c r="Y159" s="184"/>
    </row>
    <row r="160" spans="1:25" x14ac:dyDescent="0.3">
      <c r="A160" s="174">
        <v>43157</v>
      </c>
      <c r="B160" s="224" t="s">
        <v>124</v>
      </c>
      <c r="C160" s="71" t="s">
        <v>88</v>
      </c>
      <c r="D160" s="56">
        <v>29272.47</v>
      </c>
      <c r="E160" s="56">
        <v>29083.57</v>
      </c>
      <c r="F160" s="56">
        <v>29081.4</v>
      </c>
      <c r="G160" s="56">
        <v>29073.47</v>
      </c>
      <c r="H160" s="56">
        <v>29269.46</v>
      </c>
      <c r="I160" s="56">
        <v>29200.14</v>
      </c>
      <c r="J160" s="56">
        <v>29061.16</v>
      </c>
      <c r="K160" s="56">
        <v>29079.06</v>
      </c>
      <c r="L160" s="56">
        <v>29312.95</v>
      </c>
      <c r="M160" s="224">
        <f>IF((L161=""),"",MAX(D162:L162))</f>
        <v>42728.01</v>
      </c>
      <c r="N160" s="224">
        <f>IF(L161="","",MIN(D162:L162))</f>
        <v>34739.31</v>
      </c>
      <c r="O160" s="224">
        <f>IF((L162=""),"",AVERAGE(D162:L162))</f>
        <v>39568.953333333338</v>
      </c>
      <c r="P160" s="224">
        <f>IF((L161=""),"",((M160-N160)/(M160+N160))*100)</f>
        <v>10.312348484496434</v>
      </c>
      <c r="Q160" s="227" t="str">
        <f>IF(L161="","",IF(P162&lt;20,(IF(O160&gt;33000,IF(O160&lt;44000,"Pass","Fail"),"Fail"))))</f>
        <v>Pass</v>
      </c>
      <c r="R160" s="224">
        <v>1159</v>
      </c>
      <c r="S160" s="224" t="s">
        <v>180</v>
      </c>
      <c r="T160" s="179"/>
      <c r="U160" s="179">
        <v>19000</v>
      </c>
      <c r="V160" s="179">
        <v>49000</v>
      </c>
      <c r="W160" s="179">
        <v>33000</v>
      </c>
      <c r="X160" s="185">
        <v>44000</v>
      </c>
      <c r="Y160" s="182">
        <v>20</v>
      </c>
    </row>
    <row r="161" spans="1:26" x14ac:dyDescent="0.3">
      <c r="A161" s="175"/>
      <c r="B161" s="225"/>
      <c r="C161" s="71" t="s">
        <v>89</v>
      </c>
      <c r="D161" s="56">
        <v>17692.7</v>
      </c>
      <c r="E161" s="56">
        <v>16079.95</v>
      </c>
      <c r="F161" s="56">
        <v>15945.67</v>
      </c>
      <c r="G161" s="56">
        <v>15563.44</v>
      </c>
      <c r="H161" s="56">
        <v>16962.82</v>
      </c>
      <c r="I161" s="56">
        <v>15359.32</v>
      </c>
      <c r="J161" s="56">
        <v>15563.5</v>
      </c>
      <c r="K161" s="56">
        <v>15489.14</v>
      </c>
      <c r="L161" s="56">
        <v>15070.28</v>
      </c>
      <c r="M161" s="225"/>
      <c r="N161" s="225"/>
      <c r="O161" s="225"/>
      <c r="P161" s="225"/>
      <c r="Q161" s="228"/>
      <c r="R161" s="225"/>
      <c r="S161" s="225"/>
      <c r="T161" s="180"/>
      <c r="U161" s="180"/>
      <c r="V161" s="180"/>
      <c r="W161" s="180"/>
      <c r="X161" s="186"/>
      <c r="Y161" s="183"/>
    </row>
    <row r="162" spans="1:26" ht="26.6" customHeight="1" x14ac:dyDescent="0.3">
      <c r="A162" s="176"/>
      <c r="B162" s="226"/>
      <c r="C162" s="71" t="s">
        <v>123</v>
      </c>
      <c r="D162" s="71">
        <f t="shared" ref="D162:L162" si="50">IF(((D160="")*AND(D161="")),"",(D160-D161)*3)</f>
        <v>34739.31</v>
      </c>
      <c r="E162" s="71">
        <f t="shared" si="50"/>
        <v>39010.86</v>
      </c>
      <c r="F162" s="71">
        <f t="shared" si="50"/>
        <v>39407.19</v>
      </c>
      <c r="G162" s="71">
        <f t="shared" si="50"/>
        <v>40530.090000000004</v>
      </c>
      <c r="H162" s="71">
        <f t="shared" si="50"/>
        <v>36919.919999999998</v>
      </c>
      <c r="I162" s="71">
        <f t="shared" si="50"/>
        <v>41522.46</v>
      </c>
      <c r="J162" s="71">
        <f t="shared" si="50"/>
        <v>40492.979999999996</v>
      </c>
      <c r="K162" s="71">
        <f t="shared" si="50"/>
        <v>40769.760000000009</v>
      </c>
      <c r="L162" s="71">
        <f t="shared" si="50"/>
        <v>42728.01</v>
      </c>
      <c r="M162" s="226"/>
      <c r="N162" s="226"/>
      <c r="O162" s="226"/>
      <c r="P162" s="226"/>
      <c r="Q162" s="229"/>
      <c r="R162" s="226"/>
      <c r="S162" s="226"/>
      <c r="T162" s="181"/>
      <c r="U162" s="181"/>
      <c r="V162" s="181"/>
      <c r="W162" s="181"/>
      <c r="X162" s="187"/>
      <c r="Y162" s="184"/>
    </row>
    <row r="163" spans="1:26" x14ac:dyDescent="0.3">
      <c r="A163" s="174">
        <v>43167</v>
      </c>
      <c r="B163" s="224" t="s">
        <v>124</v>
      </c>
      <c r="C163" s="71" t="s">
        <v>88</v>
      </c>
      <c r="D163" s="56">
        <v>29176.71</v>
      </c>
      <c r="E163" s="56">
        <v>29008.93</v>
      </c>
      <c r="F163" s="56">
        <v>28999.37</v>
      </c>
      <c r="G163" s="56">
        <v>28963.56</v>
      </c>
      <c r="H163" s="56">
        <v>29204.02</v>
      </c>
      <c r="I163" s="56">
        <v>29129.32</v>
      </c>
      <c r="J163" s="56">
        <v>28992.62</v>
      </c>
      <c r="K163" s="56">
        <v>26817.74</v>
      </c>
      <c r="L163" s="56">
        <v>29284.53</v>
      </c>
      <c r="M163" s="224">
        <f>IF((L164=""),"",MAX(D165:L165))</f>
        <v>37815.449999999997</v>
      </c>
      <c r="N163" s="224">
        <f>IF(L164="","",MIN(D165:L165))</f>
        <v>30949.08</v>
      </c>
      <c r="O163" s="224">
        <f>IF((L165=""),"",AVERAGE(D165:L165))</f>
        <v>35314.336666666677</v>
      </c>
      <c r="P163" s="224">
        <f>IF((L164=""),"",((M163-N163)/(M163+N163))*100)</f>
        <v>9.9853369171577189</v>
      </c>
      <c r="Q163" s="227" t="str">
        <f>IF(L164="","",IF(P165&lt;20,(IF(O163&gt;33000,IF(O163&lt;44000,"Pass","Fail"),"Fail"))))</f>
        <v>Pass</v>
      </c>
      <c r="R163" s="224">
        <v>1335</v>
      </c>
      <c r="S163" s="224" t="s">
        <v>181</v>
      </c>
      <c r="T163" s="179"/>
      <c r="U163" s="179">
        <v>19000</v>
      </c>
      <c r="V163" s="179">
        <v>49000</v>
      </c>
      <c r="W163" s="179">
        <v>33000</v>
      </c>
      <c r="X163" s="185">
        <v>44000</v>
      </c>
      <c r="Y163" s="182">
        <v>20</v>
      </c>
      <c r="Z163" s="56">
        <v>1</v>
      </c>
    </row>
    <row r="164" spans="1:26" x14ac:dyDescent="0.3">
      <c r="A164" s="175"/>
      <c r="B164" s="225"/>
      <c r="C164" s="71" t="s">
        <v>89</v>
      </c>
      <c r="D164" s="56">
        <v>18860.349999999999</v>
      </c>
      <c r="E164" s="56">
        <v>16679.38</v>
      </c>
      <c r="F164" s="56">
        <v>16848.61</v>
      </c>
      <c r="G164" s="56">
        <v>17076.259999999998</v>
      </c>
      <c r="H164" s="56">
        <v>18860.349999999999</v>
      </c>
      <c r="I164" s="56">
        <v>17308.39</v>
      </c>
      <c r="J164" s="56">
        <v>16927.78</v>
      </c>
      <c r="K164" s="56">
        <v>14393.29</v>
      </c>
      <c r="L164" s="56">
        <v>16679.38</v>
      </c>
      <c r="M164" s="225"/>
      <c r="N164" s="225"/>
      <c r="O164" s="225"/>
      <c r="P164" s="225"/>
      <c r="Q164" s="228"/>
      <c r="R164" s="225"/>
      <c r="S164" s="225"/>
      <c r="T164" s="180"/>
      <c r="U164" s="180"/>
      <c r="V164" s="180"/>
      <c r="W164" s="180"/>
      <c r="X164" s="186"/>
      <c r="Y164" s="183"/>
    </row>
    <row r="165" spans="1:26" ht="26.6" customHeight="1" x14ac:dyDescent="0.3">
      <c r="A165" s="176"/>
      <c r="B165" s="226"/>
      <c r="C165" s="71" t="s">
        <v>123</v>
      </c>
      <c r="D165" s="71">
        <f t="shared" ref="D165:L165" si="51">IF(((D163="")*AND(D164="")),"",(D163-D164)*3)</f>
        <v>30949.08</v>
      </c>
      <c r="E165" s="71">
        <f t="shared" si="51"/>
        <v>36988.649999999994</v>
      </c>
      <c r="F165" s="71">
        <f t="shared" si="51"/>
        <v>36452.28</v>
      </c>
      <c r="G165" s="71">
        <f t="shared" si="51"/>
        <v>35661.900000000009</v>
      </c>
      <c r="H165" s="71">
        <f t="shared" si="51"/>
        <v>31031.010000000006</v>
      </c>
      <c r="I165" s="71">
        <f t="shared" si="51"/>
        <v>35462.79</v>
      </c>
      <c r="J165" s="71">
        <f t="shared" si="51"/>
        <v>36194.520000000004</v>
      </c>
      <c r="K165" s="71">
        <f t="shared" si="51"/>
        <v>37273.350000000006</v>
      </c>
      <c r="L165" s="71">
        <f t="shared" si="51"/>
        <v>37815.449999999997</v>
      </c>
      <c r="M165" s="226"/>
      <c r="N165" s="226"/>
      <c r="O165" s="226"/>
      <c r="P165" s="226"/>
      <c r="Q165" s="229"/>
      <c r="R165" s="226"/>
      <c r="S165" s="226"/>
      <c r="T165" s="181"/>
      <c r="U165" s="181"/>
      <c r="V165" s="181"/>
      <c r="W165" s="181"/>
      <c r="X165" s="187"/>
      <c r="Y165" s="184"/>
    </row>
    <row r="166" spans="1:26" x14ac:dyDescent="0.3">
      <c r="A166" s="174">
        <v>43170</v>
      </c>
      <c r="B166" s="224" t="s">
        <v>124</v>
      </c>
      <c r="C166" s="71" t="s">
        <v>88</v>
      </c>
      <c r="D166" s="56">
        <v>29088.959999999999</v>
      </c>
      <c r="E166" s="56">
        <v>28921.41</v>
      </c>
      <c r="F166" s="56">
        <v>28934.34</v>
      </c>
      <c r="G166" s="56">
        <v>28887.96</v>
      </c>
      <c r="H166" s="56">
        <v>29126.17</v>
      </c>
      <c r="I166" s="56">
        <v>29071.919999999998</v>
      </c>
      <c r="J166" s="56">
        <v>28870.63</v>
      </c>
      <c r="K166" s="56">
        <v>28926.7</v>
      </c>
      <c r="L166" s="56">
        <v>29147.759999999998</v>
      </c>
      <c r="M166" s="224">
        <f>IF((L167=""),"",MAX(D168:L168))</f>
        <v>44455.35</v>
      </c>
      <c r="N166" s="224">
        <f>IF(L167="","",MIN(D168:L168))</f>
        <v>28360.17</v>
      </c>
      <c r="O166" s="224">
        <f>IF((L168=""),"",AVERAGE(D168:L168))</f>
        <v>35656.356666666659</v>
      </c>
      <c r="P166" s="224">
        <f>IF((L167=""),"",((M166-N166)/(M166+N166))*100)</f>
        <v>22.10405144397788</v>
      </c>
      <c r="Q166" s="227" t="str">
        <f>IF(L167="","",IF(P168&lt;20,(IF(O166&gt;33000,IF(O166&lt;44000,"Pass","Fail"),"Fail"))))</f>
        <v>Pass</v>
      </c>
      <c r="R166" s="224">
        <v>1335</v>
      </c>
      <c r="S166" s="224"/>
      <c r="T166" s="179"/>
      <c r="U166" s="179">
        <v>19000</v>
      </c>
      <c r="V166" s="179">
        <v>49000</v>
      </c>
      <c r="W166" s="179">
        <v>33000</v>
      </c>
      <c r="X166" s="185">
        <v>44000</v>
      </c>
      <c r="Y166" s="182">
        <v>20</v>
      </c>
    </row>
    <row r="167" spans="1:26" x14ac:dyDescent="0.3">
      <c r="A167" s="175"/>
      <c r="B167" s="225"/>
      <c r="C167" s="71" t="s">
        <v>89</v>
      </c>
      <c r="D167" s="56">
        <v>19635.57</v>
      </c>
      <c r="E167" s="56">
        <v>17556.03</v>
      </c>
      <c r="F167" s="56">
        <v>14724.64</v>
      </c>
      <c r="G167" s="56">
        <v>17152.310000000001</v>
      </c>
      <c r="H167" s="56">
        <v>18693.84</v>
      </c>
      <c r="I167" s="56">
        <v>17979.650000000001</v>
      </c>
      <c r="J167" s="56">
        <v>17287.86</v>
      </c>
      <c r="K167" s="56">
        <v>16647.57</v>
      </c>
      <c r="L167" s="56">
        <v>14329.31</v>
      </c>
      <c r="M167" s="225"/>
      <c r="N167" s="225"/>
      <c r="O167" s="225"/>
      <c r="P167" s="225"/>
      <c r="Q167" s="228"/>
      <c r="R167" s="225"/>
      <c r="S167" s="225"/>
      <c r="T167" s="180"/>
      <c r="U167" s="180"/>
      <c r="V167" s="180"/>
      <c r="W167" s="180"/>
      <c r="X167" s="186"/>
      <c r="Y167" s="183"/>
    </row>
    <row r="168" spans="1:26" ht="26.6" customHeight="1" x14ac:dyDescent="0.3">
      <c r="A168" s="176"/>
      <c r="B168" s="226"/>
      <c r="C168" s="71" t="s">
        <v>123</v>
      </c>
      <c r="D168" s="71">
        <f t="shared" ref="D168:L168" si="52">IF(((D166="")*AND(D167="")),"",(D166-D167)*3)</f>
        <v>28360.17</v>
      </c>
      <c r="E168" s="71">
        <f t="shared" si="52"/>
        <v>34096.14</v>
      </c>
      <c r="F168" s="71">
        <f t="shared" si="52"/>
        <v>42629.100000000006</v>
      </c>
      <c r="G168" s="71">
        <f t="shared" si="52"/>
        <v>35206.949999999997</v>
      </c>
      <c r="H168" s="71">
        <f t="shared" si="52"/>
        <v>31296.989999999994</v>
      </c>
      <c r="I168" s="71">
        <f t="shared" si="52"/>
        <v>33276.80999999999</v>
      </c>
      <c r="J168" s="71">
        <f t="shared" si="52"/>
        <v>34748.31</v>
      </c>
      <c r="K168" s="71">
        <f t="shared" si="52"/>
        <v>36837.39</v>
      </c>
      <c r="L168" s="71">
        <f t="shared" si="52"/>
        <v>44455.35</v>
      </c>
      <c r="M168" s="226"/>
      <c r="N168" s="226"/>
      <c r="O168" s="226"/>
      <c r="P168" s="226"/>
      <c r="Q168" s="229"/>
      <c r="R168" s="226"/>
      <c r="S168" s="226"/>
      <c r="T168" s="181"/>
      <c r="U168" s="181"/>
      <c r="V168" s="181"/>
      <c r="W168" s="181"/>
      <c r="X168" s="187"/>
      <c r="Y168" s="184"/>
    </row>
    <row r="169" spans="1:26" x14ac:dyDescent="0.3">
      <c r="A169" s="174">
        <v>43188</v>
      </c>
      <c r="B169" s="224" t="s">
        <v>124</v>
      </c>
      <c r="C169" s="71" t="s">
        <v>88</v>
      </c>
      <c r="D169" s="56">
        <v>29034.36</v>
      </c>
      <c r="E169" s="56">
        <v>28844.39</v>
      </c>
      <c r="F169" s="56">
        <v>28882.92</v>
      </c>
      <c r="G169" s="56">
        <v>28842.21</v>
      </c>
      <c r="H169" s="56">
        <v>29011.7</v>
      </c>
      <c r="I169" s="56">
        <v>28982.53</v>
      </c>
      <c r="J169" s="56">
        <v>28829.38</v>
      </c>
      <c r="K169" s="56">
        <v>28839.16</v>
      </c>
      <c r="L169" s="56">
        <v>29082.28</v>
      </c>
      <c r="M169" s="224">
        <f>IF((L170=""),"",MAX(D171:L171))</f>
        <v>37618.619999999995</v>
      </c>
      <c r="N169" s="224">
        <f>IF(L170="","",MIN(D171:L171))</f>
        <v>29361</v>
      </c>
      <c r="O169" s="224">
        <f>IF((L171=""),"",AVERAGE(D171:L171))</f>
        <v>34359.016666666663</v>
      </c>
      <c r="P169" s="224">
        <f>IF((L170=""),"",((M169-N169)/(M169+N169))*100)</f>
        <v>12.328556059290865</v>
      </c>
      <c r="Q169" s="227" t="str">
        <f>IF(L170="","",IF(P171&lt;20,(IF(O169&gt;33000,IF(O169&lt;44000,"Pass","Fail"),"Fail"))))</f>
        <v>Pass</v>
      </c>
      <c r="R169" s="224">
        <v>1335</v>
      </c>
      <c r="S169" s="224"/>
      <c r="T169" s="179"/>
      <c r="U169" s="179">
        <v>19000</v>
      </c>
      <c r="V169" s="179">
        <v>49000</v>
      </c>
      <c r="W169" s="179">
        <v>33000</v>
      </c>
      <c r="X169" s="185">
        <v>44000</v>
      </c>
      <c r="Y169" s="182">
        <v>20</v>
      </c>
    </row>
    <row r="170" spans="1:26" x14ac:dyDescent="0.3">
      <c r="A170" s="175"/>
      <c r="B170" s="225"/>
      <c r="C170" s="71" t="s">
        <v>89</v>
      </c>
      <c r="D170" s="56">
        <v>19247.36</v>
      </c>
      <c r="E170" s="56">
        <v>17440.57</v>
      </c>
      <c r="F170" s="56">
        <v>16967.810000000001</v>
      </c>
      <c r="G170" s="56">
        <v>17123.22</v>
      </c>
      <c r="H170" s="56">
        <v>18380.830000000002</v>
      </c>
      <c r="I170" s="56">
        <v>17763.03</v>
      </c>
      <c r="J170" s="56">
        <v>17184.919999999998</v>
      </c>
      <c r="K170" s="56">
        <v>16621.400000000001</v>
      </c>
      <c r="L170" s="56">
        <v>16542.740000000002</v>
      </c>
      <c r="M170" s="225"/>
      <c r="N170" s="225"/>
      <c r="O170" s="225"/>
      <c r="P170" s="225"/>
      <c r="Q170" s="228"/>
      <c r="R170" s="225"/>
      <c r="S170" s="225"/>
      <c r="T170" s="180"/>
      <c r="U170" s="180"/>
      <c r="V170" s="180"/>
      <c r="W170" s="180"/>
      <c r="X170" s="186"/>
      <c r="Y170" s="183"/>
    </row>
    <row r="171" spans="1:26" ht="26.6" customHeight="1" x14ac:dyDescent="0.3">
      <c r="A171" s="176"/>
      <c r="B171" s="226"/>
      <c r="C171" s="71" t="s">
        <v>123</v>
      </c>
      <c r="D171" s="71">
        <f t="shared" ref="D171:L171" si="53">IF(((D169="")*AND(D170="")),"",(D169-D170)*3)</f>
        <v>29361</v>
      </c>
      <c r="E171" s="71">
        <f t="shared" si="53"/>
        <v>34211.46</v>
      </c>
      <c r="F171" s="71">
        <f t="shared" si="53"/>
        <v>35745.329999999987</v>
      </c>
      <c r="G171" s="71">
        <f t="shared" si="53"/>
        <v>35156.969999999994</v>
      </c>
      <c r="H171" s="71">
        <f t="shared" si="53"/>
        <v>31892.609999999997</v>
      </c>
      <c r="I171" s="71">
        <f t="shared" si="53"/>
        <v>33658.5</v>
      </c>
      <c r="J171" s="71">
        <f t="shared" si="53"/>
        <v>34933.380000000005</v>
      </c>
      <c r="K171" s="71">
        <f t="shared" si="53"/>
        <v>36653.279999999999</v>
      </c>
      <c r="L171" s="71">
        <f t="shared" si="53"/>
        <v>37618.619999999995</v>
      </c>
      <c r="M171" s="226"/>
      <c r="N171" s="226"/>
      <c r="O171" s="226"/>
      <c r="P171" s="226"/>
      <c r="Q171" s="229"/>
      <c r="R171" s="226"/>
      <c r="S171" s="226"/>
      <c r="T171" s="181"/>
      <c r="U171" s="181"/>
      <c r="V171" s="181"/>
      <c r="W171" s="181"/>
      <c r="X171" s="187"/>
      <c r="Y171" s="184"/>
    </row>
    <row r="172" spans="1:26" x14ac:dyDescent="0.3">
      <c r="A172" s="174">
        <v>43193</v>
      </c>
      <c r="B172" s="224" t="s">
        <v>124</v>
      </c>
      <c r="C172" s="71" t="s">
        <v>88</v>
      </c>
      <c r="D172" s="56">
        <v>29021.43</v>
      </c>
      <c r="E172" s="56">
        <v>29063.16</v>
      </c>
      <c r="F172" s="56">
        <v>29095.25</v>
      </c>
      <c r="G172" s="56">
        <v>29034.31</v>
      </c>
      <c r="H172" s="56">
        <v>29250.74</v>
      </c>
      <c r="I172" s="56">
        <v>29237.84</v>
      </c>
      <c r="J172" s="56">
        <v>26852.59</v>
      </c>
      <c r="K172" s="56">
        <v>29069.93</v>
      </c>
      <c r="L172" s="56">
        <v>29309.72</v>
      </c>
      <c r="M172" s="224">
        <f>IF((L173=""),"",MAX(D174:L174))</f>
        <v>43370.01</v>
      </c>
      <c r="N172" s="224">
        <f>IF(L173="","",MIN(D174:L174))</f>
        <v>32278.92</v>
      </c>
      <c r="O172" s="224">
        <f>IF((L174=""),"",AVERAGE(D174:L174))</f>
        <v>38598.660000000003</v>
      </c>
      <c r="P172" s="224">
        <f>IF((L173=""),"",((M172-N172)/(M172+N172))*100)</f>
        <v>14.661264871823047</v>
      </c>
      <c r="Q172" s="227" t="str">
        <f>IF(L173="","",IF(P174&lt;20,(IF(O172&gt;33000,IF(O172&lt;44000,"Pass","Fail"),"Fail"))))</f>
        <v>Pass</v>
      </c>
      <c r="R172" s="224">
        <v>1335</v>
      </c>
      <c r="S172" s="224"/>
      <c r="T172" s="179"/>
      <c r="U172" s="179">
        <v>19000</v>
      </c>
      <c r="V172" s="179">
        <v>49000</v>
      </c>
      <c r="W172" s="179">
        <v>33000</v>
      </c>
      <c r="X172" s="185">
        <v>44000</v>
      </c>
      <c r="Y172" s="182">
        <v>20</v>
      </c>
    </row>
    <row r="173" spans="1:26" x14ac:dyDescent="0.3">
      <c r="A173" s="175"/>
      <c r="B173" s="225"/>
      <c r="C173" s="71" t="s">
        <v>89</v>
      </c>
      <c r="D173" s="56">
        <v>14564.76</v>
      </c>
      <c r="E173" s="56">
        <v>16316.23</v>
      </c>
      <c r="F173" s="56">
        <v>16036.18</v>
      </c>
      <c r="G173" s="56">
        <v>15988.47</v>
      </c>
      <c r="H173" s="56">
        <v>17484.96</v>
      </c>
      <c r="I173" s="56">
        <v>16436.04</v>
      </c>
      <c r="J173" s="56">
        <v>16092.95</v>
      </c>
      <c r="K173" s="56">
        <v>15691.19</v>
      </c>
      <c r="L173" s="56">
        <v>15528.21</v>
      </c>
      <c r="M173" s="225"/>
      <c r="N173" s="225"/>
      <c r="O173" s="225"/>
      <c r="P173" s="225"/>
      <c r="Q173" s="228"/>
      <c r="R173" s="225"/>
      <c r="S173" s="225"/>
      <c r="T173" s="180"/>
      <c r="U173" s="180"/>
      <c r="V173" s="180"/>
      <c r="W173" s="180"/>
      <c r="X173" s="186"/>
      <c r="Y173" s="183"/>
    </row>
    <row r="174" spans="1:26" ht="26.6" customHeight="1" x14ac:dyDescent="0.3">
      <c r="A174" s="176"/>
      <c r="B174" s="226"/>
      <c r="C174" s="71" t="s">
        <v>123</v>
      </c>
      <c r="D174" s="71">
        <f t="shared" ref="D174:L174" si="54">IF(((D172="")*AND(D173="")),"",(D172-D173)*3)</f>
        <v>43370.01</v>
      </c>
      <c r="E174" s="71">
        <f t="shared" si="54"/>
        <v>38240.79</v>
      </c>
      <c r="F174" s="71">
        <f t="shared" si="54"/>
        <v>39177.21</v>
      </c>
      <c r="G174" s="71">
        <f t="shared" si="54"/>
        <v>39137.520000000004</v>
      </c>
      <c r="H174" s="71">
        <f t="shared" si="54"/>
        <v>35297.340000000011</v>
      </c>
      <c r="I174" s="71">
        <f t="shared" si="54"/>
        <v>38405.399999999994</v>
      </c>
      <c r="J174" s="71">
        <f t="shared" si="54"/>
        <v>32278.92</v>
      </c>
      <c r="K174" s="71">
        <f t="shared" si="54"/>
        <v>40136.22</v>
      </c>
      <c r="L174" s="71">
        <f t="shared" si="54"/>
        <v>41344.530000000006</v>
      </c>
      <c r="M174" s="226"/>
      <c r="N174" s="226"/>
      <c r="O174" s="226"/>
      <c r="P174" s="226"/>
      <c r="Q174" s="229"/>
      <c r="R174" s="226"/>
      <c r="S174" s="226"/>
      <c r="T174" s="181"/>
      <c r="U174" s="181"/>
      <c r="V174" s="181"/>
      <c r="W174" s="181"/>
      <c r="X174" s="187"/>
      <c r="Y174" s="184"/>
    </row>
    <row r="175" spans="1:26" x14ac:dyDescent="0.3">
      <c r="A175" s="174">
        <v>43195</v>
      </c>
      <c r="B175" s="224" t="s">
        <v>124</v>
      </c>
      <c r="C175" s="71" t="s">
        <v>88</v>
      </c>
      <c r="D175" s="56">
        <v>29407.46</v>
      </c>
      <c r="E175" s="56">
        <v>29194.86</v>
      </c>
      <c r="F175" s="56">
        <v>29262.720000000001</v>
      </c>
      <c r="G175" s="56">
        <v>29252.76</v>
      </c>
      <c r="H175" s="56">
        <v>29481.27</v>
      </c>
      <c r="I175" s="56">
        <v>29397.21</v>
      </c>
      <c r="J175" s="56">
        <v>29238.26</v>
      </c>
      <c r="K175" s="56">
        <v>29255.62</v>
      </c>
      <c r="L175" s="56">
        <v>29464.86</v>
      </c>
      <c r="M175" s="224">
        <f>IF((L176=""),"",MAX(D177:L177))</f>
        <v>45479.340000000004</v>
      </c>
      <c r="N175" s="224">
        <f>IF(L176="","",MIN(D177:L177))</f>
        <v>33224.969999999994</v>
      </c>
      <c r="O175" s="224">
        <f>IF((L177=""),"",AVERAGE(D177:L177))</f>
        <v>39422.356666666659</v>
      </c>
      <c r="P175" s="224">
        <f>IF((L176=""),"",((M175-N175)/(M175+N175))*100)</f>
        <v>15.570138407922018</v>
      </c>
      <c r="Q175" s="227" t="str">
        <f>IF(L176="","",IF(P177&lt;20,(IF(O175&gt;33000,IF(O175&lt;44000,"Pass","Fail"),"Fail"))))</f>
        <v>Pass</v>
      </c>
      <c r="R175" s="224">
        <v>102</v>
      </c>
      <c r="S175" s="224"/>
      <c r="T175" s="179"/>
      <c r="U175" s="179">
        <v>19000</v>
      </c>
      <c r="V175" s="179">
        <v>49000</v>
      </c>
      <c r="W175" s="179">
        <v>33000</v>
      </c>
      <c r="X175" s="185">
        <v>44000</v>
      </c>
      <c r="Y175" s="182">
        <v>20</v>
      </c>
    </row>
    <row r="176" spans="1:26" x14ac:dyDescent="0.3">
      <c r="A176" s="175"/>
      <c r="B176" s="225"/>
      <c r="C176" s="71" t="s">
        <v>89</v>
      </c>
      <c r="D176" s="56">
        <v>18332.47</v>
      </c>
      <c r="E176" s="56">
        <v>14035.08</v>
      </c>
      <c r="F176" s="56">
        <v>15879.05</v>
      </c>
      <c r="G176" s="56">
        <v>15868.09</v>
      </c>
      <c r="H176" s="56">
        <v>17598.830000000002</v>
      </c>
      <c r="I176" s="56">
        <v>16463.009999999998</v>
      </c>
      <c r="J176" s="56">
        <v>16563.009999999998</v>
      </c>
      <c r="K176" s="56">
        <v>15517.63</v>
      </c>
      <c r="L176" s="56">
        <v>15430.78</v>
      </c>
      <c r="M176" s="225"/>
      <c r="N176" s="225"/>
      <c r="O176" s="225"/>
      <c r="P176" s="225"/>
      <c r="Q176" s="228"/>
      <c r="R176" s="225"/>
      <c r="S176" s="225"/>
      <c r="T176" s="180"/>
      <c r="U176" s="180"/>
      <c r="V176" s="180"/>
      <c r="W176" s="180"/>
      <c r="X176" s="186"/>
      <c r="Y176" s="183"/>
    </row>
    <row r="177" spans="1:25" ht="26.6" customHeight="1" x14ac:dyDescent="0.3">
      <c r="A177" s="176"/>
      <c r="B177" s="226"/>
      <c r="C177" s="71" t="s">
        <v>123</v>
      </c>
      <c r="D177" s="71">
        <f t="shared" ref="D177:L177" si="55">IF(((D175="")*AND(D176="")),"",(D175-D176)*3)</f>
        <v>33224.969999999994</v>
      </c>
      <c r="E177" s="71">
        <f t="shared" si="55"/>
        <v>45479.340000000004</v>
      </c>
      <c r="F177" s="71">
        <f t="shared" si="55"/>
        <v>40151.010000000009</v>
      </c>
      <c r="G177" s="71">
        <f t="shared" si="55"/>
        <v>40154.009999999995</v>
      </c>
      <c r="H177" s="71">
        <f t="shared" si="55"/>
        <v>35647.319999999992</v>
      </c>
      <c r="I177" s="71">
        <f t="shared" si="55"/>
        <v>38802.600000000006</v>
      </c>
      <c r="J177" s="71">
        <f t="shared" si="55"/>
        <v>38025.75</v>
      </c>
      <c r="K177" s="71">
        <f t="shared" si="55"/>
        <v>41213.97</v>
      </c>
      <c r="L177" s="71">
        <f t="shared" si="55"/>
        <v>42102.239999999998</v>
      </c>
      <c r="M177" s="226"/>
      <c r="N177" s="226"/>
      <c r="O177" s="226"/>
      <c r="P177" s="226"/>
      <c r="Q177" s="229"/>
      <c r="R177" s="226"/>
      <c r="S177" s="226"/>
      <c r="T177" s="181"/>
      <c r="U177" s="181"/>
      <c r="V177" s="181"/>
      <c r="W177" s="181"/>
      <c r="X177" s="187"/>
      <c r="Y177" s="184"/>
    </row>
    <row r="178" spans="1:25" x14ac:dyDescent="0.3">
      <c r="A178" s="174">
        <v>43201</v>
      </c>
      <c r="B178" s="224" t="s">
        <v>124</v>
      </c>
      <c r="C178" s="71" t="s">
        <v>88</v>
      </c>
      <c r="D178" s="56">
        <v>29340.79</v>
      </c>
      <c r="E178" s="56">
        <v>29173.89</v>
      </c>
      <c r="F178" s="56">
        <v>29225.59</v>
      </c>
      <c r="G178" s="56">
        <v>29187.64</v>
      </c>
      <c r="H178" s="56">
        <v>29447.53</v>
      </c>
      <c r="I178" s="56">
        <v>29326.78</v>
      </c>
      <c r="J178" s="56">
        <v>29160.66</v>
      </c>
      <c r="K178" s="56">
        <v>29176.080000000002</v>
      </c>
      <c r="L178" s="56">
        <v>29425.26</v>
      </c>
      <c r="M178" s="224">
        <f>IF((L179=""),"",MAX(D180:L180))</f>
        <v>41824.169999999991</v>
      </c>
      <c r="N178" s="224">
        <f>IF(L179="","",MIN(D180:L180))</f>
        <v>32484.840000000007</v>
      </c>
      <c r="O178" s="224">
        <f>IF((L180=""),"",AVERAGE(D180:L180))</f>
        <v>39287.896666666667</v>
      </c>
      <c r="P178" s="224">
        <f>IF((L179=""),"",((M178-N178)/(M178+N178))*100)</f>
        <v>12.568233650266617</v>
      </c>
      <c r="Q178" s="227" t="str">
        <f>IF(L179="","",IF(P180&lt;20,(IF(O178&gt;33000,IF(O178&lt;44000,"Pass","Fail"),"Fail"))))</f>
        <v>Pass</v>
      </c>
      <c r="R178" s="224">
        <v>74</v>
      </c>
      <c r="S178" s="224" t="s">
        <v>129</v>
      </c>
      <c r="T178" s="179"/>
      <c r="U178" s="179">
        <v>19000</v>
      </c>
      <c r="V178" s="179">
        <v>49000</v>
      </c>
      <c r="W178" s="179">
        <v>33000</v>
      </c>
      <c r="X178" s="185">
        <v>44000</v>
      </c>
      <c r="Y178" s="182">
        <v>20</v>
      </c>
    </row>
    <row r="179" spans="1:25" x14ac:dyDescent="0.3">
      <c r="A179" s="175"/>
      <c r="B179" s="225"/>
      <c r="C179" s="71" t="s">
        <v>89</v>
      </c>
      <c r="D179" s="56">
        <v>18512.509999999998</v>
      </c>
      <c r="E179" s="56">
        <v>15953.76</v>
      </c>
      <c r="F179" s="56">
        <v>15476.58</v>
      </c>
      <c r="G179" s="56">
        <v>15592.32</v>
      </c>
      <c r="H179" s="56">
        <v>17632.98</v>
      </c>
      <c r="I179" s="56">
        <v>16186.6</v>
      </c>
      <c r="J179" s="56">
        <v>15476.67</v>
      </c>
      <c r="K179" s="56">
        <v>15285.24</v>
      </c>
      <c r="L179" s="56">
        <v>15483.87</v>
      </c>
      <c r="M179" s="225"/>
      <c r="N179" s="225"/>
      <c r="O179" s="225"/>
      <c r="P179" s="225"/>
      <c r="Q179" s="228"/>
      <c r="R179" s="225"/>
      <c r="S179" s="225"/>
      <c r="T179" s="180"/>
      <c r="U179" s="180"/>
      <c r="V179" s="180"/>
      <c r="W179" s="180"/>
      <c r="X179" s="186"/>
      <c r="Y179" s="183"/>
    </row>
    <row r="180" spans="1:25" ht="26.6" customHeight="1" x14ac:dyDescent="0.3">
      <c r="A180" s="176"/>
      <c r="B180" s="226"/>
      <c r="C180" s="71" t="s">
        <v>123</v>
      </c>
      <c r="D180" s="71">
        <f t="shared" ref="D180:L180" si="56">IF(((D178="")*AND(D179="")),"",(D178-D179)*3)</f>
        <v>32484.840000000007</v>
      </c>
      <c r="E180" s="71">
        <f t="shared" si="56"/>
        <v>39660.39</v>
      </c>
      <c r="F180" s="71">
        <f t="shared" si="56"/>
        <v>41247.03</v>
      </c>
      <c r="G180" s="71">
        <f t="shared" si="56"/>
        <v>40785.96</v>
      </c>
      <c r="H180" s="71">
        <f t="shared" si="56"/>
        <v>35443.649999999994</v>
      </c>
      <c r="I180" s="71">
        <f t="shared" si="56"/>
        <v>39420.539999999994</v>
      </c>
      <c r="J180" s="71">
        <f t="shared" si="56"/>
        <v>41051.97</v>
      </c>
      <c r="K180" s="71">
        <f t="shared" si="56"/>
        <v>41672.520000000004</v>
      </c>
      <c r="L180" s="71">
        <f t="shared" si="56"/>
        <v>41824.169999999991</v>
      </c>
      <c r="M180" s="226"/>
      <c r="N180" s="226"/>
      <c r="O180" s="226"/>
      <c r="P180" s="226"/>
      <c r="Q180" s="229"/>
      <c r="R180" s="226"/>
      <c r="S180" s="226"/>
      <c r="T180" s="181"/>
      <c r="U180" s="181"/>
      <c r="V180" s="181"/>
      <c r="W180" s="181"/>
      <c r="X180" s="187"/>
      <c r="Y180" s="184"/>
    </row>
    <row r="181" spans="1:25" x14ac:dyDescent="0.3">
      <c r="A181" s="174">
        <v>43210</v>
      </c>
      <c r="B181" s="224" t="s">
        <v>124</v>
      </c>
      <c r="C181" s="71" t="s">
        <v>88</v>
      </c>
      <c r="D181" s="56">
        <v>29245.5</v>
      </c>
      <c r="E181" s="56">
        <v>29047.86</v>
      </c>
      <c r="F181" s="56">
        <v>29053.02</v>
      </c>
      <c r="G181" s="56">
        <v>29046.66</v>
      </c>
      <c r="H181" s="56">
        <v>29265.22</v>
      </c>
      <c r="I181" s="56">
        <v>29204.35</v>
      </c>
      <c r="J181" s="56">
        <v>29043.95</v>
      </c>
      <c r="K181" s="56">
        <v>29051.87</v>
      </c>
      <c r="L181" s="56">
        <v>29266.87</v>
      </c>
      <c r="M181" s="224">
        <f>IF((L182=""),"",MAX(D183:L183))</f>
        <v>41229.69</v>
      </c>
      <c r="N181" s="224">
        <f>IF(L182="","",MIN(D183:L183))</f>
        <v>32409.48</v>
      </c>
      <c r="O181" s="224">
        <f>IF((L183=""),"",AVERAGE(D183:L183))</f>
        <v>38298.229999999996</v>
      </c>
      <c r="P181" s="224">
        <f>IF((L182=""),"",((M181-N181)/(M181+N181))*100)</f>
        <v>11.977606483071446</v>
      </c>
      <c r="Q181" s="227" t="str">
        <f>IF(L182="","",IF(P183&lt;20,(IF(O181&gt;33000,IF(O181&lt;44000,"Pass","Fail"),"Fail"))))</f>
        <v>Pass</v>
      </c>
      <c r="R181" s="224">
        <v>102</v>
      </c>
      <c r="S181" s="224"/>
      <c r="T181" s="179"/>
      <c r="U181" s="179">
        <v>19000</v>
      </c>
      <c r="V181" s="179">
        <v>49000</v>
      </c>
      <c r="W181" s="179">
        <v>33000</v>
      </c>
      <c r="X181" s="185">
        <v>44000</v>
      </c>
      <c r="Y181" s="182">
        <v>20</v>
      </c>
    </row>
    <row r="182" spans="1:25" x14ac:dyDescent="0.3">
      <c r="A182" s="175"/>
      <c r="B182" s="225"/>
      <c r="C182" s="71" t="s">
        <v>89</v>
      </c>
      <c r="D182" s="56">
        <v>18442.34</v>
      </c>
      <c r="E182" s="56">
        <v>16289.71</v>
      </c>
      <c r="F182" s="56">
        <v>15952.21</v>
      </c>
      <c r="G182" s="56">
        <v>15837.84</v>
      </c>
      <c r="H182" s="56">
        <v>17447.62</v>
      </c>
      <c r="I182" s="56">
        <v>16299.92</v>
      </c>
      <c r="J182" s="56">
        <v>15903.69</v>
      </c>
      <c r="K182" s="56">
        <v>15633.64</v>
      </c>
      <c r="L182" s="56">
        <v>15523.64</v>
      </c>
      <c r="M182" s="225"/>
      <c r="N182" s="225"/>
      <c r="O182" s="225"/>
      <c r="P182" s="225"/>
      <c r="Q182" s="228"/>
      <c r="R182" s="225"/>
      <c r="S182" s="225"/>
      <c r="T182" s="180"/>
      <c r="U182" s="180"/>
      <c r="V182" s="180"/>
      <c r="W182" s="180"/>
      <c r="X182" s="186"/>
      <c r="Y182" s="183"/>
    </row>
    <row r="183" spans="1:25" ht="26.6" customHeight="1" x14ac:dyDescent="0.3">
      <c r="A183" s="176"/>
      <c r="B183" s="226"/>
      <c r="C183" s="71" t="s">
        <v>123</v>
      </c>
      <c r="D183" s="71">
        <f t="shared" ref="D183:L183" si="57">IF(((D181="")*AND(D182="")),"",(D181-D182)*3)</f>
        <v>32409.48</v>
      </c>
      <c r="E183" s="71">
        <f t="shared" si="57"/>
        <v>38274.450000000004</v>
      </c>
      <c r="F183" s="71">
        <f t="shared" si="57"/>
        <v>39302.430000000008</v>
      </c>
      <c r="G183" s="71">
        <f t="shared" si="57"/>
        <v>39626.46</v>
      </c>
      <c r="H183" s="71">
        <f t="shared" si="57"/>
        <v>35452.800000000003</v>
      </c>
      <c r="I183" s="71">
        <f t="shared" si="57"/>
        <v>38713.289999999994</v>
      </c>
      <c r="J183" s="71">
        <f t="shared" si="57"/>
        <v>39420.78</v>
      </c>
      <c r="K183" s="71">
        <f t="shared" si="57"/>
        <v>40254.69</v>
      </c>
      <c r="L183" s="71">
        <f t="shared" si="57"/>
        <v>41229.69</v>
      </c>
      <c r="M183" s="226"/>
      <c r="N183" s="226"/>
      <c r="O183" s="226"/>
      <c r="P183" s="226"/>
      <c r="Q183" s="229"/>
      <c r="R183" s="226"/>
      <c r="S183" s="226"/>
      <c r="T183" s="181"/>
      <c r="U183" s="181"/>
      <c r="V183" s="181"/>
      <c r="W183" s="181"/>
      <c r="X183" s="187"/>
      <c r="Y183" s="184"/>
    </row>
    <row r="184" spans="1:25" x14ac:dyDescent="0.3">
      <c r="A184" s="174">
        <v>43214</v>
      </c>
      <c r="B184" s="224" t="s">
        <v>124</v>
      </c>
      <c r="C184" s="71" t="s">
        <v>88</v>
      </c>
      <c r="D184" s="56">
        <v>29246.560000000001</v>
      </c>
      <c r="E184" s="56">
        <v>29002.34</v>
      </c>
      <c r="F184" s="56">
        <v>29064.799999999999</v>
      </c>
      <c r="G184" s="56">
        <v>28993.05</v>
      </c>
      <c r="H184" s="56">
        <v>29233.21</v>
      </c>
      <c r="I184" s="56">
        <v>29180.33</v>
      </c>
      <c r="J184" s="56">
        <v>29004.93</v>
      </c>
      <c r="K184" s="56">
        <v>29055.73</v>
      </c>
      <c r="L184" s="56">
        <v>29279.32</v>
      </c>
      <c r="M184" s="224">
        <f>IF((L185=""),"",MAX(D186:L186))</f>
        <v>42672.72</v>
      </c>
      <c r="N184" s="224">
        <f>IF(L185="","",MIN(D186:L186))</f>
        <v>33150.900000000009</v>
      </c>
      <c r="O184" s="224">
        <f>IF((L186=""),"",AVERAGE(D186:L186))</f>
        <v>39071.189999999995</v>
      </c>
      <c r="P184" s="224">
        <f>IF((L185=""),"",((M184-N184)/(M184+N184))*100)</f>
        <v>12.557854663230259</v>
      </c>
      <c r="Q184" s="227" t="str">
        <f>IF(L185="","",IF(P186&lt;20,(IF(O184&gt;33000,IF(O184&lt;44000,"Pass","Fail"),"Fail"))))</f>
        <v>Pass</v>
      </c>
      <c r="R184" s="224">
        <v>102</v>
      </c>
      <c r="S184" s="224"/>
      <c r="T184" s="179"/>
      <c r="U184" s="179">
        <v>19000</v>
      </c>
      <c r="V184" s="179">
        <v>49000</v>
      </c>
      <c r="W184" s="179">
        <v>33000</v>
      </c>
      <c r="X184" s="185">
        <v>44000</v>
      </c>
      <c r="Y184" s="182">
        <v>20</v>
      </c>
    </row>
    <row r="185" spans="1:25" x14ac:dyDescent="0.3">
      <c r="A185" s="175"/>
      <c r="B185" s="225"/>
      <c r="C185" s="71" t="s">
        <v>89</v>
      </c>
      <c r="D185" s="56">
        <v>18196.259999999998</v>
      </c>
      <c r="E185" s="56">
        <v>16063.95</v>
      </c>
      <c r="F185" s="56">
        <v>15723.16</v>
      </c>
      <c r="G185" s="56">
        <v>15723.16</v>
      </c>
      <c r="H185" s="56">
        <v>17245.78</v>
      </c>
      <c r="I185" s="56">
        <v>15953.48</v>
      </c>
      <c r="J185" s="56">
        <v>15575.74</v>
      </c>
      <c r="K185" s="56">
        <v>15310.09</v>
      </c>
      <c r="L185" s="56">
        <v>15055.08</v>
      </c>
      <c r="M185" s="225"/>
      <c r="N185" s="225"/>
      <c r="O185" s="225"/>
      <c r="P185" s="225"/>
      <c r="Q185" s="228"/>
      <c r="R185" s="225"/>
      <c r="S185" s="225"/>
      <c r="T185" s="180"/>
      <c r="U185" s="180"/>
      <c r="V185" s="180"/>
      <c r="W185" s="180"/>
      <c r="X185" s="186"/>
      <c r="Y185" s="183"/>
    </row>
    <row r="186" spans="1:25" ht="26.6" customHeight="1" x14ac:dyDescent="0.3">
      <c r="A186" s="176"/>
      <c r="B186" s="226"/>
      <c r="C186" s="71" t="s">
        <v>123</v>
      </c>
      <c r="D186" s="71">
        <f t="shared" ref="D186:L186" si="58">IF(((D184="")*AND(D185="")),"",(D184-D185)*3)</f>
        <v>33150.900000000009</v>
      </c>
      <c r="E186" s="71">
        <f t="shared" si="58"/>
        <v>38815.17</v>
      </c>
      <c r="F186" s="71">
        <f t="shared" si="58"/>
        <v>40024.92</v>
      </c>
      <c r="G186" s="71">
        <f t="shared" si="58"/>
        <v>39809.67</v>
      </c>
      <c r="H186" s="71">
        <f t="shared" si="58"/>
        <v>35962.29</v>
      </c>
      <c r="I186" s="71">
        <f t="shared" si="58"/>
        <v>39680.550000000003</v>
      </c>
      <c r="J186" s="71">
        <f t="shared" si="58"/>
        <v>40287.57</v>
      </c>
      <c r="K186" s="71">
        <f t="shared" si="58"/>
        <v>41236.92</v>
      </c>
      <c r="L186" s="71">
        <f t="shared" si="58"/>
        <v>42672.72</v>
      </c>
      <c r="M186" s="226"/>
      <c r="N186" s="226"/>
      <c r="O186" s="226"/>
      <c r="P186" s="226"/>
      <c r="Q186" s="229"/>
      <c r="R186" s="226"/>
      <c r="S186" s="226"/>
      <c r="T186" s="181"/>
      <c r="U186" s="181"/>
      <c r="V186" s="181"/>
      <c r="W186" s="181"/>
      <c r="X186" s="187"/>
      <c r="Y186" s="184"/>
    </row>
    <row r="187" spans="1:25" x14ac:dyDescent="0.3">
      <c r="A187" s="174">
        <v>43220</v>
      </c>
      <c r="B187" s="224" t="s">
        <v>124</v>
      </c>
      <c r="C187" s="71" t="s">
        <v>88</v>
      </c>
      <c r="D187" s="56">
        <v>27313.48</v>
      </c>
      <c r="E187" s="56">
        <v>27161.96</v>
      </c>
      <c r="F187" s="56">
        <v>27227.88</v>
      </c>
      <c r="G187" s="56">
        <v>27134.48</v>
      </c>
      <c r="H187" s="56">
        <v>27351.71</v>
      </c>
      <c r="I187" s="56">
        <v>27257.360000000001</v>
      </c>
      <c r="J187" s="56">
        <v>27134.97</v>
      </c>
      <c r="K187" s="56">
        <v>27139.57</v>
      </c>
      <c r="L187" s="56">
        <v>27370.11</v>
      </c>
      <c r="M187" s="224">
        <f>IF((L188=""),"",MAX(D189:L189))</f>
        <v>42372.81</v>
      </c>
      <c r="N187" s="224">
        <f>IF(L188="","",MIN(D189:L189))</f>
        <v>33323.19</v>
      </c>
      <c r="O187" s="224">
        <f>IF((L189=""),"",AVERAGE(D189:L189))</f>
        <v>38542.689999999995</v>
      </c>
      <c r="P187" s="224">
        <f>IF((L188=""),"",((M187-N187)/(M187+N187))*100)</f>
        <v>11.955215599239056</v>
      </c>
      <c r="Q187" s="227" t="str">
        <f>IF(L188="","",IF(P189&lt;20,(IF(O187&gt;33000,IF(O187&lt;44000,"Pass","Fail"),"Fail"))))</f>
        <v>Pass</v>
      </c>
      <c r="R187" s="224"/>
      <c r="S187" s="224"/>
      <c r="T187" s="179"/>
      <c r="U187" s="179">
        <v>19000</v>
      </c>
      <c r="V187" s="179">
        <v>49000</v>
      </c>
      <c r="W187" s="179">
        <v>33000</v>
      </c>
      <c r="X187" s="185">
        <v>44000</v>
      </c>
      <c r="Y187" s="182">
        <v>20</v>
      </c>
    </row>
    <row r="188" spans="1:25" x14ac:dyDescent="0.3">
      <c r="A188" s="175"/>
      <c r="B188" s="225"/>
      <c r="C188" s="71" t="s">
        <v>89</v>
      </c>
      <c r="D188" s="56">
        <v>16205.75</v>
      </c>
      <c r="E188" s="56">
        <v>14485.36</v>
      </c>
      <c r="F188" s="56">
        <v>14282.84</v>
      </c>
      <c r="G188" s="56">
        <v>14072.92</v>
      </c>
      <c r="H188" s="56">
        <v>15151.62</v>
      </c>
      <c r="I188" s="56">
        <v>14020.82</v>
      </c>
      <c r="J188" s="56">
        <v>14090.38</v>
      </c>
      <c r="K188" s="56">
        <v>13907.92</v>
      </c>
      <c r="L188" s="56">
        <v>13245.84</v>
      </c>
      <c r="M188" s="225"/>
      <c r="N188" s="225"/>
      <c r="O188" s="225"/>
      <c r="P188" s="225"/>
      <c r="Q188" s="228"/>
      <c r="R188" s="225"/>
      <c r="S188" s="225"/>
      <c r="T188" s="180"/>
      <c r="U188" s="180"/>
      <c r="V188" s="180"/>
      <c r="W188" s="180"/>
      <c r="X188" s="186"/>
      <c r="Y188" s="183"/>
    </row>
    <row r="189" spans="1:25" ht="26.6" customHeight="1" x14ac:dyDescent="0.3">
      <c r="A189" s="176"/>
      <c r="B189" s="226"/>
      <c r="C189" s="71" t="s">
        <v>123</v>
      </c>
      <c r="D189" s="71">
        <f t="shared" ref="D189:L189" si="59">IF(((D187="")*AND(D188="")),"",(D187-D188)*3)</f>
        <v>33323.19</v>
      </c>
      <c r="E189" s="71">
        <f t="shared" si="59"/>
        <v>38029.799999999996</v>
      </c>
      <c r="F189" s="71">
        <f t="shared" si="59"/>
        <v>38835.120000000003</v>
      </c>
      <c r="G189" s="71">
        <f t="shared" si="59"/>
        <v>39184.68</v>
      </c>
      <c r="H189" s="71">
        <f t="shared" si="59"/>
        <v>36600.269999999997</v>
      </c>
      <c r="I189" s="71">
        <f t="shared" si="59"/>
        <v>39709.620000000003</v>
      </c>
      <c r="J189" s="71">
        <f t="shared" si="59"/>
        <v>39133.770000000004</v>
      </c>
      <c r="K189" s="71">
        <f t="shared" si="59"/>
        <v>39694.949999999997</v>
      </c>
      <c r="L189" s="71">
        <f t="shared" si="59"/>
        <v>42372.81</v>
      </c>
      <c r="M189" s="226"/>
      <c r="N189" s="226"/>
      <c r="O189" s="226"/>
      <c r="P189" s="226"/>
      <c r="Q189" s="229"/>
      <c r="R189" s="226"/>
      <c r="S189" s="226"/>
      <c r="T189" s="181"/>
      <c r="U189" s="181"/>
      <c r="V189" s="181"/>
      <c r="W189" s="181"/>
      <c r="X189" s="187"/>
      <c r="Y189" s="184"/>
    </row>
    <row r="190" spans="1:25" x14ac:dyDescent="0.3">
      <c r="A190" s="174">
        <v>43223</v>
      </c>
      <c r="B190" s="224" t="s">
        <v>124</v>
      </c>
      <c r="C190" s="71" t="s">
        <v>88</v>
      </c>
      <c r="D190" s="56">
        <v>29222.61</v>
      </c>
      <c r="E190" s="56">
        <v>29024.240000000002</v>
      </c>
      <c r="F190" s="56">
        <v>29067.64</v>
      </c>
      <c r="G190" s="56">
        <v>29011.66</v>
      </c>
      <c r="H190" s="56">
        <v>29199.38</v>
      </c>
      <c r="I190" s="56">
        <v>29144.799999999999</v>
      </c>
      <c r="J190" s="56">
        <v>29008.48</v>
      </c>
      <c r="K190" s="56">
        <v>29019.33</v>
      </c>
      <c r="L190" s="56">
        <v>29277.57</v>
      </c>
      <c r="M190" s="224">
        <f>IF((L191=""),"",MAX(D192:L192))</f>
        <v>41463.18</v>
      </c>
      <c r="N190" s="224">
        <f>IF(L191="","",MIN(D192:L192))</f>
        <v>31328.25</v>
      </c>
      <c r="O190" s="224">
        <f>IF((L192=""),"",AVERAGE(D192:L192))</f>
        <v>38679.056666666671</v>
      </c>
      <c r="P190" s="224">
        <f>IF((L191=""),"",((M190-N190)/(M190+N190))*100)</f>
        <v>13.923246184337913</v>
      </c>
      <c r="Q190" s="227" t="str">
        <f>IF(L191="","",IF(P192&lt;20,(IF(O190&gt;33000,IF(O190&lt;44000,"Pass","Fail"),"Fail"))))</f>
        <v>Pass</v>
      </c>
      <c r="R190" s="224">
        <v>1159</v>
      </c>
      <c r="S190" s="224" t="s">
        <v>182</v>
      </c>
      <c r="T190" s="179"/>
      <c r="U190" s="179">
        <v>19000</v>
      </c>
      <c r="V190" s="179">
        <v>49000</v>
      </c>
      <c r="W190" s="179">
        <v>33000</v>
      </c>
      <c r="X190" s="185">
        <v>44000</v>
      </c>
      <c r="Y190" s="182">
        <v>20</v>
      </c>
    </row>
    <row r="191" spans="1:25" x14ac:dyDescent="0.3">
      <c r="A191" s="175"/>
      <c r="B191" s="225"/>
      <c r="C191" s="71" t="s">
        <v>89</v>
      </c>
      <c r="D191" s="56">
        <v>18779.86</v>
      </c>
      <c r="E191" s="56">
        <v>16079.1</v>
      </c>
      <c r="F191" s="56">
        <v>15542.81</v>
      </c>
      <c r="G191" s="56">
        <v>15521.92</v>
      </c>
      <c r="H191" s="56">
        <v>17537.5</v>
      </c>
      <c r="I191" s="56">
        <v>16236.92</v>
      </c>
      <c r="J191" s="56">
        <v>15464.83</v>
      </c>
      <c r="K191" s="56">
        <v>15319.09</v>
      </c>
      <c r="L191" s="56">
        <v>15456.51</v>
      </c>
      <c r="M191" s="225"/>
      <c r="N191" s="225"/>
      <c r="O191" s="225"/>
      <c r="P191" s="225"/>
      <c r="Q191" s="228"/>
      <c r="R191" s="225"/>
      <c r="S191" s="225"/>
      <c r="T191" s="180"/>
      <c r="U191" s="180"/>
      <c r="V191" s="180"/>
      <c r="W191" s="180"/>
      <c r="X191" s="186"/>
      <c r="Y191" s="183"/>
    </row>
    <row r="192" spans="1:25" ht="26.6" customHeight="1" x14ac:dyDescent="0.3">
      <c r="A192" s="176"/>
      <c r="B192" s="226"/>
      <c r="C192" s="71" t="s">
        <v>123</v>
      </c>
      <c r="D192" s="71">
        <f t="shared" ref="D192:L192" si="60">IF(((D190="")*AND(D191="")),"",(D190-D191)*3)</f>
        <v>31328.25</v>
      </c>
      <c r="E192" s="71">
        <f t="shared" si="60"/>
        <v>38835.420000000006</v>
      </c>
      <c r="F192" s="71">
        <f t="shared" si="60"/>
        <v>40574.49</v>
      </c>
      <c r="G192" s="71">
        <f t="shared" si="60"/>
        <v>40469.22</v>
      </c>
      <c r="H192" s="71">
        <f t="shared" si="60"/>
        <v>34985.64</v>
      </c>
      <c r="I192" s="71">
        <f t="shared" si="60"/>
        <v>38723.64</v>
      </c>
      <c r="J192" s="71">
        <f t="shared" si="60"/>
        <v>40630.949999999997</v>
      </c>
      <c r="K192" s="71">
        <f t="shared" si="60"/>
        <v>41100.720000000001</v>
      </c>
      <c r="L192" s="71">
        <f t="shared" si="60"/>
        <v>41463.18</v>
      </c>
      <c r="M192" s="226"/>
      <c r="N192" s="226"/>
      <c r="O192" s="226"/>
      <c r="P192" s="226"/>
      <c r="Q192" s="229"/>
      <c r="R192" s="226"/>
      <c r="S192" s="226"/>
      <c r="T192" s="181"/>
      <c r="U192" s="181"/>
      <c r="V192" s="181"/>
      <c r="W192" s="181"/>
      <c r="X192" s="187"/>
      <c r="Y192" s="184"/>
    </row>
    <row r="193" spans="1:25" x14ac:dyDescent="0.3">
      <c r="A193" s="174">
        <v>43226</v>
      </c>
      <c r="B193" s="224" t="s">
        <v>124</v>
      </c>
      <c r="C193" s="71" t="s">
        <v>88</v>
      </c>
      <c r="D193" s="56">
        <v>29182.95</v>
      </c>
      <c r="E193" s="56">
        <v>28976.71</v>
      </c>
      <c r="F193" s="56">
        <v>28984.959999999999</v>
      </c>
      <c r="G193" s="56">
        <v>29951.9</v>
      </c>
      <c r="H193" s="56">
        <v>29264.77</v>
      </c>
      <c r="I193" s="56">
        <v>29206.54</v>
      </c>
      <c r="J193" s="56">
        <v>28998.959999999999</v>
      </c>
      <c r="K193" s="56">
        <v>28972.42</v>
      </c>
      <c r="L193" s="56">
        <v>29230.12</v>
      </c>
      <c r="M193" s="224">
        <f>IF((L194=""),"",MAX(D195:L195))</f>
        <v>36540.720000000001</v>
      </c>
      <c r="N193" s="224">
        <f>IF(L194="","",MIN(D195:L195))</f>
        <v>28438.680000000004</v>
      </c>
      <c r="O193" s="224">
        <f>IF((L195=""),"",AVERAGE(D195:L195))</f>
        <v>33106.466666666667</v>
      </c>
      <c r="P193" s="224">
        <f>IF((L194=""),"",((M193-N193)/(M193+N193))*100)</f>
        <v>12.468628519192231</v>
      </c>
      <c r="Q193" s="227" t="str">
        <f>IF(L194="","",IF(P195&lt;20,(IF(O193&gt;19000,IF(O193&lt;49000,"Pass","Fail"),"Fail"))))</f>
        <v>Pass</v>
      </c>
      <c r="R193" s="224">
        <v>64</v>
      </c>
      <c r="S193" s="224"/>
      <c r="T193" s="179"/>
      <c r="U193" s="179">
        <v>19000</v>
      </c>
      <c r="V193" s="179">
        <v>49000</v>
      </c>
      <c r="W193" s="179">
        <v>33000</v>
      </c>
      <c r="X193" s="185">
        <v>44000</v>
      </c>
      <c r="Y193" s="182">
        <v>20</v>
      </c>
    </row>
    <row r="194" spans="1:25" x14ac:dyDescent="0.3">
      <c r="A194" s="175"/>
      <c r="B194" s="225"/>
      <c r="C194" s="71" t="s">
        <v>89</v>
      </c>
      <c r="D194" s="56">
        <v>19703.39</v>
      </c>
      <c r="E194" s="56">
        <v>18061.59</v>
      </c>
      <c r="F194" s="56">
        <v>17751.189999999999</v>
      </c>
      <c r="G194" s="56">
        <v>17771.66</v>
      </c>
      <c r="H194" s="56">
        <v>19123.080000000002</v>
      </c>
      <c r="I194" s="56">
        <v>18160.18</v>
      </c>
      <c r="J194" s="56">
        <v>17832.689999999999</v>
      </c>
      <c r="K194" s="56">
        <v>17597.14</v>
      </c>
      <c r="L194" s="56">
        <v>17449.009999999998</v>
      </c>
      <c r="M194" s="225"/>
      <c r="N194" s="225"/>
      <c r="O194" s="225"/>
      <c r="P194" s="225"/>
      <c r="Q194" s="228"/>
      <c r="R194" s="225"/>
      <c r="S194" s="225"/>
      <c r="T194" s="180"/>
      <c r="U194" s="180"/>
      <c r="V194" s="180"/>
      <c r="W194" s="180"/>
      <c r="X194" s="186"/>
      <c r="Y194" s="183"/>
    </row>
    <row r="195" spans="1:25" ht="26.6" customHeight="1" x14ac:dyDescent="0.3">
      <c r="A195" s="176"/>
      <c r="B195" s="226"/>
      <c r="C195" s="71" t="s">
        <v>123</v>
      </c>
      <c r="D195" s="71">
        <f t="shared" ref="D195:L195" si="61">IF(((D193="")*AND(D194="")),"",(D193-D194)*3)</f>
        <v>28438.680000000004</v>
      </c>
      <c r="E195" s="71">
        <f t="shared" si="61"/>
        <v>32745.359999999997</v>
      </c>
      <c r="F195" s="71">
        <f t="shared" si="61"/>
        <v>33701.31</v>
      </c>
      <c r="G195" s="71">
        <f t="shared" si="61"/>
        <v>36540.720000000001</v>
      </c>
      <c r="H195" s="71">
        <f t="shared" si="61"/>
        <v>30425.069999999996</v>
      </c>
      <c r="I195" s="71">
        <f t="shared" si="61"/>
        <v>33139.08</v>
      </c>
      <c r="J195" s="71">
        <f t="shared" si="61"/>
        <v>33498.81</v>
      </c>
      <c r="K195" s="71">
        <f t="shared" si="61"/>
        <v>34125.839999999997</v>
      </c>
      <c r="L195" s="71">
        <f t="shared" si="61"/>
        <v>35343.33</v>
      </c>
      <c r="M195" s="226"/>
      <c r="N195" s="226"/>
      <c r="O195" s="226"/>
      <c r="P195" s="226"/>
      <c r="Q195" s="229"/>
      <c r="R195" s="226"/>
      <c r="S195" s="226"/>
      <c r="T195" s="181"/>
      <c r="U195" s="181"/>
      <c r="V195" s="181"/>
      <c r="W195" s="181"/>
      <c r="X195" s="187"/>
      <c r="Y195" s="184"/>
    </row>
    <row r="196" spans="1:25" x14ac:dyDescent="0.3">
      <c r="A196" s="174">
        <v>43229</v>
      </c>
      <c r="B196" s="224" t="s">
        <v>124</v>
      </c>
      <c r="C196" s="71" t="s">
        <v>88</v>
      </c>
      <c r="D196" s="56">
        <v>29408.06</v>
      </c>
      <c r="E196" s="56">
        <v>29277.1</v>
      </c>
      <c r="F196" s="56">
        <v>29288.52</v>
      </c>
      <c r="G196" s="56">
        <v>29274.82</v>
      </c>
      <c r="H196" s="56">
        <v>29500.02</v>
      </c>
      <c r="I196" s="56">
        <v>29377.86</v>
      </c>
      <c r="J196" s="56">
        <v>29268.32</v>
      </c>
      <c r="K196" s="56">
        <v>29260.080000000002</v>
      </c>
      <c r="L196" s="56">
        <v>29522.37</v>
      </c>
      <c r="M196" s="224">
        <f>IF((L197=""),"",MAX(D198:L198))</f>
        <v>42206.909999999996</v>
      </c>
      <c r="N196" s="224">
        <f>IF(L197="","",MIN(D198:L198))</f>
        <v>32855.700000000004</v>
      </c>
      <c r="O196" s="224">
        <f>IF((L198=""),"",AVERAGE(D198:L198))</f>
        <v>39621.926666666666</v>
      </c>
      <c r="P196" s="224">
        <f>IF((L197=""),"",((M196-N196)/(M196+N196))*100)</f>
        <v>12.45788016164105</v>
      </c>
      <c r="Q196" s="227" t="str">
        <f>IF(L197="","",IF(P198&lt;20,(IF(O196&gt;19000,IF(O196&lt;49000,"Pass","Fail"),"Fail"))))</f>
        <v>Pass</v>
      </c>
      <c r="R196" s="224">
        <v>1159</v>
      </c>
      <c r="S196" s="224" t="s">
        <v>183</v>
      </c>
      <c r="T196" s="179"/>
      <c r="U196" s="179">
        <v>19000</v>
      </c>
      <c r="V196" s="179">
        <v>49000</v>
      </c>
      <c r="W196" s="179">
        <v>33000</v>
      </c>
      <c r="X196" s="185">
        <v>44000</v>
      </c>
      <c r="Y196" s="182">
        <v>20</v>
      </c>
    </row>
    <row r="197" spans="1:25" x14ac:dyDescent="0.3">
      <c r="A197" s="175"/>
      <c r="B197" s="225"/>
      <c r="C197" s="71" t="s">
        <v>89</v>
      </c>
      <c r="D197" s="56">
        <v>18456.16</v>
      </c>
      <c r="E197" s="56">
        <v>15980.9</v>
      </c>
      <c r="F197" s="56">
        <v>15558.46</v>
      </c>
      <c r="G197" s="56">
        <v>15427.07</v>
      </c>
      <c r="H197" s="56">
        <v>17402.740000000002</v>
      </c>
      <c r="I197" s="56">
        <v>16194.51</v>
      </c>
      <c r="J197" s="56">
        <v>15646.97</v>
      </c>
      <c r="K197" s="56">
        <v>15191.16</v>
      </c>
      <c r="L197" s="56">
        <v>15453.4</v>
      </c>
      <c r="M197" s="225"/>
      <c r="N197" s="225"/>
      <c r="O197" s="225"/>
      <c r="P197" s="225"/>
      <c r="Q197" s="228"/>
      <c r="R197" s="225"/>
      <c r="S197" s="225"/>
      <c r="T197" s="180"/>
      <c r="U197" s="180"/>
      <c r="V197" s="180"/>
      <c r="W197" s="180"/>
      <c r="X197" s="186"/>
      <c r="Y197" s="183"/>
    </row>
    <row r="198" spans="1:25" ht="26.6" customHeight="1" x14ac:dyDescent="0.3">
      <c r="A198" s="176"/>
      <c r="B198" s="226"/>
      <c r="C198" s="71" t="s">
        <v>123</v>
      </c>
      <c r="D198" s="71">
        <f t="shared" ref="D198:L198" si="62">IF(((D196="")*AND(D197="")),"",(D196-D197)*3)</f>
        <v>32855.700000000004</v>
      </c>
      <c r="E198" s="71">
        <f t="shared" si="62"/>
        <v>39888.6</v>
      </c>
      <c r="F198" s="71">
        <f t="shared" si="62"/>
        <v>41190.180000000008</v>
      </c>
      <c r="G198" s="71">
        <f t="shared" si="62"/>
        <v>41543.25</v>
      </c>
      <c r="H198" s="71">
        <f t="shared" si="62"/>
        <v>36291.839999999997</v>
      </c>
      <c r="I198" s="71">
        <f t="shared" si="62"/>
        <v>39550.050000000003</v>
      </c>
      <c r="J198" s="71">
        <f t="shared" si="62"/>
        <v>40864.050000000003</v>
      </c>
      <c r="K198" s="71">
        <f t="shared" si="62"/>
        <v>42206.760000000009</v>
      </c>
      <c r="L198" s="71">
        <f t="shared" si="62"/>
        <v>42206.909999999996</v>
      </c>
      <c r="M198" s="226"/>
      <c r="N198" s="226"/>
      <c r="O198" s="226"/>
      <c r="P198" s="226"/>
      <c r="Q198" s="229"/>
      <c r="R198" s="226"/>
      <c r="S198" s="226"/>
      <c r="T198" s="181"/>
      <c r="U198" s="181"/>
      <c r="V198" s="181"/>
      <c r="W198" s="181"/>
      <c r="X198" s="187"/>
      <c r="Y198" s="184"/>
    </row>
    <row r="199" spans="1:25" x14ac:dyDescent="0.3">
      <c r="A199" s="174">
        <v>43233</v>
      </c>
      <c r="B199" s="224" t="s">
        <v>124</v>
      </c>
      <c r="C199" s="71" t="s">
        <v>88</v>
      </c>
      <c r="D199" s="56">
        <v>29382.91</v>
      </c>
      <c r="E199" s="56">
        <v>29227.94</v>
      </c>
      <c r="F199" s="56">
        <v>29194.83</v>
      </c>
      <c r="G199" s="56">
        <v>29204.41</v>
      </c>
      <c r="H199" s="56">
        <v>29405.25</v>
      </c>
      <c r="I199" s="56">
        <v>29401.95</v>
      </c>
      <c r="J199" s="56">
        <v>29217.72</v>
      </c>
      <c r="K199" s="56">
        <v>29173.64</v>
      </c>
      <c r="L199" s="56">
        <v>29425.53</v>
      </c>
      <c r="M199" s="224">
        <f>IF((L200=""),"",MAX(D201:L201))</f>
        <v>43524.84</v>
      </c>
      <c r="N199" s="224">
        <f>IF(L200="","",MIN(D201:L201))</f>
        <v>34447.440000000002</v>
      </c>
      <c r="O199" s="224">
        <f>IF((L201=""),"",AVERAGE(D201:L201))</f>
        <v>40204.03666666666</v>
      </c>
      <c r="P199" s="224">
        <f>IF((L200=""),"",((M199-N199)/(M199+N199))*100)</f>
        <v>11.641829634839452</v>
      </c>
      <c r="Q199" s="227" t="str">
        <f>IF(L200="","",IF(P201&lt;20,(IF(O199&gt;19000,IF(O199&lt;49000,"Pass","Fail"),"Fail"))))</f>
        <v>Pass</v>
      </c>
      <c r="R199" s="224">
        <v>74</v>
      </c>
      <c r="S199" s="224"/>
      <c r="T199" s="179"/>
      <c r="U199" s="179">
        <v>19000</v>
      </c>
      <c r="V199" s="179">
        <v>49000</v>
      </c>
      <c r="W199" s="179">
        <v>33000</v>
      </c>
      <c r="X199" s="185">
        <v>44000</v>
      </c>
      <c r="Y199" s="182">
        <v>20</v>
      </c>
    </row>
    <row r="200" spans="1:25" x14ac:dyDescent="0.3">
      <c r="A200" s="175"/>
      <c r="B200" s="225"/>
      <c r="C200" s="71" t="s">
        <v>89</v>
      </c>
      <c r="D200" s="56">
        <v>17900.43</v>
      </c>
      <c r="E200" s="56">
        <v>15993.85</v>
      </c>
      <c r="F200" s="56">
        <v>15780.27</v>
      </c>
      <c r="G200" s="56">
        <v>15458.42</v>
      </c>
      <c r="H200" s="56">
        <v>16939.98</v>
      </c>
      <c r="I200" s="56">
        <v>15270.95</v>
      </c>
      <c r="J200" s="56">
        <v>15449.23</v>
      </c>
      <c r="K200" s="56">
        <v>15311.69</v>
      </c>
      <c r="L200" s="56">
        <v>14917.25</v>
      </c>
      <c r="M200" s="225"/>
      <c r="N200" s="225"/>
      <c r="O200" s="225"/>
      <c r="P200" s="225"/>
      <c r="Q200" s="228"/>
      <c r="R200" s="225"/>
      <c r="S200" s="225"/>
      <c r="T200" s="180"/>
      <c r="U200" s="180"/>
      <c r="V200" s="180"/>
      <c r="W200" s="180"/>
      <c r="X200" s="186"/>
      <c r="Y200" s="183"/>
    </row>
    <row r="201" spans="1:25" ht="26.6" customHeight="1" x14ac:dyDescent="0.3">
      <c r="A201" s="176"/>
      <c r="B201" s="226"/>
      <c r="C201" s="71" t="s">
        <v>123</v>
      </c>
      <c r="D201" s="71">
        <f t="shared" ref="D201:L201" si="63">IF(((D199="")*AND(D200="")),"",(D199-D200)*3)</f>
        <v>34447.440000000002</v>
      </c>
      <c r="E201" s="71">
        <f t="shared" si="63"/>
        <v>39702.269999999997</v>
      </c>
      <c r="F201" s="71">
        <f t="shared" si="63"/>
        <v>40243.680000000008</v>
      </c>
      <c r="G201" s="71">
        <f t="shared" si="63"/>
        <v>41237.97</v>
      </c>
      <c r="H201" s="71">
        <f t="shared" si="63"/>
        <v>37395.81</v>
      </c>
      <c r="I201" s="71">
        <f t="shared" si="63"/>
        <v>42393</v>
      </c>
      <c r="J201" s="71">
        <f t="shared" si="63"/>
        <v>41305.47</v>
      </c>
      <c r="K201" s="71">
        <f t="shared" si="63"/>
        <v>41585.85</v>
      </c>
      <c r="L201" s="71">
        <f t="shared" si="63"/>
        <v>43524.84</v>
      </c>
      <c r="M201" s="226"/>
      <c r="N201" s="226"/>
      <c r="O201" s="226"/>
      <c r="P201" s="226"/>
      <c r="Q201" s="229"/>
      <c r="R201" s="226"/>
      <c r="S201" s="226"/>
      <c r="T201" s="181"/>
      <c r="U201" s="181"/>
      <c r="V201" s="181"/>
      <c r="W201" s="181"/>
      <c r="X201" s="187"/>
      <c r="Y201" s="184"/>
    </row>
    <row r="202" spans="1:25" x14ac:dyDescent="0.3">
      <c r="A202" s="174">
        <v>43236</v>
      </c>
      <c r="B202" s="224" t="s">
        <v>124</v>
      </c>
      <c r="C202" s="71" t="s">
        <v>88</v>
      </c>
      <c r="D202" s="56">
        <v>29466</v>
      </c>
      <c r="E202" s="56">
        <v>29310</v>
      </c>
      <c r="F202" s="56">
        <v>29361</v>
      </c>
      <c r="G202" s="56">
        <v>29268</v>
      </c>
      <c r="H202" s="56">
        <v>29442</v>
      </c>
      <c r="I202" s="56">
        <v>29464</v>
      </c>
      <c r="J202" s="56">
        <v>29289</v>
      </c>
      <c r="K202" s="56">
        <v>29289</v>
      </c>
      <c r="L202" s="56">
        <v>29456</v>
      </c>
      <c r="M202" s="224">
        <f>IF((L203=""),"",MAX(D204:L204))</f>
        <v>41943</v>
      </c>
      <c r="N202" s="224">
        <f>IF(L203="","",MIN(D204:L204))</f>
        <v>33504</v>
      </c>
      <c r="O202" s="224">
        <f>IF((L204=""),"",AVERAGE(D204:L204))</f>
        <v>39426.333333333336</v>
      </c>
      <c r="P202" s="224">
        <f>IF((L203=""),"",((M202-N202)/(M202+N202))*100)</f>
        <v>11.185335401009981</v>
      </c>
      <c r="Q202" s="227" t="str">
        <f>IF(L203="","",IF(P204&lt;20,(IF(O202&gt;19000,IF(O202&lt;49000,"Pass","Fail"),"Fail"))))</f>
        <v>Pass</v>
      </c>
      <c r="R202" s="224">
        <v>1335</v>
      </c>
      <c r="S202" s="224" t="s">
        <v>184</v>
      </c>
      <c r="T202" s="179"/>
      <c r="U202" s="179">
        <v>19000</v>
      </c>
      <c r="V202" s="179">
        <v>49000</v>
      </c>
      <c r="W202" s="179">
        <v>33000</v>
      </c>
      <c r="X202" s="185">
        <v>44000</v>
      </c>
      <c r="Y202" s="182">
        <v>20</v>
      </c>
    </row>
    <row r="203" spans="1:25" x14ac:dyDescent="0.3">
      <c r="A203" s="175"/>
      <c r="B203" s="225"/>
      <c r="C203" s="71" t="s">
        <v>89</v>
      </c>
      <c r="D203" s="56">
        <v>18298</v>
      </c>
      <c r="E203" s="56">
        <v>16195</v>
      </c>
      <c r="F203" s="56">
        <v>15879</v>
      </c>
      <c r="G203" s="56">
        <v>15657</v>
      </c>
      <c r="H203" s="56">
        <v>17292</v>
      </c>
      <c r="I203" s="56">
        <v>16100</v>
      </c>
      <c r="J203" s="56">
        <v>15755</v>
      </c>
      <c r="K203" s="56">
        <v>15415</v>
      </c>
      <c r="L203" s="56">
        <v>15475</v>
      </c>
      <c r="M203" s="225"/>
      <c r="N203" s="225"/>
      <c r="O203" s="225"/>
      <c r="P203" s="225"/>
      <c r="Q203" s="228"/>
      <c r="R203" s="225"/>
      <c r="S203" s="225"/>
      <c r="T203" s="180"/>
      <c r="U203" s="180"/>
      <c r="V203" s="180"/>
      <c r="W203" s="180"/>
      <c r="X203" s="186"/>
      <c r="Y203" s="183"/>
    </row>
    <row r="204" spans="1:25" ht="26.6" customHeight="1" x14ac:dyDescent="0.3">
      <c r="A204" s="176"/>
      <c r="B204" s="226"/>
      <c r="C204" s="71" t="s">
        <v>123</v>
      </c>
      <c r="D204" s="71">
        <f t="shared" ref="D204:L204" si="64">IF(((D202="")*AND(D203="")),"",(D202-D203)*3)</f>
        <v>33504</v>
      </c>
      <c r="E204" s="71">
        <f t="shared" si="64"/>
        <v>39345</v>
      </c>
      <c r="F204" s="71">
        <f t="shared" si="64"/>
        <v>40446</v>
      </c>
      <c r="G204" s="71">
        <f t="shared" si="64"/>
        <v>40833</v>
      </c>
      <c r="H204" s="71">
        <f t="shared" si="64"/>
        <v>36450</v>
      </c>
      <c r="I204" s="71">
        <f t="shared" si="64"/>
        <v>40092</v>
      </c>
      <c r="J204" s="71">
        <f t="shared" si="64"/>
        <v>40602</v>
      </c>
      <c r="K204" s="71">
        <f t="shared" si="64"/>
        <v>41622</v>
      </c>
      <c r="L204" s="71">
        <f t="shared" si="64"/>
        <v>41943</v>
      </c>
      <c r="M204" s="226"/>
      <c r="N204" s="226"/>
      <c r="O204" s="226"/>
      <c r="P204" s="226"/>
      <c r="Q204" s="229"/>
      <c r="R204" s="226"/>
      <c r="S204" s="226"/>
      <c r="T204" s="181"/>
      <c r="U204" s="181"/>
      <c r="V204" s="181"/>
      <c r="W204" s="181"/>
      <c r="X204" s="187"/>
      <c r="Y204" s="184"/>
    </row>
    <row r="205" spans="1:25" x14ac:dyDescent="0.3">
      <c r="A205" s="174">
        <v>43239</v>
      </c>
      <c r="B205" s="224" t="s">
        <v>124</v>
      </c>
      <c r="C205" s="71" t="s">
        <v>88</v>
      </c>
      <c r="D205" s="56">
        <v>29425</v>
      </c>
      <c r="E205" s="56">
        <v>29236</v>
      </c>
      <c r="F205" s="56">
        <v>29287</v>
      </c>
      <c r="G205" s="56">
        <v>29204</v>
      </c>
      <c r="H205" s="56">
        <v>29487</v>
      </c>
      <c r="I205" s="56">
        <v>29352</v>
      </c>
      <c r="J205" s="56">
        <v>29219</v>
      </c>
      <c r="K205" s="56">
        <v>29232</v>
      </c>
      <c r="L205" s="56">
        <v>29515</v>
      </c>
      <c r="M205" s="224">
        <f>IF((L206=""),"",MAX(D207:L207))</f>
        <v>42330</v>
      </c>
      <c r="N205" s="224">
        <f>IF(L206="","",MIN(D207:L207))</f>
        <v>33315</v>
      </c>
      <c r="O205" s="224">
        <f>IF((L207=""),"",AVERAGE(D207:L207))</f>
        <v>39253.666666666664</v>
      </c>
      <c r="P205" s="224">
        <f>IF((L206=""),"",((M205-N205)/(M205+N205))*100)</f>
        <v>11.917509418996628</v>
      </c>
      <c r="Q205" s="227" t="str">
        <f>IF(L206="","",IF(P207&lt;20,(IF(O205&gt;19000,IF(O205&lt;49000,"Pass","Fail"),"Fail"))))</f>
        <v>Pass</v>
      </c>
      <c r="R205" s="224">
        <v>1159</v>
      </c>
      <c r="S205" s="224" t="s">
        <v>185</v>
      </c>
      <c r="T205" s="179"/>
      <c r="U205" s="179">
        <v>19000</v>
      </c>
      <c r="V205" s="179">
        <v>49000</v>
      </c>
      <c r="W205" s="179">
        <v>33000</v>
      </c>
      <c r="X205" s="185">
        <v>44000</v>
      </c>
      <c r="Y205" s="182">
        <v>20</v>
      </c>
    </row>
    <row r="206" spans="1:25" x14ac:dyDescent="0.3">
      <c r="A206" s="175"/>
      <c r="B206" s="225"/>
      <c r="C206" s="71" t="s">
        <v>89</v>
      </c>
      <c r="D206" s="56">
        <v>18320</v>
      </c>
      <c r="E206" s="56">
        <v>16152</v>
      </c>
      <c r="F206" s="56">
        <v>15921</v>
      </c>
      <c r="G206" s="56">
        <v>15663</v>
      </c>
      <c r="H206" s="56">
        <v>17341</v>
      </c>
      <c r="I206" s="56">
        <v>16129</v>
      </c>
      <c r="J206" s="56">
        <v>15782</v>
      </c>
      <c r="K206" s="56">
        <v>15483</v>
      </c>
      <c r="L206" s="56">
        <v>15405</v>
      </c>
      <c r="M206" s="225"/>
      <c r="N206" s="225"/>
      <c r="O206" s="225"/>
      <c r="P206" s="225"/>
      <c r="Q206" s="228"/>
      <c r="R206" s="225"/>
      <c r="S206" s="225"/>
      <c r="T206" s="180"/>
      <c r="U206" s="180"/>
      <c r="V206" s="180"/>
      <c r="W206" s="180"/>
      <c r="X206" s="186"/>
      <c r="Y206" s="183"/>
    </row>
    <row r="207" spans="1:25" ht="26.6" customHeight="1" x14ac:dyDescent="0.3">
      <c r="A207" s="176"/>
      <c r="B207" s="226"/>
      <c r="C207" s="71" t="s">
        <v>123</v>
      </c>
      <c r="D207" s="71">
        <f t="shared" ref="D207:L207" si="65">IF(((D205="")*AND(D206="")),"",(D205-D206)*3)</f>
        <v>33315</v>
      </c>
      <c r="E207" s="71">
        <f t="shared" si="65"/>
        <v>39252</v>
      </c>
      <c r="F207" s="71">
        <f t="shared" si="65"/>
        <v>40098</v>
      </c>
      <c r="G207" s="71">
        <f t="shared" si="65"/>
        <v>40623</v>
      </c>
      <c r="H207" s="71">
        <f t="shared" si="65"/>
        <v>36438</v>
      </c>
      <c r="I207" s="71">
        <f t="shared" si="65"/>
        <v>39669</v>
      </c>
      <c r="J207" s="71">
        <f t="shared" si="65"/>
        <v>40311</v>
      </c>
      <c r="K207" s="71">
        <f t="shared" si="65"/>
        <v>41247</v>
      </c>
      <c r="L207" s="71">
        <f t="shared" si="65"/>
        <v>42330</v>
      </c>
      <c r="M207" s="226"/>
      <c r="N207" s="226"/>
      <c r="O207" s="226"/>
      <c r="P207" s="226"/>
      <c r="Q207" s="229"/>
      <c r="R207" s="226"/>
      <c r="S207" s="226"/>
      <c r="T207" s="181"/>
      <c r="U207" s="181"/>
      <c r="V207" s="181"/>
      <c r="W207" s="181"/>
      <c r="X207" s="187"/>
      <c r="Y207" s="184"/>
    </row>
    <row r="208" spans="1:25" x14ac:dyDescent="0.3">
      <c r="A208" s="174">
        <v>43242</v>
      </c>
      <c r="B208" s="224" t="s">
        <v>124</v>
      </c>
      <c r="C208" s="71" t="s">
        <v>88</v>
      </c>
      <c r="D208" s="56">
        <v>29311.22</v>
      </c>
      <c r="E208" s="56">
        <v>29161.14</v>
      </c>
      <c r="F208" s="56">
        <v>29265.91</v>
      </c>
      <c r="G208" s="56">
        <v>29181.82</v>
      </c>
      <c r="H208" s="56">
        <v>29375.279999999999</v>
      </c>
      <c r="I208" s="56">
        <v>29302.48</v>
      </c>
      <c r="J208" s="56">
        <v>29162.07</v>
      </c>
      <c r="K208" s="56">
        <v>29193.93</v>
      </c>
      <c r="L208" s="56">
        <v>29456.55</v>
      </c>
      <c r="M208" s="224">
        <f>IF((L209=""),"",MAX(D210:L210))</f>
        <v>43768.35</v>
      </c>
      <c r="N208" s="224">
        <f>IF(L209="","",MIN(D210:L210))</f>
        <v>33453.360000000008</v>
      </c>
      <c r="O208" s="224">
        <f>IF((L210=""),"",AVERAGE(D210:L210))</f>
        <v>39742.386666666665</v>
      </c>
      <c r="P208" s="224">
        <f>IF((L209=""),"",((M208-N208)/(M208+N208))*100)</f>
        <v>13.357629609600707</v>
      </c>
      <c r="Q208" s="227" t="str">
        <f>IF(L209="","",IF(P210&lt;20,(IF(O208&gt;19000,IF(O208&lt;49000,"Pass","Fail"),"Fail"))))</f>
        <v>Pass</v>
      </c>
      <c r="R208" s="224">
        <v>1428</v>
      </c>
      <c r="S208" s="224" t="s">
        <v>186</v>
      </c>
      <c r="T208" s="179"/>
      <c r="U208" s="179">
        <v>19000</v>
      </c>
      <c r="V208" s="179">
        <v>49000</v>
      </c>
      <c r="W208" s="179">
        <v>33000</v>
      </c>
      <c r="X208" s="185">
        <v>44000</v>
      </c>
      <c r="Y208" s="182">
        <v>20</v>
      </c>
    </row>
    <row r="209" spans="1:25" x14ac:dyDescent="0.3">
      <c r="A209" s="175"/>
      <c r="B209" s="225"/>
      <c r="C209" s="71" t="s">
        <v>89</v>
      </c>
      <c r="D209" s="56">
        <v>18160.099999999999</v>
      </c>
      <c r="E209" s="56">
        <v>16052.46</v>
      </c>
      <c r="F209" s="56">
        <v>15703.45</v>
      </c>
      <c r="G209" s="56">
        <v>15457.91</v>
      </c>
      <c r="H209" s="56">
        <v>16942.599999999999</v>
      </c>
      <c r="I209" s="56">
        <v>16006.43</v>
      </c>
      <c r="J209" s="56">
        <v>15668.73</v>
      </c>
      <c r="K209" s="56">
        <v>15324.46</v>
      </c>
      <c r="L209" s="56">
        <v>14867.1</v>
      </c>
      <c r="M209" s="225"/>
      <c r="N209" s="225"/>
      <c r="O209" s="225"/>
      <c r="P209" s="225"/>
      <c r="Q209" s="228"/>
      <c r="R209" s="225"/>
      <c r="S209" s="225"/>
      <c r="T209" s="180"/>
      <c r="U209" s="180"/>
      <c r="V209" s="180"/>
      <c r="W209" s="180"/>
      <c r="X209" s="186"/>
      <c r="Y209" s="183"/>
    </row>
    <row r="210" spans="1:25" ht="26.6" customHeight="1" x14ac:dyDescent="0.3">
      <c r="A210" s="176"/>
      <c r="B210" s="226"/>
      <c r="C210" s="71" t="s">
        <v>123</v>
      </c>
      <c r="D210" s="71">
        <f t="shared" ref="D210:L210" si="66">IF(((D208="")*AND(D209="")),"",(D208-D209)*3)</f>
        <v>33453.360000000008</v>
      </c>
      <c r="E210" s="71">
        <f t="shared" si="66"/>
        <v>39326.04</v>
      </c>
      <c r="F210" s="71">
        <f t="shared" si="66"/>
        <v>40687.379999999997</v>
      </c>
      <c r="G210" s="71">
        <f t="shared" si="66"/>
        <v>41171.729999999996</v>
      </c>
      <c r="H210" s="71">
        <f t="shared" si="66"/>
        <v>37298.04</v>
      </c>
      <c r="I210" s="71">
        <f t="shared" si="66"/>
        <v>39888.149999999994</v>
      </c>
      <c r="J210" s="71">
        <f t="shared" si="66"/>
        <v>40480.020000000004</v>
      </c>
      <c r="K210" s="71">
        <f t="shared" si="66"/>
        <v>41608.410000000003</v>
      </c>
      <c r="L210" s="71">
        <f t="shared" si="66"/>
        <v>43768.35</v>
      </c>
      <c r="M210" s="226"/>
      <c r="N210" s="226"/>
      <c r="O210" s="226"/>
      <c r="P210" s="226"/>
      <c r="Q210" s="229"/>
      <c r="R210" s="226"/>
      <c r="S210" s="226"/>
      <c r="T210" s="181"/>
      <c r="U210" s="181"/>
      <c r="V210" s="181"/>
      <c r="W210" s="181"/>
      <c r="X210" s="187"/>
      <c r="Y210" s="184"/>
    </row>
    <row r="211" spans="1:25" x14ac:dyDescent="0.3">
      <c r="A211" s="174">
        <v>43246</v>
      </c>
      <c r="B211" s="224" t="s">
        <v>124</v>
      </c>
      <c r="C211" s="71" t="s">
        <v>88</v>
      </c>
      <c r="D211" s="56">
        <v>29363.32</v>
      </c>
      <c r="E211" s="56">
        <v>29198.04</v>
      </c>
      <c r="F211" s="56">
        <v>29183.11</v>
      </c>
      <c r="G211" s="56">
        <v>29170.39</v>
      </c>
      <c r="H211" s="56">
        <v>29382.95</v>
      </c>
      <c r="I211" s="56">
        <v>29364.639999999999</v>
      </c>
      <c r="J211" s="56">
        <v>29187.7</v>
      </c>
      <c r="K211" s="56">
        <v>29175.68</v>
      </c>
      <c r="L211" s="56">
        <v>29417.48</v>
      </c>
      <c r="M211" s="224">
        <f>IF((L212=""),"",MAX(D213:L213))</f>
        <v>40946.97</v>
      </c>
      <c r="N211" s="224">
        <f>IF(L212="","",MIN(D213:L213))</f>
        <v>32124.600000000002</v>
      </c>
      <c r="O211" s="224">
        <f>IF((L213=""),"",AVERAGE(D213:L213))</f>
        <v>38048.466666666674</v>
      </c>
      <c r="P211" s="224">
        <f>IF((L212=""),"",((M211-N211)/(M211+N211))*100)</f>
        <v>12.07360126517057</v>
      </c>
      <c r="Q211" s="227" t="str">
        <f>IF(L212="","",IF(P213&lt;20,(IF(O211&gt;19000,IF(O211&lt;49000,"Pass","Fail"),"Fail"))))</f>
        <v>Pass</v>
      </c>
      <c r="R211" s="224">
        <v>102</v>
      </c>
      <c r="S211" s="224"/>
      <c r="T211" s="179"/>
      <c r="U211" s="179">
        <v>19000</v>
      </c>
      <c r="V211" s="179">
        <v>49000</v>
      </c>
      <c r="W211" s="179">
        <v>33000</v>
      </c>
      <c r="X211" s="185">
        <v>44000</v>
      </c>
      <c r="Y211" s="182">
        <v>20</v>
      </c>
    </row>
    <row r="212" spans="1:25" x14ac:dyDescent="0.3">
      <c r="A212" s="175"/>
      <c r="B212" s="225"/>
      <c r="C212" s="71" t="s">
        <v>89</v>
      </c>
      <c r="D212" s="56">
        <v>18655.12</v>
      </c>
      <c r="E212" s="56">
        <v>16404.57</v>
      </c>
      <c r="F212" s="56">
        <v>15962.68</v>
      </c>
      <c r="G212" s="56">
        <v>15991.34</v>
      </c>
      <c r="H212" s="56">
        <v>17886.759999999998</v>
      </c>
      <c r="I212" s="56">
        <v>16823.38</v>
      </c>
      <c r="J212" s="56">
        <v>16063.25</v>
      </c>
      <c r="K212" s="56">
        <v>15742.32</v>
      </c>
      <c r="L212" s="56">
        <v>15768.49</v>
      </c>
      <c r="M212" s="225"/>
      <c r="N212" s="225"/>
      <c r="O212" s="225"/>
      <c r="P212" s="225"/>
      <c r="Q212" s="228"/>
      <c r="R212" s="225"/>
      <c r="S212" s="225"/>
      <c r="T212" s="180"/>
      <c r="U212" s="180"/>
      <c r="V212" s="180"/>
      <c r="W212" s="180"/>
      <c r="X212" s="186"/>
      <c r="Y212" s="183"/>
    </row>
    <row r="213" spans="1:25" ht="26.6" customHeight="1" x14ac:dyDescent="0.3">
      <c r="A213" s="176"/>
      <c r="B213" s="226"/>
      <c r="C213" s="71" t="s">
        <v>123</v>
      </c>
      <c r="D213" s="71">
        <f t="shared" ref="D213:L213" si="67">IF(((D211="")*AND(D212="")),"",(D211-D212)*3)</f>
        <v>32124.600000000002</v>
      </c>
      <c r="E213" s="71">
        <f t="shared" si="67"/>
        <v>38380.410000000003</v>
      </c>
      <c r="F213" s="71">
        <f t="shared" si="67"/>
        <v>39661.29</v>
      </c>
      <c r="G213" s="71">
        <f t="shared" si="67"/>
        <v>39537.149999999994</v>
      </c>
      <c r="H213" s="71">
        <f t="shared" si="67"/>
        <v>34488.570000000007</v>
      </c>
      <c r="I213" s="71">
        <f t="shared" si="67"/>
        <v>37623.78</v>
      </c>
      <c r="J213" s="71">
        <f t="shared" si="67"/>
        <v>39373.350000000006</v>
      </c>
      <c r="K213" s="71">
        <f t="shared" si="67"/>
        <v>40300.080000000002</v>
      </c>
      <c r="L213" s="71">
        <f t="shared" si="67"/>
        <v>40946.97</v>
      </c>
      <c r="M213" s="226"/>
      <c r="N213" s="226"/>
      <c r="O213" s="226"/>
      <c r="P213" s="226"/>
      <c r="Q213" s="229"/>
      <c r="R213" s="226"/>
      <c r="S213" s="226"/>
      <c r="T213" s="181"/>
      <c r="U213" s="181"/>
      <c r="V213" s="181"/>
      <c r="W213" s="181"/>
      <c r="X213" s="187"/>
      <c r="Y213" s="184"/>
    </row>
    <row r="214" spans="1:25" x14ac:dyDescent="0.3">
      <c r="A214" s="174">
        <v>43249</v>
      </c>
      <c r="B214" s="224" t="s">
        <v>124</v>
      </c>
      <c r="C214" s="71" t="s">
        <v>88</v>
      </c>
      <c r="D214" s="56">
        <v>29292.01</v>
      </c>
      <c r="E214" s="56">
        <v>29113.22</v>
      </c>
      <c r="F214" s="56">
        <v>29180.03</v>
      </c>
      <c r="G214" s="56">
        <v>29111.07</v>
      </c>
      <c r="H214" s="56">
        <v>29314.26</v>
      </c>
      <c r="I214" s="56">
        <v>29271.77</v>
      </c>
      <c r="J214" s="56">
        <v>29152.33</v>
      </c>
      <c r="K214" s="56">
        <v>29070.65</v>
      </c>
      <c r="L214" s="56">
        <v>29371.1</v>
      </c>
      <c r="M214" s="224">
        <f>IF((L215=""),"",MAX(D216:L216))</f>
        <v>42768.989999999991</v>
      </c>
      <c r="N214" s="224">
        <f>IF(L215="","",MIN(D216:L216))</f>
        <v>33294.299999999996</v>
      </c>
      <c r="O214" s="224">
        <f>IF((L216=""),"",AVERAGE(D216:L216))</f>
        <v>39474.833333333336</v>
      </c>
      <c r="P214" s="224">
        <f>IF((L215=""),"",((M214-N214)/(M214+N214))*100)</f>
        <v>12.456324200544044</v>
      </c>
      <c r="Q214" s="227" t="str">
        <f>IF(L215="","",IF(P216&lt;20,(IF(O214&gt;19000,IF(O214&lt;49000,"Pass","Fail"),"Fail"))))</f>
        <v>Pass</v>
      </c>
      <c r="R214" s="224">
        <v>1428</v>
      </c>
      <c r="S214" s="224" t="s">
        <v>187</v>
      </c>
      <c r="T214" s="179"/>
      <c r="U214" s="179">
        <v>19000</v>
      </c>
      <c r="V214" s="179">
        <v>49000</v>
      </c>
      <c r="W214" s="179">
        <v>33000</v>
      </c>
      <c r="X214" s="185">
        <v>44000</v>
      </c>
      <c r="Y214" s="182">
        <v>20</v>
      </c>
    </row>
    <row r="215" spans="1:25" x14ac:dyDescent="0.3">
      <c r="A215" s="175"/>
      <c r="B215" s="225"/>
      <c r="C215" s="71" t="s">
        <v>89</v>
      </c>
      <c r="D215" s="56">
        <v>18193.91</v>
      </c>
      <c r="E215" s="56">
        <v>16016.76</v>
      </c>
      <c r="F215" s="56">
        <v>15604.84</v>
      </c>
      <c r="G215" s="56">
        <v>15510.34</v>
      </c>
      <c r="H215" s="56">
        <v>17185.18</v>
      </c>
      <c r="I215" s="56">
        <v>16051.83</v>
      </c>
      <c r="J215" s="56">
        <v>15590.13</v>
      </c>
      <c r="K215" s="56">
        <v>15184.18</v>
      </c>
      <c r="L215" s="56">
        <v>15114.77</v>
      </c>
      <c r="M215" s="225"/>
      <c r="N215" s="225"/>
      <c r="O215" s="225"/>
      <c r="P215" s="225"/>
      <c r="Q215" s="228"/>
      <c r="R215" s="225"/>
      <c r="S215" s="225"/>
      <c r="T215" s="180"/>
      <c r="U215" s="180"/>
      <c r="V215" s="180"/>
      <c r="W215" s="180"/>
      <c r="X215" s="186"/>
      <c r="Y215" s="183"/>
    </row>
    <row r="216" spans="1:25" ht="26.6" customHeight="1" x14ac:dyDescent="0.3">
      <c r="A216" s="176"/>
      <c r="B216" s="226"/>
      <c r="C216" s="71" t="s">
        <v>123</v>
      </c>
      <c r="D216" s="71">
        <f t="shared" ref="D216:L216" si="68">IF(((D214="")*AND(D215="")),"",(D214-D215)*3)</f>
        <v>33294.299999999996</v>
      </c>
      <c r="E216" s="71">
        <f t="shared" si="68"/>
        <v>39289.380000000005</v>
      </c>
      <c r="F216" s="71">
        <f t="shared" si="68"/>
        <v>40725.569999999992</v>
      </c>
      <c r="G216" s="71">
        <f t="shared" si="68"/>
        <v>40802.19</v>
      </c>
      <c r="H216" s="71">
        <f t="shared" si="68"/>
        <v>36387.239999999991</v>
      </c>
      <c r="I216" s="71">
        <f t="shared" si="68"/>
        <v>39659.82</v>
      </c>
      <c r="J216" s="71">
        <f t="shared" si="68"/>
        <v>40686.600000000006</v>
      </c>
      <c r="K216" s="71">
        <f t="shared" si="68"/>
        <v>41659.410000000003</v>
      </c>
      <c r="L216" s="71">
        <f t="shared" si="68"/>
        <v>42768.989999999991</v>
      </c>
      <c r="M216" s="226"/>
      <c r="N216" s="226"/>
      <c r="O216" s="226"/>
      <c r="P216" s="226"/>
      <c r="Q216" s="229"/>
      <c r="R216" s="226"/>
      <c r="S216" s="226"/>
      <c r="T216" s="181"/>
      <c r="U216" s="181"/>
      <c r="V216" s="181"/>
      <c r="W216" s="181"/>
      <c r="X216" s="187"/>
      <c r="Y216" s="184"/>
    </row>
    <row r="217" spans="1:25" x14ac:dyDescent="0.3">
      <c r="A217" s="174">
        <v>43252</v>
      </c>
      <c r="B217" s="224" t="s">
        <v>124</v>
      </c>
      <c r="C217" s="71" t="s">
        <v>88</v>
      </c>
      <c r="D217" s="56">
        <v>29221.97</v>
      </c>
      <c r="E217" s="56">
        <v>29048.7</v>
      </c>
      <c r="F217" s="56">
        <v>29101.81</v>
      </c>
      <c r="G217" s="56">
        <v>29044.26</v>
      </c>
      <c r="H217" s="56">
        <v>29241.68</v>
      </c>
      <c r="I217" s="56">
        <v>29239.040000000001</v>
      </c>
      <c r="J217" s="56">
        <v>29053.05</v>
      </c>
      <c r="K217" s="56">
        <v>29044.28</v>
      </c>
      <c r="L217" s="56">
        <v>29246.41</v>
      </c>
      <c r="M217" s="224">
        <f>IF((L218=""),"",MAX(D219:L219))</f>
        <v>39871.08</v>
      </c>
      <c r="N217" s="224">
        <f>IF(L218="","",MIN(D219:L219))</f>
        <v>31675.77</v>
      </c>
      <c r="O217" s="224">
        <f>IF((L219=""),"",AVERAGE(D219:L219))</f>
        <v>36873.363333333327</v>
      </c>
      <c r="P217" s="224">
        <f>IF((L218=""),"",((M217-N217)/(M217+N217))*100)</f>
        <v>11.454466548841774</v>
      </c>
      <c r="Q217" s="227" t="str">
        <f>IF(L218="","",IF(P219&lt;20,(IF(O217&gt;19000,IF(O217&lt;49000,"Pass","Fail"),"Fail"))))</f>
        <v>Pass</v>
      </c>
      <c r="R217" s="224">
        <v>121</v>
      </c>
      <c r="S217" s="224"/>
      <c r="T217" s="179"/>
      <c r="U217" s="179">
        <v>19000</v>
      </c>
      <c r="V217" s="179">
        <v>49000</v>
      </c>
      <c r="W217" s="179">
        <v>33000</v>
      </c>
      <c r="X217" s="185">
        <v>44000</v>
      </c>
      <c r="Y217" s="182">
        <v>20</v>
      </c>
    </row>
    <row r="218" spans="1:25" x14ac:dyDescent="0.3">
      <c r="A218" s="175"/>
      <c r="B218" s="225"/>
      <c r="C218" s="71" t="s">
        <v>89</v>
      </c>
      <c r="D218" s="56">
        <v>18663.38</v>
      </c>
      <c r="E218" s="56">
        <v>16500.97</v>
      </c>
      <c r="F218" s="56">
        <v>16348.7</v>
      </c>
      <c r="G218" s="56">
        <v>16451.46</v>
      </c>
      <c r="H218" s="56">
        <v>18199.54</v>
      </c>
      <c r="I218" s="56">
        <v>17113.13</v>
      </c>
      <c r="J218" s="56">
        <v>16450.52</v>
      </c>
      <c r="K218" s="56">
        <v>15937.36</v>
      </c>
      <c r="L218" s="56">
        <v>15956.05</v>
      </c>
      <c r="M218" s="225"/>
      <c r="N218" s="225"/>
      <c r="O218" s="225"/>
      <c r="P218" s="225"/>
      <c r="Q218" s="228"/>
      <c r="R218" s="225"/>
      <c r="S218" s="225"/>
      <c r="T218" s="180"/>
      <c r="U218" s="180"/>
      <c r="V218" s="180"/>
      <c r="W218" s="180"/>
      <c r="X218" s="186"/>
      <c r="Y218" s="183"/>
    </row>
    <row r="219" spans="1:25" ht="26.6" customHeight="1" x14ac:dyDescent="0.3">
      <c r="A219" s="176"/>
      <c r="B219" s="226"/>
      <c r="C219" s="71" t="s">
        <v>123</v>
      </c>
      <c r="D219" s="71">
        <f t="shared" ref="D219:L219" si="69">IF(((D217="")*AND(D218="")),"",(D217-D218)*3)</f>
        <v>31675.77</v>
      </c>
      <c r="E219" s="71">
        <f t="shared" si="69"/>
        <v>37643.19</v>
      </c>
      <c r="F219" s="71">
        <f t="shared" si="69"/>
        <v>38259.33</v>
      </c>
      <c r="G219" s="71">
        <f t="shared" si="69"/>
        <v>37778.399999999994</v>
      </c>
      <c r="H219" s="71">
        <f t="shared" si="69"/>
        <v>33126.42</v>
      </c>
      <c r="I219" s="71">
        <f t="shared" si="69"/>
        <v>36377.729999999996</v>
      </c>
      <c r="J219" s="71">
        <f t="shared" si="69"/>
        <v>37807.589999999997</v>
      </c>
      <c r="K219" s="71">
        <f t="shared" si="69"/>
        <v>39320.759999999995</v>
      </c>
      <c r="L219" s="71">
        <f t="shared" si="69"/>
        <v>39871.08</v>
      </c>
      <c r="M219" s="226"/>
      <c r="N219" s="226"/>
      <c r="O219" s="226"/>
      <c r="P219" s="226"/>
      <c r="Q219" s="229"/>
      <c r="R219" s="226"/>
      <c r="S219" s="226"/>
      <c r="T219" s="181"/>
      <c r="U219" s="181"/>
      <c r="V219" s="181"/>
      <c r="W219" s="181"/>
      <c r="X219" s="187"/>
      <c r="Y219" s="184"/>
    </row>
    <row r="220" spans="1:25" x14ac:dyDescent="0.3">
      <c r="A220" s="174">
        <v>43255</v>
      </c>
      <c r="B220" s="224" t="s">
        <v>124</v>
      </c>
      <c r="C220" s="71" t="s">
        <v>88</v>
      </c>
      <c r="D220" s="56">
        <v>29331.18</v>
      </c>
      <c r="E220" s="56">
        <v>29160.12</v>
      </c>
      <c r="F220" s="56">
        <v>29181.06</v>
      </c>
      <c r="G220" s="56">
        <v>29211.919999999998</v>
      </c>
      <c r="H220" s="56">
        <v>29427.64</v>
      </c>
      <c r="I220" s="56">
        <v>29351.84</v>
      </c>
      <c r="J220" s="56">
        <v>29190.63</v>
      </c>
      <c r="K220" s="56">
        <v>29201.25</v>
      </c>
      <c r="L220" s="56">
        <v>29438.39</v>
      </c>
      <c r="M220" s="224">
        <f>IF((L221=""),"",MAX(D222:L222))</f>
        <v>40736.85</v>
      </c>
      <c r="N220" s="224">
        <f>IF(L221="","",MIN(D222:L222))</f>
        <v>32933.520000000004</v>
      </c>
      <c r="O220" s="224">
        <f>IF((L222=""),"",AVERAGE(D222:L222))</f>
        <v>37515.11</v>
      </c>
      <c r="P220" s="224">
        <f>IF((L221=""),"",((M220-N220)/(M220+N220))*100)</f>
        <v>10.592223169233431</v>
      </c>
      <c r="Q220" s="227" t="str">
        <f>IF(L221="","",IF(P222&lt;20,(IF(O220&gt;19000,IF(O220&lt;49000,"Pass","Fail"),"Fail"))))</f>
        <v>Pass</v>
      </c>
      <c r="R220" s="224"/>
      <c r="S220" s="224"/>
      <c r="T220" s="179"/>
      <c r="U220" s="179">
        <v>19000</v>
      </c>
      <c r="V220" s="179">
        <v>49000</v>
      </c>
      <c r="W220" s="179">
        <v>33000</v>
      </c>
      <c r="X220" s="185">
        <v>44000</v>
      </c>
      <c r="Y220" s="182">
        <v>20</v>
      </c>
    </row>
    <row r="221" spans="1:25" x14ac:dyDescent="0.3">
      <c r="A221" s="175"/>
      <c r="B221" s="225"/>
      <c r="C221" s="71" t="s">
        <v>89</v>
      </c>
      <c r="D221" s="56">
        <v>18353.34</v>
      </c>
      <c r="E221" s="56">
        <v>16306.8</v>
      </c>
      <c r="F221" s="56">
        <v>16295.01</v>
      </c>
      <c r="G221" s="56">
        <v>16470.21</v>
      </c>
      <c r="H221" s="56">
        <v>18256.18</v>
      </c>
      <c r="I221" s="56">
        <v>17070.689999999999</v>
      </c>
      <c r="J221" s="56">
        <v>16440.259999999998</v>
      </c>
      <c r="K221" s="56">
        <v>15896.77</v>
      </c>
      <c r="L221" s="56">
        <v>15859.44</v>
      </c>
      <c r="M221" s="225"/>
      <c r="N221" s="225"/>
      <c r="O221" s="225"/>
      <c r="P221" s="225"/>
      <c r="Q221" s="228"/>
      <c r="R221" s="225"/>
      <c r="S221" s="225"/>
      <c r="T221" s="180"/>
      <c r="U221" s="180"/>
      <c r="V221" s="180"/>
      <c r="W221" s="180"/>
      <c r="X221" s="186"/>
      <c r="Y221" s="183"/>
    </row>
    <row r="222" spans="1:25" ht="26.6" customHeight="1" x14ac:dyDescent="0.3">
      <c r="A222" s="176"/>
      <c r="B222" s="226"/>
      <c r="C222" s="71" t="s">
        <v>123</v>
      </c>
      <c r="D222" s="71">
        <f t="shared" ref="D222:L222" si="70">IF(((D220="")*AND(D221="")),"",(D220-D221)*3)</f>
        <v>32933.520000000004</v>
      </c>
      <c r="E222" s="71">
        <f t="shared" si="70"/>
        <v>38559.96</v>
      </c>
      <c r="F222" s="71">
        <f t="shared" si="70"/>
        <v>38658.15</v>
      </c>
      <c r="G222" s="71">
        <f t="shared" si="70"/>
        <v>38225.129999999997</v>
      </c>
      <c r="H222" s="71">
        <f t="shared" si="70"/>
        <v>33514.379999999997</v>
      </c>
      <c r="I222" s="71">
        <f t="shared" si="70"/>
        <v>36843.450000000004</v>
      </c>
      <c r="J222" s="71">
        <f t="shared" si="70"/>
        <v>38251.110000000008</v>
      </c>
      <c r="K222" s="71">
        <f t="shared" si="70"/>
        <v>39913.440000000002</v>
      </c>
      <c r="L222" s="71">
        <f t="shared" si="70"/>
        <v>40736.85</v>
      </c>
      <c r="M222" s="226"/>
      <c r="N222" s="226"/>
      <c r="O222" s="226"/>
      <c r="P222" s="226"/>
      <c r="Q222" s="229"/>
      <c r="R222" s="226"/>
      <c r="S222" s="226"/>
      <c r="T222" s="181"/>
      <c r="U222" s="181"/>
      <c r="V222" s="181"/>
      <c r="W222" s="181"/>
      <c r="X222" s="187"/>
      <c r="Y222" s="184"/>
    </row>
    <row r="223" spans="1:25" x14ac:dyDescent="0.3">
      <c r="A223" s="174">
        <v>43260</v>
      </c>
      <c r="B223" s="224" t="s">
        <v>124</v>
      </c>
      <c r="C223" s="71" t="s">
        <v>88</v>
      </c>
      <c r="D223" s="56">
        <v>26941.040000000001</v>
      </c>
      <c r="E223" s="56">
        <v>26887.94</v>
      </c>
      <c r="F223" s="56">
        <v>26993.88</v>
      </c>
      <c r="G223" s="56">
        <v>26883.31</v>
      </c>
      <c r="H223" s="56">
        <v>26988.04</v>
      </c>
      <c r="I223" s="56">
        <v>26859.93</v>
      </c>
      <c r="J223" s="56">
        <v>26872.63</v>
      </c>
      <c r="K223" s="56">
        <v>26867.7</v>
      </c>
      <c r="L223" s="56">
        <v>27012.57</v>
      </c>
      <c r="M223" s="224">
        <f>IF((L224=""),"",MAX(D225:L225))</f>
        <v>42803.13</v>
      </c>
      <c r="N223" s="224">
        <f>IF(L224="","",MIN(D225:L225))</f>
        <v>33912.630000000005</v>
      </c>
      <c r="O223" s="224">
        <f>IF((L225=""),"",AVERAGE(D225:L225))</f>
        <v>39077.776666666672</v>
      </c>
      <c r="P223" s="224">
        <f>IF((L224=""),"",((M223-N223)/(M223+N223))*100)</f>
        <v>11.588883431513931</v>
      </c>
      <c r="Q223" s="227" t="str">
        <f>IF(L224="","",IF(P225&lt;20,(IF(O223&gt;19000,IF(O223&lt;49000,"Pass","Fail"),"Fail"))))</f>
        <v>Pass</v>
      </c>
      <c r="R223" s="224">
        <v>121</v>
      </c>
      <c r="S223" s="224"/>
      <c r="T223" s="179"/>
      <c r="U223" s="179">
        <v>19000</v>
      </c>
      <c r="V223" s="179">
        <v>49000</v>
      </c>
      <c r="W223" s="179">
        <v>33000</v>
      </c>
      <c r="X223" s="185">
        <v>44000</v>
      </c>
      <c r="Y223" s="182">
        <v>20</v>
      </c>
    </row>
    <row r="224" spans="1:25" x14ac:dyDescent="0.3">
      <c r="A224" s="175"/>
      <c r="B224" s="225"/>
      <c r="C224" s="71" t="s">
        <v>89</v>
      </c>
      <c r="D224" s="56">
        <v>15636.83</v>
      </c>
      <c r="E224" s="56">
        <v>13752.33</v>
      </c>
      <c r="F224" s="56">
        <v>13786.62</v>
      </c>
      <c r="G224" s="56">
        <v>13735.05</v>
      </c>
      <c r="H224" s="56">
        <v>15251.98</v>
      </c>
      <c r="I224" s="56">
        <v>13552.07</v>
      </c>
      <c r="J224" s="56">
        <v>13358.9</v>
      </c>
      <c r="K224" s="56">
        <v>13255.07</v>
      </c>
      <c r="L224" s="56">
        <v>12744.86</v>
      </c>
      <c r="M224" s="225"/>
      <c r="N224" s="225"/>
      <c r="O224" s="225"/>
      <c r="P224" s="225"/>
      <c r="Q224" s="228"/>
      <c r="R224" s="225"/>
      <c r="S224" s="225"/>
      <c r="T224" s="180"/>
      <c r="U224" s="180"/>
      <c r="V224" s="180"/>
      <c r="W224" s="180"/>
      <c r="X224" s="186"/>
      <c r="Y224" s="183"/>
    </row>
    <row r="225" spans="1:25" ht="26.6" customHeight="1" x14ac:dyDescent="0.3">
      <c r="A225" s="176"/>
      <c r="B225" s="226"/>
      <c r="C225" s="71" t="s">
        <v>123</v>
      </c>
      <c r="D225" s="71">
        <f t="shared" ref="D225:L225" si="71">IF(((D223="")*AND(D224="")),"",(D223-D224)*3)</f>
        <v>33912.630000000005</v>
      </c>
      <c r="E225" s="71">
        <f t="shared" si="71"/>
        <v>39406.829999999994</v>
      </c>
      <c r="F225" s="71">
        <f t="shared" si="71"/>
        <v>39621.78</v>
      </c>
      <c r="G225" s="71">
        <f t="shared" si="71"/>
        <v>39444.780000000006</v>
      </c>
      <c r="H225" s="71">
        <f t="shared" si="71"/>
        <v>35208.180000000008</v>
      </c>
      <c r="I225" s="71">
        <f t="shared" si="71"/>
        <v>39923.58</v>
      </c>
      <c r="J225" s="71">
        <f t="shared" si="71"/>
        <v>40541.19</v>
      </c>
      <c r="K225" s="71">
        <f t="shared" si="71"/>
        <v>40837.89</v>
      </c>
      <c r="L225" s="71">
        <f t="shared" si="71"/>
        <v>42803.13</v>
      </c>
      <c r="M225" s="226"/>
      <c r="N225" s="226"/>
      <c r="O225" s="226"/>
      <c r="P225" s="226"/>
      <c r="Q225" s="229"/>
      <c r="R225" s="226"/>
      <c r="S225" s="226"/>
      <c r="T225" s="181"/>
      <c r="U225" s="181"/>
      <c r="V225" s="181"/>
      <c r="W225" s="181"/>
      <c r="X225" s="187"/>
      <c r="Y225" s="184"/>
    </row>
    <row r="226" spans="1:25" x14ac:dyDescent="0.3">
      <c r="A226" s="174">
        <v>43264</v>
      </c>
      <c r="B226" s="224" t="s">
        <v>124</v>
      </c>
      <c r="C226" s="71" t="s">
        <v>88</v>
      </c>
      <c r="D226" s="56">
        <v>28824</v>
      </c>
      <c r="E226" s="56">
        <v>28656</v>
      </c>
      <c r="F226" s="56">
        <v>28659</v>
      </c>
      <c r="G226" s="56">
        <v>28686</v>
      </c>
      <c r="H226" s="56">
        <v>28833</v>
      </c>
      <c r="I226" s="56">
        <v>28791</v>
      </c>
      <c r="J226" s="56">
        <v>28671</v>
      </c>
      <c r="K226" s="56">
        <v>28664</v>
      </c>
      <c r="L226" s="56">
        <v>28890</v>
      </c>
      <c r="M226" s="224">
        <f>IF((L227=""),"",MAX(D228:L228))</f>
        <v>33819</v>
      </c>
      <c r="N226" s="224">
        <f>IF(L227="","",MIN(D228:L228))</f>
        <v>23619</v>
      </c>
      <c r="O226" s="224">
        <f>IF((L228=""),"",AVERAGE(D228:L228))</f>
        <v>29931.666666666668</v>
      </c>
      <c r="P226" s="224">
        <f>IF((L227=""),"",((M226-N226)/(M226+N226))*100)</f>
        <v>17.758278491590936</v>
      </c>
      <c r="Q226" s="227" t="str">
        <f>IF(L227="","",IF(P228&lt;20,(IF(O226&gt;19000,IF(O226&lt;49000,"Pass","Fail"),"Fail"))))</f>
        <v>Pass</v>
      </c>
      <c r="R226" s="224">
        <v>1159</v>
      </c>
      <c r="S226" s="224" t="s">
        <v>188</v>
      </c>
      <c r="T226" s="179"/>
      <c r="U226" s="179">
        <v>19000</v>
      </c>
      <c r="V226" s="179">
        <v>49000</v>
      </c>
      <c r="W226" s="179">
        <v>33000</v>
      </c>
      <c r="X226" s="185">
        <v>44000</v>
      </c>
      <c r="Y226" s="182">
        <v>20</v>
      </c>
    </row>
    <row r="227" spans="1:25" x14ac:dyDescent="0.3">
      <c r="A227" s="175"/>
      <c r="B227" s="225"/>
      <c r="C227" s="71" t="s">
        <v>89</v>
      </c>
      <c r="D227" s="56">
        <v>20951</v>
      </c>
      <c r="E227" s="56">
        <v>18046</v>
      </c>
      <c r="F227" s="56">
        <v>17636</v>
      </c>
      <c r="G227" s="56">
        <v>18416</v>
      </c>
      <c r="H227" s="56">
        <v>20602</v>
      </c>
      <c r="I227" s="56">
        <v>19865</v>
      </c>
      <c r="J227" s="56">
        <v>18201</v>
      </c>
      <c r="K227" s="56">
        <v>17391</v>
      </c>
      <c r="L227" s="56">
        <v>17771</v>
      </c>
      <c r="M227" s="225"/>
      <c r="N227" s="225"/>
      <c r="O227" s="225"/>
      <c r="P227" s="225"/>
      <c r="Q227" s="228"/>
      <c r="R227" s="225"/>
      <c r="S227" s="225"/>
      <c r="T227" s="180"/>
      <c r="U227" s="180"/>
      <c r="V227" s="180"/>
      <c r="W227" s="180"/>
      <c r="X227" s="186"/>
      <c r="Y227" s="183"/>
    </row>
    <row r="228" spans="1:25" ht="26.6" customHeight="1" x14ac:dyDescent="0.3">
      <c r="A228" s="176"/>
      <c r="B228" s="226"/>
      <c r="C228" s="71" t="s">
        <v>123</v>
      </c>
      <c r="D228" s="71">
        <f>IF(((D226="")*AND(D227="")),"",(D226-D227)*3)</f>
        <v>23619</v>
      </c>
      <c r="E228" s="71">
        <f t="shared" ref="E228:L228" si="72">IF(((E226="")*AND(E227="")),"",(E226-E227)*3)</f>
        <v>31830</v>
      </c>
      <c r="F228" s="71">
        <f t="shared" si="72"/>
        <v>33069</v>
      </c>
      <c r="G228" s="71">
        <f t="shared" si="72"/>
        <v>30810</v>
      </c>
      <c r="H228" s="71">
        <f t="shared" si="72"/>
        <v>24693</v>
      </c>
      <c r="I228" s="71">
        <f t="shared" si="72"/>
        <v>26778</v>
      </c>
      <c r="J228" s="71">
        <f t="shared" si="72"/>
        <v>31410</v>
      </c>
      <c r="K228" s="71">
        <f t="shared" si="72"/>
        <v>33819</v>
      </c>
      <c r="L228" s="71">
        <f t="shared" si="72"/>
        <v>33357</v>
      </c>
      <c r="M228" s="226"/>
      <c r="N228" s="226"/>
      <c r="O228" s="226"/>
      <c r="P228" s="226"/>
      <c r="Q228" s="229"/>
      <c r="R228" s="226"/>
      <c r="S228" s="226"/>
      <c r="T228" s="181"/>
      <c r="U228" s="181"/>
      <c r="V228" s="181"/>
      <c r="W228" s="181"/>
      <c r="X228" s="187"/>
      <c r="Y228" s="184"/>
    </row>
    <row r="229" spans="1:25" x14ac:dyDescent="0.3">
      <c r="A229" s="174">
        <v>43269</v>
      </c>
      <c r="B229" s="224" t="s">
        <v>124</v>
      </c>
      <c r="C229" s="71" t="s">
        <v>88</v>
      </c>
      <c r="D229" s="56">
        <v>29152.720000000001</v>
      </c>
      <c r="E229" s="56">
        <v>29083.88</v>
      </c>
      <c r="F229" s="56">
        <v>29129.87</v>
      </c>
      <c r="G229" s="56">
        <v>29067.49</v>
      </c>
      <c r="H229" s="56">
        <v>29166.46</v>
      </c>
      <c r="I229" s="56">
        <v>29138.27</v>
      </c>
      <c r="J229" s="56">
        <v>29069.96</v>
      </c>
      <c r="K229" s="56">
        <v>29049.41</v>
      </c>
      <c r="L229" s="56">
        <v>29166.3</v>
      </c>
      <c r="M229" s="224">
        <f>IF((L230=""),"",MAX(D231:L231))</f>
        <v>39897.93</v>
      </c>
      <c r="N229" s="224">
        <f>IF(L230="","",MIN(D231:L231))</f>
        <v>34975.739999999991</v>
      </c>
      <c r="O229" s="224">
        <f>IF((L231=""),"",AVERAGE(D231:L231))</f>
        <v>38440.523333333345</v>
      </c>
      <c r="P229" s="224">
        <f>IF((L230=""),"",((M229-N229)/(M229+N229))*100)</f>
        <v>6.5739932342037068</v>
      </c>
      <c r="Q229" s="227" t="str">
        <f>IF(L230="","",IF(P231&lt;20,(IF(O229&gt;19000,IF(O229&lt;49000,"Pass","Fail"),"Fail"))))</f>
        <v>Pass</v>
      </c>
      <c r="R229" s="224">
        <v>1159</v>
      </c>
      <c r="S229" s="224" t="s">
        <v>189</v>
      </c>
      <c r="T229" s="179"/>
      <c r="U229" s="179">
        <v>19000</v>
      </c>
      <c r="V229" s="179">
        <v>49000</v>
      </c>
      <c r="W229" s="179">
        <v>33000</v>
      </c>
      <c r="X229" s="185">
        <v>44000</v>
      </c>
      <c r="Y229" s="182">
        <v>20</v>
      </c>
    </row>
    <row r="230" spans="1:25" x14ac:dyDescent="0.3">
      <c r="A230" s="175"/>
      <c r="B230" s="225"/>
      <c r="C230" s="71" t="s">
        <v>89</v>
      </c>
      <c r="D230" s="56">
        <v>17439.41</v>
      </c>
      <c r="E230" s="56">
        <v>16009.51</v>
      </c>
      <c r="F230" s="56">
        <v>16052.86</v>
      </c>
      <c r="G230" s="56">
        <v>16136.86</v>
      </c>
      <c r="H230" s="56">
        <v>17507.88</v>
      </c>
      <c r="I230" s="56">
        <v>16020.38</v>
      </c>
      <c r="J230" s="56">
        <v>15770.65</v>
      </c>
      <c r="K230" s="56">
        <v>15755.76</v>
      </c>
      <c r="L230" s="56">
        <v>16009.48</v>
      </c>
      <c r="M230" s="225"/>
      <c r="N230" s="225"/>
      <c r="O230" s="225"/>
      <c r="P230" s="225"/>
      <c r="Q230" s="228"/>
      <c r="R230" s="225"/>
      <c r="S230" s="225"/>
      <c r="T230" s="180"/>
      <c r="U230" s="180"/>
      <c r="V230" s="180"/>
      <c r="W230" s="180"/>
      <c r="X230" s="186"/>
      <c r="Y230" s="183"/>
    </row>
    <row r="231" spans="1:25" ht="26.6" customHeight="1" x14ac:dyDescent="0.3">
      <c r="A231" s="176"/>
      <c r="B231" s="226"/>
      <c r="C231" s="71" t="s">
        <v>123</v>
      </c>
      <c r="D231" s="71">
        <f t="shared" ref="D231:L231" si="73">IF(((D229="")*AND(D230="")),"",(D229-D230)*3)</f>
        <v>35139.930000000008</v>
      </c>
      <c r="E231" s="71">
        <f t="shared" si="73"/>
        <v>39223.11</v>
      </c>
      <c r="F231" s="71">
        <f t="shared" si="73"/>
        <v>39231.03</v>
      </c>
      <c r="G231" s="71">
        <f t="shared" si="73"/>
        <v>38791.89</v>
      </c>
      <c r="H231" s="71">
        <f t="shared" si="73"/>
        <v>34975.739999999991</v>
      </c>
      <c r="I231" s="71">
        <f t="shared" si="73"/>
        <v>39353.670000000006</v>
      </c>
      <c r="J231" s="71">
        <f t="shared" si="73"/>
        <v>39897.93</v>
      </c>
      <c r="K231" s="71">
        <f t="shared" si="73"/>
        <v>39880.949999999997</v>
      </c>
      <c r="L231" s="71">
        <f t="shared" si="73"/>
        <v>39470.46</v>
      </c>
      <c r="M231" s="226"/>
      <c r="N231" s="226"/>
      <c r="O231" s="226"/>
      <c r="P231" s="226"/>
      <c r="Q231" s="229"/>
      <c r="R231" s="226"/>
      <c r="S231" s="226"/>
      <c r="T231" s="181"/>
      <c r="U231" s="181"/>
      <c r="V231" s="181"/>
      <c r="W231" s="181"/>
      <c r="X231" s="187"/>
      <c r="Y231" s="184"/>
    </row>
    <row r="232" spans="1:25" x14ac:dyDescent="0.3">
      <c r="A232" s="174">
        <v>43276</v>
      </c>
      <c r="B232" s="224" t="s">
        <v>124</v>
      </c>
      <c r="C232" s="71" t="s">
        <v>88</v>
      </c>
      <c r="D232" s="56">
        <v>29230.7</v>
      </c>
      <c r="E232" s="56">
        <v>29144.959999999999</v>
      </c>
      <c r="F232" s="56">
        <v>29174.93</v>
      </c>
      <c r="G232" s="56">
        <v>29113.96</v>
      </c>
      <c r="H232" s="56">
        <v>29197.3</v>
      </c>
      <c r="I232" s="56">
        <v>29211.68</v>
      </c>
      <c r="J232" s="56">
        <v>29124.69</v>
      </c>
      <c r="K232" s="56">
        <v>29120.87</v>
      </c>
      <c r="L232" s="56">
        <v>29195.77</v>
      </c>
      <c r="M232" s="224">
        <f>IF((L233=""),"",MAX(D234:L234))</f>
        <v>40397.009999999995</v>
      </c>
      <c r="N232" s="224">
        <f>IF(L233="","",MIN(D234:L234))</f>
        <v>34549.5</v>
      </c>
      <c r="O232" s="224">
        <f>IF((L234=""),"",AVERAGE(D234:L234))</f>
        <v>38605.923333333325</v>
      </c>
      <c r="P232" s="224">
        <f>IF((L233=""),"",((M232-N232)/(M232+N232))*100)</f>
        <v>7.802244560820772</v>
      </c>
      <c r="Q232" s="227" t="str">
        <f>IF(L233="","",IF(P234&lt;20,(IF(O232&gt;19000,IF(O232&lt;49000,"Pass","Fail"),"Fail"))))</f>
        <v>Pass</v>
      </c>
      <c r="R232" s="224">
        <v>1335</v>
      </c>
      <c r="S232" s="224" t="s">
        <v>190</v>
      </c>
      <c r="T232" s="179"/>
      <c r="U232" s="179">
        <v>19000</v>
      </c>
      <c r="V232" s="179">
        <v>49000</v>
      </c>
      <c r="W232" s="179">
        <v>33000</v>
      </c>
      <c r="X232" s="185">
        <v>44000</v>
      </c>
      <c r="Y232" s="182">
        <v>20</v>
      </c>
    </row>
    <row r="233" spans="1:25" x14ac:dyDescent="0.3">
      <c r="A233" s="175"/>
      <c r="B233" s="225"/>
      <c r="C233" s="71" t="s">
        <v>89</v>
      </c>
      <c r="D233" s="56">
        <v>17714.2</v>
      </c>
      <c r="E233" s="56">
        <v>16199.84</v>
      </c>
      <c r="F233" s="56">
        <v>16014.16</v>
      </c>
      <c r="G233" s="56">
        <v>15824.78</v>
      </c>
      <c r="H233" s="56">
        <v>17006.830000000002</v>
      </c>
      <c r="I233" s="56">
        <v>16446.61</v>
      </c>
      <c r="J233" s="56">
        <v>15951.4</v>
      </c>
      <c r="K233" s="56">
        <v>15655.2</v>
      </c>
      <c r="L233" s="56">
        <v>15884.07</v>
      </c>
      <c r="M233" s="225"/>
      <c r="N233" s="225"/>
      <c r="O233" s="225"/>
      <c r="P233" s="225"/>
      <c r="Q233" s="228"/>
      <c r="R233" s="225"/>
      <c r="S233" s="225"/>
      <c r="T233" s="180"/>
      <c r="U233" s="180"/>
      <c r="V233" s="180"/>
      <c r="W233" s="180"/>
      <c r="X233" s="186"/>
      <c r="Y233" s="183"/>
    </row>
    <row r="234" spans="1:25" ht="26.6" customHeight="1" x14ac:dyDescent="0.3">
      <c r="A234" s="176"/>
      <c r="B234" s="226"/>
      <c r="C234" s="71" t="s">
        <v>123</v>
      </c>
      <c r="D234" s="71">
        <f t="shared" ref="D234:L234" si="74">IF(((D232="")*AND(D233="")),"",(D232-D233)*3)</f>
        <v>34549.5</v>
      </c>
      <c r="E234" s="71">
        <f t="shared" si="74"/>
        <v>38835.360000000001</v>
      </c>
      <c r="F234" s="71">
        <f t="shared" si="74"/>
        <v>39482.31</v>
      </c>
      <c r="G234" s="71">
        <f t="shared" si="74"/>
        <v>39867.539999999994</v>
      </c>
      <c r="H234" s="71">
        <f t="shared" si="74"/>
        <v>36571.409999999989</v>
      </c>
      <c r="I234" s="71">
        <f t="shared" si="74"/>
        <v>38295.21</v>
      </c>
      <c r="J234" s="71">
        <f t="shared" si="74"/>
        <v>39519.869999999995</v>
      </c>
      <c r="K234" s="71">
        <f t="shared" si="74"/>
        <v>40397.009999999995</v>
      </c>
      <c r="L234" s="71">
        <f t="shared" si="74"/>
        <v>39935.100000000006</v>
      </c>
      <c r="M234" s="226"/>
      <c r="N234" s="226"/>
      <c r="O234" s="226"/>
      <c r="P234" s="226"/>
      <c r="Q234" s="229"/>
      <c r="R234" s="226"/>
      <c r="S234" s="226"/>
      <c r="T234" s="181"/>
      <c r="U234" s="181"/>
      <c r="V234" s="181"/>
      <c r="W234" s="181"/>
      <c r="X234" s="187"/>
      <c r="Y234" s="184"/>
    </row>
    <row r="235" spans="1:25" x14ac:dyDescent="0.3">
      <c r="A235" s="174">
        <v>43279</v>
      </c>
      <c r="B235" s="224" t="s">
        <v>124</v>
      </c>
      <c r="C235" s="71" t="s">
        <v>88</v>
      </c>
      <c r="D235" s="56">
        <v>29109.09</v>
      </c>
      <c r="E235" s="56">
        <v>29024.52</v>
      </c>
      <c r="F235" s="56">
        <v>29034.86</v>
      </c>
      <c r="G235" s="56">
        <v>29039.4</v>
      </c>
      <c r="H235" s="56">
        <v>29135.29</v>
      </c>
      <c r="I235" s="56">
        <v>29145.599999999999</v>
      </c>
      <c r="J235" s="56">
        <v>29035.27</v>
      </c>
      <c r="K235" s="56">
        <v>29017.69</v>
      </c>
      <c r="L235" s="56">
        <v>29136.82</v>
      </c>
      <c r="M235" s="224">
        <f>IF((L236=""),"",MAX(D237:L237))</f>
        <v>39380.61</v>
      </c>
      <c r="N235" s="224">
        <f>IF(L236="","",MIN(D237:L237))</f>
        <v>33595.680000000008</v>
      </c>
      <c r="O235" s="224">
        <f>IF((L237=""),"",AVERAGE(D237:L237))</f>
        <v>37501.78</v>
      </c>
      <c r="P235" s="224">
        <f>IF((L236=""),"",((M235-N235)/(M235+N235))*100)</f>
        <v>7.9271363342806174</v>
      </c>
      <c r="Q235" s="227" t="str">
        <f>IF(L236="","",IF(P237&lt;20,(IF(O235&gt;19000,IF(O235&lt;49000,"Pass","Fail"),"Fail"))))</f>
        <v>Pass</v>
      </c>
      <c r="R235" s="224">
        <v>1159</v>
      </c>
      <c r="S235" s="224" t="s">
        <v>191</v>
      </c>
      <c r="T235" s="179"/>
      <c r="U235" s="179">
        <v>19000</v>
      </c>
      <c r="V235" s="179">
        <v>49000</v>
      </c>
      <c r="W235" s="179">
        <v>33000</v>
      </c>
      <c r="X235" s="185">
        <v>44000</v>
      </c>
      <c r="Y235" s="182">
        <v>20</v>
      </c>
    </row>
    <row r="236" spans="1:25" x14ac:dyDescent="0.3">
      <c r="A236" s="175"/>
      <c r="B236" s="225"/>
      <c r="C236" s="71" t="s">
        <v>89</v>
      </c>
      <c r="D236" s="56">
        <v>17910.53</v>
      </c>
      <c r="E236" s="56">
        <v>16391.490000000002</v>
      </c>
      <c r="F236" s="56">
        <v>16186.99</v>
      </c>
      <c r="G236" s="56">
        <v>16164.96</v>
      </c>
      <c r="H236" s="56">
        <v>17498.87</v>
      </c>
      <c r="I236" s="56">
        <v>16703.21</v>
      </c>
      <c r="J236" s="56">
        <v>16147.19</v>
      </c>
      <c r="K236" s="56">
        <v>15890.82</v>
      </c>
      <c r="L236" s="56">
        <v>16279.14</v>
      </c>
      <c r="M236" s="225"/>
      <c r="N236" s="225"/>
      <c r="O236" s="225"/>
      <c r="P236" s="225"/>
      <c r="Q236" s="228"/>
      <c r="R236" s="225"/>
      <c r="S236" s="225"/>
      <c r="T236" s="180"/>
      <c r="U236" s="180"/>
      <c r="V236" s="180"/>
      <c r="W236" s="180"/>
      <c r="X236" s="186"/>
      <c r="Y236" s="183"/>
    </row>
    <row r="237" spans="1:25" ht="26.6" customHeight="1" x14ac:dyDescent="0.3">
      <c r="A237" s="176"/>
      <c r="B237" s="226"/>
      <c r="C237" s="71" t="s">
        <v>123</v>
      </c>
      <c r="D237" s="71">
        <f t="shared" ref="D237:L237" si="75">IF(((D235="")*AND(D236="")),"",(D235-D236)*3)</f>
        <v>33595.680000000008</v>
      </c>
      <c r="E237" s="71">
        <f t="shared" si="75"/>
        <v>37899.089999999997</v>
      </c>
      <c r="F237" s="71">
        <f t="shared" si="75"/>
        <v>38543.61</v>
      </c>
      <c r="G237" s="71">
        <f t="shared" si="75"/>
        <v>38623.320000000007</v>
      </c>
      <c r="H237" s="71">
        <f t="shared" si="75"/>
        <v>34909.260000000009</v>
      </c>
      <c r="I237" s="71">
        <f t="shared" si="75"/>
        <v>37327.17</v>
      </c>
      <c r="J237" s="71">
        <f t="shared" si="75"/>
        <v>38664.239999999998</v>
      </c>
      <c r="K237" s="71">
        <f t="shared" si="75"/>
        <v>39380.61</v>
      </c>
      <c r="L237" s="71">
        <f t="shared" si="75"/>
        <v>38573.040000000001</v>
      </c>
      <c r="M237" s="226"/>
      <c r="N237" s="226"/>
      <c r="O237" s="226"/>
      <c r="P237" s="226"/>
      <c r="Q237" s="229"/>
      <c r="R237" s="226"/>
      <c r="S237" s="226"/>
      <c r="T237" s="181"/>
      <c r="U237" s="181"/>
      <c r="V237" s="181"/>
      <c r="W237" s="181"/>
      <c r="X237" s="187"/>
      <c r="Y237" s="184"/>
    </row>
    <row r="238" spans="1:25" x14ac:dyDescent="0.3">
      <c r="A238" s="174">
        <v>43283</v>
      </c>
      <c r="B238" s="224" t="s">
        <v>124</v>
      </c>
      <c r="C238" s="71" t="s">
        <v>88</v>
      </c>
      <c r="D238" s="56">
        <v>29134.1</v>
      </c>
      <c r="E238" s="56">
        <v>29034.87</v>
      </c>
      <c r="F238" s="56">
        <v>29033.040000000001</v>
      </c>
      <c r="G238" s="56">
        <v>29038.18</v>
      </c>
      <c r="H238" s="56">
        <v>29148.07</v>
      </c>
      <c r="I238" s="56">
        <v>29110.06</v>
      </c>
      <c r="J238" s="56">
        <v>29022.86</v>
      </c>
      <c r="K238" s="56">
        <v>29033.57</v>
      </c>
      <c r="L238" s="56">
        <v>29157.74</v>
      </c>
      <c r="M238" s="224">
        <f>IF((L239=""),"",MAX(D240:L240))</f>
        <v>40748.129999999997</v>
      </c>
      <c r="N238" s="224">
        <f>IF(L239="","",MIN(D240:L240))</f>
        <v>34449.839999999997</v>
      </c>
      <c r="O238" s="224">
        <f>IF((L240=""),"",AVERAGE(D240:L240))</f>
        <v>38762.076666666668</v>
      </c>
      <c r="P238" s="224">
        <f>IF((L239=""),"",((M238-N238)/(M238+N238))*100)</f>
        <v>8.3756117352636004</v>
      </c>
      <c r="Q238" s="227" t="str">
        <f>IF(L239="","",IF(P240&lt;20,(IF(O238&gt;19000,IF(O238&lt;49000,"Pass","Fail"),"Fail"))))</f>
        <v>Pass</v>
      </c>
      <c r="R238" s="224">
        <v>1159</v>
      </c>
      <c r="S238" s="224" t="s">
        <v>192</v>
      </c>
      <c r="T238" s="179"/>
      <c r="U238" s="179">
        <v>19000</v>
      </c>
      <c r="V238" s="179">
        <v>49000</v>
      </c>
      <c r="W238" s="179">
        <v>33000</v>
      </c>
      <c r="X238" s="185">
        <v>44000</v>
      </c>
      <c r="Y238" s="182">
        <v>20</v>
      </c>
    </row>
    <row r="239" spans="1:25" x14ac:dyDescent="0.3">
      <c r="A239" s="175"/>
      <c r="B239" s="225"/>
      <c r="C239" s="71" t="s">
        <v>89</v>
      </c>
      <c r="D239" s="56">
        <v>17650.82</v>
      </c>
      <c r="E239" s="56">
        <v>16023.39</v>
      </c>
      <c r="F239" s="56">
        <v>15808.07</v>
      </c>
      <c r="G239" s="56">
        <v>15632.82</v>
      </c>
      <c r="H239" s="56">
        <v>16946.009999999998</v>
      </c>
      <c r="I239" s="56">
        <v>16340.87</v>
      </c>
      <c r="J239" s="56">
        <v>15769.8</v>
      </c>
      <c r="K239" s="56">
        <v>15450.86</v>
      </c>
      <c r="L239" s="56">
        <v>15803.62</v>
      </c>
      <c r="M239" s="225"/>
      <c r="N239" s="225"/>
      <c r="O239" s="225"/>
      <c r="P239" s="225"/>
      <c r="Q239" s="228"/>
      <c r="R239" s="225"/>
      <c r="S239" s="225"/>
      <c r="T239" s="180"/>
      <c r="U239" s="180"/>
      <c r="V239" s="180"/>
      <c r="W239" s="180"/>
      <c r="X239" s="186"/>
      <c r="Y239" s="183"/>
    </row>
    <row r="240" spans="1:25" ht="26.6" customHeight="1" x14ac:dyDescent="0.3">
      <c r="A240" s="176"/>
      <c r="B240" s="226"/>
      <c r="C240" s="71" t="s">
        <v>123</v>
      </c>
      <c r="D240" s="71">
        <f t="shared" ref="D240:L240" si="76">IF(((D238="")*AND(D239="")),"",(D238-D239)*3)</f>
        <v>34449.839999999997</v>
      </c>
      <c r="E240" s="71">
        <f t="shared" si="76"/>
        <v>39034.44</v>
      </c>
      <c r="F240" s="71">
        <f t="shared" si="76"/>
        <v>39674.910000000003</v>
      </c>
      <c r="G240" s="71">
        <f t="shared" si="76"/>
        <v>40216.080000000002</v>
      </c>
      <c r="H240" s="71">
        <f t="shared" si="76"/>
        <v>36606.180000000008</v>
      </c>
      <c r="I240" s="71">
        <f t="shared" si="76"/>
        <v>38307.57</v>
      </c>
      <c r="J240" s="71">
        <f t="shared" si="76"/>
        <v>39759.180000000008</v>
      </c>
      <c r="K240" s="71">
        <f t="shared" si="76"/>
        <v>40748.129999999997</v>
      </c>
      <c r="L240" s="71">
        <f t="shared" si="76"/>
        <v>40062.36</v>
      </c>
      <c r="M240" s="226"/>
      <c r="N240" s="226"/>
      <c r="O240" s="226"/>
      <c r="P240" s="226"/>
      <c r="Q240" s="229"/>
      <c r="R240" s="226"/>
      <c r="S240" s="226"/>
      <c r="T240" s="181"/>
      <c r="U240" s="181"/>
      <c r="V240" s="181"/>
      <c r="W240" s="181"/>
      <c r="X240" s="187"/>
      <c r="Y240" s="184"/>
    </row>
    <row r="241" spans="1:25" x14ac:dyDescent="0.3">
      <c r="A241" s="174">
        <v>43286</v>
      </c>
      <c r="B241" s="224" t="s">
        <v>124</v>
      </c>
      <c r="C241" s="71" t="s">
        <v>88</v>
      </c>
      <c r="D241" s="56">
        <v>29310.01</v>
      </c>
      <c r="E241" s="56">
        <v>29238.14</v>
      </c>
      <c r="F241" s="56">
        <v>29278.6</v>
      </c>
      <c r="G241" s="56">
        <v>29222.18</v>
      </c>
      <c r="H241" s="56">
        <v>29308.48</v>
      </c>
      <c r="I241" s="56">
        <v>29306.85</v>
      </c>
      <c r="J241" s="56">
        <v>29255.03</v>
      </c>
      <c r="K241" s="56">
        <v>29239.15</v>
      </c>
      <c r="L241" s="56">
        <v>29305.66</v>
      </c>
      <c r="M241" s="224">
        <f>IF((L242=""),"",MAX(D243:L243))</f>
        <v>40990.800000000003</v>
      </c>
      <c r="N241" s="224">
        <f>IF(L242="","",MIN(D243:L243))</f>
        <v>34911.179999999993</v>
      </c>
      <c r="O241" s="224">
        <f>IF((L243=""),"",AVERAGE(D243:L243))</f>
        <v>38945.78</v>
      </c>
      <c r="P241" s="224">
        <f>IF((L242=""),"",((M241-N241)/(M241+N241))*100)</f>
        <v>8.0098305735897934</v>
      </c>
      <c r="Q241" s="227" t="str">
        <f>IF(L242="","",IF(P243&lt;20,(IF(O241&gt;19000,IF(O241&lt;49000,"Pass","Fail"),"Fail"))))</f>
        <v>Pass</v>
      </c>
      <c r="R241" s="224">
        <v>1159</v>
      </c>
      <c r="S241" s="224" t="s">
        <v>193</v>
      </c>
      <c r="T241" s="179"/>
      <c r="U241" s="179">
        <v>19000</v>
      </c>
      <c r="V241" s="179">
        <v>49000</v>
      </c>
      <c r="W241" s="179">
        <v>33000</v>
      </c>
      <c r="X241" s="185">
        <v>44000</v>
      </c>
      <c r="Y241" s="182">
        <v>20</v>
      </c>
    </row>
    <row r="242" spans="1:25" x14ac:dyDescent="0.3">
      <c r="A242" s="175"/>
      <c r="B242" s="225"/>
      <c r="C242" s="71" t="s">
        <v>89</v>
      </c>
      <c r="D242" s="56">
        <v>17672.95</v>
      </c>
      <c r="E242" s="56">
        <v>16193.85</v>
      </c>
      <c r="F242" s="56">
        <v>15992.54</v>
      </c>
      <c r="G242" s="56">
        <v>15826.03</v>
      </c>
      <c r="H242" s="56">
        <v>17008.27</v>
      </c>
      <c r="I242" s="56">
        <v>16457.099999999999</v>
      </c>
      <c r="J242" s="56">
        <v>15992.59</v>
      </c>
      <c r="K242" s="56">
        <v>15575.55</v>
      </c>
      <c r="L242" s="56">
        <v>15907.88</v>
      </c>
      <c r="M242" s="225"/>
      <c r="N242" s="225"/>
      <c r="O242" s="225"/>
      <c r="P242" s="225"/>
      <c r="Q242" s="228"/>
      <c r="R242" s="225"/>
      <c r="S242" s="225"/>
      <c r="T242" s="180"/>
      <c r="U242" s="180"/>
      <c r="V242" s="180"/>
      <c r="W242" s="180"/>
      <c r="X242" s="186"/>
      <c r="Y242" s="183"/>
    </row>
    <row r="243" spans="1:25" ht="26.6" customHeight="1" x14ac:dyDescent="0.3">
      <c r="A243" s="176"/>
      <c r="B243" s="226"/>
      <c r="C243" s="71" t="s">
        <v>123</v>
      </c>
      <c r="D243" s="71">
        <f t="shared" ref="D243:L243" si="77">IF(((D241="")*AND(D242="")),"",(D241-D242)*3)</f>
        <v>34911.179999999993</v>
      </c>
      <c r="E243" s="71">
        <f t="shared" si="77"/>
        <v>39132.869999999995</v>
      </c>
      <c r="F243" s="71">
        <f t="shared" si="77"/>
        <v>39858.179999999993</v>
      </c>
      <c r="G243" s="71">
        <f t="shared" si="77"/>
        <v>40188.449999999997</v>
      </c>
      <c r="H243" s="71">
        <f t="shared" si="77"/>
        <v>36900.629999999997</v>
      </c>
      <c r="I243" s="71">
        <f t="shared" si="77"/>
        <v>38549.25</v>
      </c>
      <c r="J243" s="71">
        <f t="shared" si="77"/>
        <v>39787.319999999992</v>
      </c>
      <c r="K243" s="71">
        <f t="shared" si="77"/>
        <v>40990.800000000003</v>
      </c>
      <c r="L243" s="71">
        <f t="shared" si="77"/>
        <v>40193.340000000004</v>
      </c>
      <c r="M243" s="226"/>
      <c r="N243" s="226"/>
      <c r="O243" s="226"/>
      <c r="P243" s="226"/>
      <c r="Q243" s="229"/>
      <c r="R243" s="226"/>
      <c r="S243" s="226"/>
      <c r="T243" s="181"/>
      <c r="U243" s="181"/>
      <c r="V243" s="181"/>
      <c r="W243" s="181"/>
      <c r="X243" s="187"/>
      <c r="Y243" s="184"/>
    </row>
    <row r="244" spans="1:25" x14ac:dyDescent="0.3">
      <c r="A244" s="174">
        <v>43289</v>
      </c>
      <c r="B244" s="224" t="s">
        <v>124</v>
      </c>
      <c r="C244" s="71" t="s">
        <v>88</v>
      </c>
      <c r="D244" s="56">
        <v>29400</v>
      </c>
      <c r="E244" s="56">
        <v>29293</v>
      </c>
      <c r="F244" s="56">
        <v>29327</v>
      </c>
      <c r="G244" s="56">
        <v>29273</v>
      </c>
      <c r="H244" s="56">
        <v>29352</v>
      </c>
      <c r="I244" s="56">
        <v>29316</v>
      </c>
      <c r="J244" s="56">
        <v>29252</v>
      </c>
      <c r="K244" s="56">
        <v>29259</v>
      </c>
      <c r="L244" s="56">
        <v>29375</v>
      </c>
      <c r="M244" s="224">
        <f>IF((L245=""),"",MAX(D246:L246))</f>
        <v>40920</v>
      </c>
      <c r="N244" s="224">
        <f>IF(L245="","",MIN(D246:L246))</f>
        <v>35700</v>
      </c>
      <c r="O244" s="224">
        <f>IF((L246=""),"",AVERAGE(D246:L246))</f>
        <v>39499.333333333336</v>
      </c>
      <c r="P244" s="224">
        <f>IF((L245=""),"",((M244-N244)/(M244+N244))*100)</f>
        <v>6.8128425998433828</v>
      </c>
      <c r="Q244" s="227" t="str">
        <f>IF(L245="","",IF(P246&lt;20,(IF(O244&gt;19000,IF(O244&lt;49000,"Pass","Fail"),"Fail"))))</f>
        <v>Pass</v>
      </c>
      <c r="R244" s="224">
        <v>1159</v>
      </c>
      <c r="S244" s="224" t="s">
        <v>194</v>
      </c>
      <c r="T244" s="179"/>
      <c r="U244" s="179">
        <v>19000</v>
      </c>
      <c r="V244" s="179">
        <v>49000</v>
      </c>
      <c r="W244" s="179">
        <v>33000</v>
      </c>
      <c r="X244" s="185">
        <v>44000</v>
      </c>
      <c r="Y244" s="182">
        <v>20</v>
      </c>
    </row>
    <row r="245" spans="1:25" x14ac:dyDescent="0.3">
      <c r="A245" s="175"/>
      <c r="B245" s="225"/>
      <c r="C245" s="71" t="s">
        <v>89</v>
      </c>
      <c r="D245" s="56">
        <v>17500</v>
      </c>
      <c r="E245" s="56">
        <v>16017</v>
      </c>
      <c r="F245" s="56">
        <v>15967</v>
      </c>
      <c r="G245" s="56">
        <v>15750</v>
      </c>
      <c r="H245" s="56">
        <v>16863</v>
      </c>
      <c r="I245" s="56">
        <v>16055</v>
      </c>
      <c r="J245" s="56">
        <v>15789</v>
      </c>
      <c r="K245" s="56">
        <v>15619</v>
      </c>
      <c r="L245" s="56">
        <v>15789</v>
      </c>
      <c r="M245" s="225"/>
      <c r="N245" s="225"/>
      <c r="O245" s="225"/>
      <c r="P245" s="225"/>
      <c r="Q245" s="228"/>
      <c r="R245" s="225"/>
      <c r="S245" s="225"/>
      <c r="T245" s="180"/>
      <c r="U245" s="180"/>
      <c r="V245" s="180"/>
      <c r="W245" s="180"/>
      <c r="X245" s="186"/>
      <c r="Y245" s="183"/>
    </row>
    <row r="246" spans="1:25" ht="26.6" customHeight="1" x14ac:dyDescent="0.3">
      <c r="A246" s="176"/>
      <c r="B246" s="226"/>
      <c r="C246" s="71" t="s">
        <v>123</v>
      </c>
      <c r="D246" s="71">
        <f t="shared" ref="D246:L246" si="78">IF(((D244="")*AND(D245="")),"",(D244-D245)*3)</f>
        <v>35700</v>
      </c>
      <c r="E246" s="71">
        <f t="shared" si="78"/>
        <v>39828</v>
      </c>
      <c r="F246" s="71">
        <f t="shared" si="78"/>
        <v>40080</v>
      </c>
      <c r="G246" s="71">
        <f t="shared" si="78"/>
        <v>40569</v>
      </c>
      <c r="H246" s="71">
        <f t="shared" si="78"/>
        <v>37467</v>
      </c>
      <c r="I246" s="71">
        <f t="shared" si="78"/>
        <v>39783</v>
      </c>
      <c r="J246" s="71">
        <f t="shared" si="78"/>
        <v>40389</v>
      </c>
      <c r="K246" s="71">
        <f t="shared" si="78"/>
        <v>40920</v>
      </c>
      <c r="L246" s="71">
        <f t="shared" si="78"/>
        <v>40758</v>
      </c>
      <c r="M246" s="226"/>
      <c r="N246" s="226"/>
      <c r="O246" s="226"/>
      <c r="P246" s="226"/>
      <c r="Q246" s="229"/>
      <c r="R246" s="226"/>
      <c r="S246" s="226"/>
      <c r="T246" s="181"/>
      <c r="U246" s="181"/>
      <c r="V246" s="181"/>
      <c r="W246" s="181"/>
      <c r="X246" s="187"/>
      <c r="Y246" s="184"/>
    </row>
    <row r="247" spans="1:25" x14ac:dyDescent="0.3">
      <c r="A247" s="174">
        <v>43292</v>
      </c>
      <c r="B247" s="224" t="s">
        <v>124</v>
      </c>
      <c r="C247" s="71" t="s">
        <v>88</v>
      </c>
      <c r="D247" s="56">
        <v>25097.16</v>
      </c>
      <c r="E247" s="56">
        <v>25142.37</v>
      </c>
      <c r="F247" s="56">
        <v>25234.17</v>
      </c>
      <c r="G247" s="56">
        <v>22811.61</v>
      </c>
      <c r="H247" s="56">
        <v>25027.24</v>
      </c>
      <c r="I247" s="56">
        <v>25047.360000000001</v>
      </c>
      <c r="J247" s="56">
        <v>25098.639999999999</v>
      </c>
      <c r="K247" s="56">
        <v>25064.29</v>
      </c>
      <c r="L247" s="56">
        <v>25109.56</v>
      </c>
      <c r="M247" s="224">
        <f>IF((L248=""),"",MAX(D249:L249))</f>
        <v>40260.9</v>
      </c>
      <c r="N247" s="224">
        <f>IF(L248="","",MIN(D249:L249))</f>
        <v>32842.200000000004</v>
      </c>
      <c r="O247" s="224">
        <f>IF((L249=""),"",AVERAGE(D249:L249))</f>
        <v>37725.303333333337</v>
      </c>
      <c r="P247" s="224">
        <f>IF((L248=""),"",((M247-N247)/(M247+N247))*100)</f>
        <v>10.148270046003516</v>
      </c>
      <c r="Q247" s="227" t="str">
        <f>IF(L248="","",IF(P249&lt;20,(IF(O247&gt;19000,IF(O247&lt;49000,"Pass","Fail"),"Fail"))))</f>
        <v>Pass</v>
      </c>
      <c r="R247" s="224">
        <v>121</v>
      </c>
      <c r="S247" s="224"/>
      <c r="T247" s="179"/>
      <c r="U247" s="179">
        <v>19000</v>
      </c>
      <c r="V247" s="179">
        <v>49000</v>
      </c>
      <c r="W247" s="179">
        <v>33000</v>
      </c>
      <c r="X247" s="185">
        <v>44000</v>
      </c>
      <c r="Y247" s="182">
        <v>20</v>
      </c>
    </row>
    <row r="248" spans="1:25" x14ac:dyDescent="0.3">
      <c r="A248" s="175"/>
      <c r="B248" s="225"/>
      <c r="C248" s="71" t="s">
        <v>89</v>
      </c>
      <c r="D248" s="56">
        <v>13692.17</v>
      </c>
      <c r="E248" s="56">
        <v>12272.94</v>
      </c>
      <c r="F248" s="56">
        <v>12097.88</v>
      </c>
      <c r="G248" s="56">
        <v>11864.21</v>
      </c>
      <c r="H248" s="56">
        <v>13090.78</v>
      </c>
      <c r="I248" s="56">
        <v>12159.2</v>
      </c>
      <c r="J248" s="56">
        <v>11916.01</v>
      </c>
      <c r="K248" s="56">
        <v>11674.04</v>
      </c>
      <c r="L248" s="56">
        <v>11689.26</v>
      </c>
      <c r="M248" s="225"/>
      <c r="N248" s="225"/>
      <c r="O248" s="225"/>
      <c r="P248" s="225"/>
      <c r="Q248" s="228"/>
      <c r="R248" s="225"/>
      <c r="S248" s="225"/>
      <c r="T248" s="180"/>
      <c r="U248" s="180"/>
      <c r="V248" s="180"/>
      <c r="W248" s="180"/>
      <c r="X248" s="186"/>
      <c r="Y248" s="183"/>
    </row>
    <row r="249" spans="1:25" ht="26.6" customHeight="1" x14ac:dyDescent="0.3">
      <c r="A249" s="176"/>
      <c r="B249" s="226"/>
      <c r="C249" s="71" t="s">
        <v>123</v>
      </c>
      <c r="D249" s="71">
        <f t="shared" ref="D249:L249" si="79">IF(((D247="")*AND(D248="")),"",(D247-D248)*3)</f>
        <v>34214.97</v>
      </c>
      <c r="E249" s="71">
        <f t="shared" si="79"/>
        <v>38608.289999999994</v>
      </c>
      <c r="F249" s="71">
        <f t="shared" si="79"/>
        <v>39408.869999999995</v>
      </c>
      <c r="G249" s="71">
        <f t="shared" si="79"/>
        <v>32842.200000000004</v>
      </c>
      <c r="H249" s="71">
        <f t="shared" si="79"/>
        <v>35809.380000000005</v>
      </c>
      <c r="I249" s="71">
        <f t="shared" si="79"/>
        <v>38664.479999999996</v>
      </c>
      <c r="J249" s="71">
        <f t="shared" si="79"/>
        <v>39547.89</v>
      </c>
      <c r="K249" s="71">
        <f t="shared" si="79"/>
        <v>40170.75</v>
      </c>
      <c r="L249" s="71">
        <f t="shared" si="79"/>
        <v>40260.9</v>
      </c>
      <c r="M249" s="226"/>
      <c r="N249" s="226"/>
      <c r="O249" s="226"/>
      <c r="P249" s="226"/>
      <c r="Q249" s="229"/>
      <c r="R249" s="226"/>
      <c r="S249" s="226"/>
      <c r="T249" s="181"/>
      <c r="U249" s="181"/>
      <c r="V249" s="181"/>
      <c r="W249" s="181"/>
      <c r="X249" s="187"/>
      <c r="Y249" s="184"/>
    </row>
    <row r="250" spans="1:25" x14ac:dyDescent="0.3">
      <c r="A250" s="174">
        <v>43296</v>
      </c>
      <c r="B250" s="224" t="s">
        <v>124</v>
      </c>
      <c r="C250" s="71" t="s">
        <v>88</v>
      </c>
      <c r="D250" s="56">
        <v>22624.33</v>
      </c>
      <c r="E250" s="56">
        <v>22358.89</v>
      </c>
      <c r="F250" s="56">
        <v>22300.38</v>
      </c>
      <c r="G250" s="56">
        <v>22312.1</v>
      </c>
      <c r="H250" s="56">
        <v>22586.62</v>
      </c>
      <c r="I250" s="56">
        <v>22524.23</v>
      </c>
      <c r="J250" s="56">
        <v>22265.26</v>
      </c>
      <c r="K250" s="56">
        <v>22349.31</v>
      </c>
      <c r="L250" s="56">
        <v>22665</v>
      </c>
      <c r="M250" s="224">
        <f>IF((L251=""),"",MAX(D252:L252))</f>
        <v>37624.5</v>
      </c>
      <c r="N250" s="224">
        <f>IF(L251="","",MIN(D252:L252))</f>
        <v>31315.050000000007</v>
      </c>
      <c r="O250" s="224">
        <f>IF((L252=""),"",AVERAGE(D252:L252))</f>
        <v>35373.916666666664</v>
      </c>
      <c r="P250" s="224">
        <f>IF((L251=""),"",((M250-N250)/(M250+N250))*100)</f>
        <v>9.1521485127187407</v>
      </c>
      <c r="Q250" s="227" t="str">
        <f>IF(L251="","",IF(P252&lt;20,(IF(O250&gt;19000,IF(O250&lt;49000,"Pass","Fail"),"Fail"))))</f>
        <v>Pass</v>
      </c>
      <c r="R250" s="224">
        <v>1335</v>
      </c>
      <c r="S250" s="224" t="s">
        <v>195</v>
      </c>
      <c r="T250" s="179"/>
      <c r="U250" s="179">
        <v>19000</v>
      </c>
      <c r="V250" s="179">
        <v>49000</v>
      </c>
      <c r="W250" s="179">
        <v>33000</v>
      </c>
      <c r="X250" s="185">
        <v>44000</v>
      </c>
      <c r="Y250" s="182">
        <v>20</v>
      </c>
    </row>
    <row r="251" spans="1:25" x14ac:dyDescent="0.3">
      <c r="A251" s="175"/>
      <c r="B251" s="225"/>
      <c r="C251" s="71" t="s">
        <v>89</v>
      </c>
      <c r="D251" s="56">
        <v>12185.98</v>
      </c>
      <c r="E251" s="56">
        <v>10550.68</v>
      </c>
      <c r="F251" s="56">
        <v>10374.040000000001</v>
      </c>
      <c r="G251" s="56">
        <v>10215.02</v>
      </c>
      <c r="H251" s="56">
        <v>11342.9</v>
      </c>
      <c r="I251" s="56">
        <v>10749.75</v>
      </c>
      <c r="J251" s="56">
        <v>10246.94</v>
      </c>
      <c r="K251" s="56">
        <v>10075.56</v>
      </c>
      <c r="L251" s="56">
        <v>10123.5</v>
      </c>
      <c r="M251" s="225"/>
      <c r="N251" s="225"/>
      <c r="O251" s="225"/>
      <c r="P251" s="225"/>
      <c r="Q251" s="228"/>
      <c r="R251" s="225"/>
      <c r="S251" s="225"/>
      <c r="T251" s="180"/>
      <c r="U251" s="180"/>
      <c r="V251" s="180"/>
      <c r="W251" s="180"/>
      <c r="X251" s="186"/>
      <c r="Y251" s="183"/>
    </row>
    <row r="252" spans="1:25" ht="26.6" customHeight="1" x14ac:dyDescent="0.3">
      <c r="A252" s="176"/>
      <c r="B252" s="226"/>
      <c r="C252" s="71" t="s">
        <v>123</v>
      </c>
      <c r="D252" s="71">
        <f t="shared" ref="D252:L252" si="80">IF(((D250="")*AND(D251="")),"",(D250-D251)*3)</f>
        <v>31315.050000000007</v>
      </c>
      <c r="E252" s="71">
        <f t="shared" si="80"/>
        <v>35424.629999999997</v>
      </c>
      <c r="F252" s="71">
        <f t="shared" si="80"/>
        <v>35779.020000000004</v>
      </c>
      <c r="G252" s="71">
        <f t="shared" si="80"/>
        <v>36291.239999999991</v>
      </c>
      <c r="H252" s="71">
        <f t="shared" si="80"/>
        <v>33731.159999999996</v>
      </c>
      <c r="I252" s="71">
        <f t="shared" si="80"/>
        <v>35323.440000000002</v>
      </c>
      <c r="J252" s="71">
        <f t="shared" si="80"/>
        <v>36054.959999999992</v>
      </c>
      <c r="K252" s="71">
        <f t="shared" si="80"/>
        <v>36821.250000000007</v>
      </c>
      <c r="L252" s="71">
        <f t="shared" si="80"/>
        <v>37624.5</v>
      </c>
      <c r="M252" s="226"/>
      <c r="N252" s="226"/>
      <c r="O252" s="226"/>
      <c r="P252" s="226"/>
      <c r="Q252" s="229"/>
      <c r="R252" s="226"/>
      <c r="S252" s="226"/>
      <c r="T252" s="181"/>
      <c r="U252" s="181"/>
      <c r="V252" s="181"/>
      <c r="W252" s="181"/>
      <c r="X252" s="187"/>
      <c r="Y252" s="184"/>
    </row>
    <row r="253" spans="1:25" x14ac:dyDescent="0.3">
      <c r="A253" s="174">
        <v>43300</v>
      </c>
      <c r="B253" s="224" t="s">
        <v>124</v>
      </c>
      <c r="C253" s="71" t="s">
        <v>88</v>
      </c>
      <c r="D253" s="56">
        <v>29283.65</v>
      </c>
      <c r="E253" s="56">
        <v>29216.14</v>
      </c>
      <c r="F253" s="56">
        <v>29243.96</v>
      </c>
      <c r="G253" s="56">
        <v>29230.21</v>
      </c>
      <c r="H253" s="56">
        <v>29351.19</v>
      </c>
      <c r="I253" s="56">
        <v>29274.02</v>
      </c>
      <c r="J253" s="56">
        <v>29204.66</v>
      </c>
      <c r="K253" s="56">
        <v>29209.98</v>
      </c>
      <c r="L253" s="56">
        <v>29299.66</v>
      </c>
      <c r="M253" s="224">
        <f>IF((L254=""),"",MAX(D255:L255))</f>
        <v>40637.19</v>
      </c>
      <c r="N253" s="224">
        <f>IF(L254="","",MIN(D255:L255))</f>
        <v>36089.160000000003</v>
      </c>
      <c r="O253" s="224">
        <f>IF((L255=""),"",AVERAGE(D255:L255))</f>
        <v>39353.893333333333</v>
      </c>
      <c r="P253" s="224">
        <f>IF((L254=""),"",((M253-N253)/(M253+N253))*100)</f>
        <v>5.9275985368781372</v>
      </c>
      <c r="Q253" s="227" t="str">
        <f>IF(L254="","",IF(P255&lt;20,(IF(O253&gt;19000,IF(O253&lt;49000,"Pass","Fail"),"Fail"))))</f>
        <v>Pass</v>
      </c>
      <c r="R253" s="224">
        <v>121</v>
      </c>
      <c r="S253" s="224" t="s">
        <v>196</v>
      </c>
      <c r="T253" s="179"/>
      <c r="U253" s="179">
        <v>19000</v>
      </c>
      <c r="V253" s="179">
        <v>49000</v>
      </c>
      <c r="W253" s="179">
        <v>33000</v>
      </c>
      <c r="X253" s="185">
        <v>44000</v>
      </c>
      <c r="Y253" s="182">
        <v>20</v>
      </c>
    </row>
    <row r="254" spans="1:25" x14ac:dyDescent="0.3">
      <c r="A254" s="175"/>
      <c r="B254" s="225"/>
      <c r="C254" s="71" t="s">
        <v>89</v>
      </c>
      <c r="D254" s="56">
        <v>17253.93</v>
      </c>
      <c r="E254" s="56">
        <v>16042.17</v>
      </c>
      <c r="F254" s="56">
        <v>16027.83</v>
      </c>
      <c r="G254" s="56">
        <v>15851</v>
      </c>
      <c r="H254" s="56">
        <v>17012.47</v>
      </c>
      <c r="I254" s="56">
        <v>15843.67</v>
      </c>
      <c r="J254" s="56">
        <v>15786.78</v>
      </c>
      <c r="K254" s="56">
        <v>15664.25</v>
      </c>
      <c r="L254" s="56">
        <v>15769.69</v>
      </c>
      <c r="M254" s="225"/>
      <c r="N254" s="225"/>
      <c r="O254" s="225"/>
      <c r="P254" s="225"/>
      <c r="Q254" s="228"/>
      <c r="R254" s="225"/>
      <c r="S254" s="225"/>
      <c r="T254" s="180"/>
      <c r="U254" s="180"/>
      <c r="V254" s="180"/>
      <c r="W254" s="180"/>
      <c r="X254" s="186"/>
      <c r="Y254" s="183"/>
    </row>
    <row r="255" spans="1:25" ht="26.6" customHeight="1" x14ac:dyDescent="0.3">
      <c r="A255" s="176"/>
      <c r="B255" s="226"/>
      <c r="C255" s="71" t="s">
        <v>123</v>
      </c>
      <c r="D255" s="71">
        <f t="shared" ref="D255:L255" si="81">IF(((D253="")*AND(D254="")),"",(D253-D254)*3)</f>
        <v>36089.160000000003</v>
      </c>
      <c r="E255" s="71">
        <f t="shared" si="81"/>
        <v>39521.909999999996</v>
      </c>
      <c r="F255" s="71">
        <f t="shared" si="81"/>
        <v>39648.39</v>
      </c>
      <c r="G255" s="71">
        <f t="shared" si="81"/>
        <v>40137.629999999997</v>
      </c>
      <c r="H255" s="71">
        <f t="shared" si="81"/>
        <v>37016.159999999989</v>
      </c>
      <c r="I255" s="71">
        <f t="shared" si="81"/>
        <v>40291.050000000003</v>
      </c>
      <c r="J255" s="71">
        <f t="shared" si="81"/>
        <v>40253.64</v>
      </c>
      <c r="K255" s="71">
        <f t="shared" si="81"/>
        <v>40637.19</v>
      </c>
      <c r="L255" s="71">
        <f t="shared" si="81"/>
        <v>40589.909999999996</v>
      </c>
      <c r="M255" s="226"/>
      <c r="N255" s="226"/>
      <c r="O255" s="226"/>
      <c r="P255" s="226"/>
      <c r="Q255" s="229"/>
      <c r="R255" s="226"/>
      <c r="S255" s="226"/>
      <c r="T255" s="181"/>
      <c r="U255" s="181"/>
      <c r="V255" s="181"/>
      <c r="W255" s="181"/>
      <c r="X255" s="187"/>
      <c r="Y255" s="184"/>
    </row>
    <row r="256" spans="1:25" x14ac:dyDescent="0.3">
      <c r="A256" s="174">
        <v>43304</v>
      </c>
      <c r="B256" s="224" t="s">
        <v>124</v>
      </c>
      <c r="C256" s="71" t="s">
        <v>88</v>
      </c>
      <c r="D256" s="56">
        <v>29270.15</v>
      </c>
      <c r="E256" s="56">
        <v>29191.61</v>
      </c>
      <c r="F256" s="56">
        <v>29220.95</v>
      </c>
      <c r="G256" s="56">
        <v>29201.91</v>
      </c>
      <c r="H256" s="56">
        <v>29309.52</v>
      </c>
      <c r="I256" s="56">
        <v>29250.26</v>
      </c>
      <c r="J256" s="56">
        <v>29185.68</v>
      </c>
      <c r="K256" s="56">
        <v>29176.240000000002</v>
      </c>
      <c r="L256" s="56">
        <v>29279.87</v>
      </c>
      <c r="M256" s="224">
        <f>IF((L257=""),"",MAX(D258:L258))</f>
        <v>41033.22</v>
      </c>
      <c r="N256" s="224">
        <f>IF(L257="","",MIN(D258:L258))</f>
        <v>35262.81</v>
      </c>
      <c r="O256" s="224">
        <f>IF((L258=""),"",AVERAGE(D258:L258))</f>
        <v>39039.763333333336</v>
      </c>
      <c r="P256" s="224">
        <f>IF((L257=""),"",((M256-N256)/(M256+N256))*100)</f>
        <v>7.5631851355830753</v>
      </c>
      <c r="Q256" s="227" t="str">
        <f>IF(L257="","",IF(P258&lt;20,(IF(O256&gt;19000,IF(O256&lt;49000,"Pass","Fail"),"Fail"))))</f>
        <v>Pass</v>
      </c>
      <c r="R256" s="224">
        <v>121</v>
      </c>
      <c r="S256" s="224" t="s">
        <v>196</v>
      </c>
      <c r="T256" s="179"/>
      <c r="U256" s="179">
        <v>19000</v>
      </c>
      <c r="V256" s="179">
        <v>49000</v>
      </c>
      <c r="W256" s="179">
        <v>33000</v>
      </c>
      <c r="X256" s="185">
        <v>44000</v>
      </c>
      <c r="Y256" s="182">
        <v>20</v>
      </c>
    </row>
    <row r="257" spans="1:25" x14ac:dyDescent="0.3">
      <c r="A257" s="175"/>
      <c r="B257" s="225"/>
      <c r="C257" s="71" t="s">
        <v>89</v>
      </c>
      <c r="D257" s="56">
        <v>17515.88</v>
      </c>
      <c r="E257" s="56">
        <v>16156.77</v>
      </c>
      <c r="F257" s="56">
        <v>16070.94</v>
      </c>
      <c r="G257" s="56">
        <v>15863.03</v>
      </c>
      <c r="H257" s="56">
        <v>16975.32</v>
      </c>
      <c r="I257" s="56">
        <v>16260.22</v>
      </c>
      <c r="J257" s="56">
        <v>15971.54</v>
      </c>
      <c r="K257" s="56">
        <v>15551.07</v>
      </c>
      <c r="L257" s="56">
        <v>15602.13</v>
      </c>
      <c r="M257" s="225"/>
      <c r="N257" s="225"/>
      <c r="O257" s="225"/>
      <c r="P257" s="225"/>
      <c r="Q257" s="228"/>
      <c r="R257" s="225"/>
      <c r="S257" s="225"/>
      <c r="T257" s="180"/>
      <c r="U257" s="180"/>
      <c r="V257" s="180"/>
      <c r="W257" s="180"/>
      <c r="X257" s="186"/>
      <c r="Y257" s="183"/>
    </row>
    <row r="258" spans="1:25" ht="26.6" customHeight="1" x14ac:dyDescent="0.3">
      <c r="A258" s="176"/>
      <c r="B258" s="226"/>
      <c r="C258" s="71" t="s">
        <v>123</v>
      </c>
      <c r="D258" s="71">
        <f t="shared" ref="D258:L258" si="82">IF(((D256="")*AND(D257="")),"",(D256-D257)*3)</f>
        <v>35262.81</v>
      </c>
      <c r="E258" s="71">
        <f t="shared" si="82"/>
        <v>39104.520000000004</v>
      </c>
      <c r="F258" s="71">
        <f t="shared" si="82"/>
        <v>39450.03</v>
      </c>
      <c r="G258" s="71">
        <f t="shared" si="82"/>
        <v>40016.639999999999</v>
      </c>
      <c r="H258" s="71">
        <f t="shared" si="82"/>
        <v>37002.600000000006</v>
      </c>
      <c r="I258" s="71">
        <f t="shared" si="82"/>
        <v>38970.119999999995</v>
      </c>
      <c r="J258" s="71">
        <f t="shared" si="82"/>
        <v>39642.42</v>
      </c>
      <c r="K258" s="71">
        <f t="shared" si="82"/>
        <v>40875.510000000009</v>
      </c>
      <c r="L258" s="71">
        <f t="shared" si="82"/>
        <v>41033.22</v>
      </c>
      <c r="M258" s="226"/>
      <c r="N258" s="226"/>
      <c r="O258" s="226"/>
      <c r="P258" s="226"/>
      <c r="Q258" s="229"/>
      <c r="R258" s="226"/>
      <c r="S258" s="226"/>
      <c r="T258" s="181"/>
      <c r="U258" s="181"/>
      <c r="V258" s="181"/>
      <c r="W258" s="181"/>
      <c r="X258" s="187"/>
      <c r="Y258" s="184"/>
    </row>
    <row r="259" spans="1:25" x14ac:dyDescent="0.3">
      <c r="A259" s="174">
        <v>43308</v>
      </c>
      <c r="B259" s="224" t="s">
        <v>124</v>
      </c>
      <c r="C259" s="71" t="s">
        <v>88</v>
      </c>
      <c r="D259" s="56">
        <v>29199.56</v>
      </c>
      <c r="E259" s="56">
        <v>29152.28</v>
      </c>
      <c r="F259" s="56">
        <v>29264.82</v>
      </c>
      <c r="G259" s="56">
        <v>29196.82</v>
      </c>
      <c r="H259" s="56">
        <v>29202.07</v>
      </c>
      <c r="I259" s="56">
        <v>29241.71</v>
      </c>
      <c r="J259" s="56">
        <v>29111.81</v>
      </c>
      <c r="K259" s="56">
        <v>29188.59</v>
      </c>
      <c r="L259" s="56">
        <v>29263.9</v>
      </c>
      <c r="M259" s="224">
        <f>IF((L260=""),"",MAX(D261:L261))</f>
        <v>41313.42</v>
      </c>
      <c r="N259" s="224">
        <f>IF(L260="","",MIN(D261:L261))</f>
        <v>35647.920000000013</v>
      </c>
      <c r="O259" s="224">
        <f>IF((L261=""),"",AVERAGE(D261:L261))</f>
        <v>39617.769999999997</v>
      </c>
      <c r="P259" s="224">
        <f>IF((L260=""),"",((M259-N259)/(M259+N259))*100)</f>
        <v>7.3614882485154034</v>
      </c>
      <c r="Q259" s="227" t="str">
        <f>IF(L260="","",IF(P261&lt;20,(IF(O259&gt;19000,IF(O259&lt;49000,"Pass","Fail"),"Fail"))))</f>
        <v>Pass</v>
      </c>
      <c r="R259" s="224">
        <v>121</v>
      </c>
      <c r="S259" s="224" t="s">
        <v>196</v>
      </c>
      <c r="T259" s="179"/>
      <c r="U259" s="179">
        <v>19000</v>
      </c>
      <c r="V259" s="179">
        <v>49000</v>
      </c>
      <c r="W259" s="179">
        <v>33000</v>
      </c>
      <c r="X259" s="185">
        <v>44000</v>
      </c>
      <c r="Y259" s="182">
        <v>20</v>
      </c>
    </row>
    <row r="260" spans="1:25" x14ac:dyDescent="0.3">
      <c r="A260" s="175"/>
      <c r="B260" s="225"/>
      <c r="C260" s="71" t="s">
        <v>89</v>
      </c>
      <c r="D260" s="56">
        <v>17316.919999999998</v>
      </c>
      <c r="E260" s="56">
        <v>15954.17</v>
      </c>
      <c r="F260" s="56">
        <v>15818.44</v>
      </c>
      <c r="G260" s="56">
        <v>15504.56</v>
      </c>
      <c r="H260" s="56">
        <v>16521.5</v>
      </c>
      <c r="I260" s="56">
        <v>15996</v>
      </c>
      <c r="J260" s="56">
        <v>15689.25</v>
      </c>
      <c r="K260" s="56">
        <v>15417.45</v>
      </c>
      <c r="L260" s="56">
        <v>15749.96</v>
      </c>
      <c r="M260" s="225"/>
      <c r="N260" s="225"/>
      <c r="O260" s="225"/>
      <c r="P260" s="225"/>
      <c r="Q260" s="228"/>
      <c r="R260" s="225"/>
      <c r="S260" s="225"/>
      <c r="T260" s="180"/>
      <c r="U260" s="180"/>
      <c r="V260" s="180"/>
      <c r="W260" s="180"/>
      <c r="X260" s="186"/>
      <c r="Y260" s="183"/>
    </row>
    <row r="261" spans="1:25" ht="26.6" customHeight="1" x14ac:dyDescent="0.3">
      <c r="A261" s="176"/>
      <c r="B261" s="226"/>
      <c r="C261" s="71" t="s">
        <v>123</v>
      </c>
      <c r="D261" s="71">
        <f t="shared" ref="D261:L261" si="83">IF(((D259="")*AND(D260="")),"",(D259-D260)*3)</f>
        <v>35647.920000000013</v>
      </c>
      <c r="E261" s="71">
        <f t="shared" si="83"/>
        <v>39594.329999999994</v>
      </c>
      <c r="F261" s="71">
        <f t="shared" si="83"/>
        <v>40339.14</v>
      </c>
      <c r="G261" s="71">
        <f t="shared" si="83"/>
        <v>41076.78</v>
      </c>
      <c r="H261" s="71">
        <f t="shared" si="83"/>
        <v>38041.71</v>
      </c>
      <c r="I261" s="71">
        <f t="shared" si="83"/>
        <v>39737.129999999997</v>
      </c>
      <c r="J261" s="71">
        <f t="shared" si="83"/>
        <v>40267.680000000008</v>
      </c>
      <c r="K261" s="71">
        <f t="shared" si="83"/>
        <v>41313.42</v>
      </c>
      <c r="L261" s="71">
        <f t="shared" si="83"/>
        <v>40541.820000000007</v>
      </c>
      <c r="M261" s="226"/>
      <c r="N261" s="226"/>
      <c r="O261" s="226"/>
      <c r="P261" s="226"/>
      <c r="Q261" s="229"/>
      <c r="R261" s="226"/>
      <c r="S261" s="226"/>
      <c r="T261" s="181"/>
      <c r="U261" s="181"/>
      <c r="V261" s="181"/>
      <c r="W261" s="181"/>
      <c r="X261" s="187"/>
      <c r="Y261" s="184"/>
    </row>
    <row r="262" spans="1:25" x14ac:dyDescent="0.3">
      <c r="A262" s="174">
        <v>43311</v>
      </c>
      <c r="B262" s="224" t="s">
        <v>124</v>
      </c>
      <c r="C262" s="71" t="s">
        <v>88</v>
      </c>
      <c r="D262" s="56">
        <v>29644</v>
      </c>
      <c r="E262" s="56">
        <v>29384</v>
      </c>
      <c r="F262" s="56">
        <v>29414</v>
      </c>
      <c r="G262" s="56">
        <v>29378</v>
      </c>
      <c r="H262" s="56">
        <v>29686</v>
      </c>
      <c r="I262" s="56">
        <v>29633</v>
      </c>
      <c r="J262" s="56">
        <v>29369</v>
      </c>
      <c r="K262" s="56">
        <v>29394</v>
      </c>
      <c r="L262" s="56">
        <v>29731</v>
      </c>
      <c r="M262" s="224">
        <f>IF((L263=""),"",MAX(D264:L264))</f>
        <v>41523</v>
      </c>
      <c r="N262" s="224">
        <f>IF(L263="","",MIN(D264:L264))</f>
        <v>32430</v>
      </c>
      <c r="O262" s="224">
        <f>IF((L264=""),"",AVERAGE(D264:L264))</f>
        <v>38945</v>
      </c>
      <c r="P262" s="224">
        <f>IF((L263=""),"",((M262-N262)/(M262+N262))*100)</f>
        <v>12.295647235406273</v>
      </c>
      <c r="Q262" s="227" t="str">
        <f>IF(L263="","",IF(P264&lt;20,(IF(O262&gt;19000,IF(O262&lt;49000,"Pass","Fail"),"Fail"))))</f>
        <v>Pass</v>
      </c>
      <c r="R262" s="224">
        <v>121</v>
      </c>
      <c r="S262" s="224" t="s">
        <v>196</v>
      </c>
      <c r="T262" s="179"/>
      <c r="U262" s="179">
        <v>19000</v>
      </c>
      <c r="V262" s="179">
        <v>49000</v>
      </c>
      <c r="W262" s="179">
        <v>33000</v>
      </c>
      <c r="X262" s="185">
        <v>44000</v>
      </c>
      <c r="Y262" s="182">
        <v>20</v>
      </c>
    </row>
    <row r="263" spans="1:25" x14ac:dyDescent="0.3">
      <c r="A263" s="175"/>
      <c r="B263" s="225"/>
      <c r="C263" s="71" t="s">
        <v>89</v>
      </c>
      <c r="D263" s="56">
        <v>18834</v>
      </c>
      <c r="E263" s="56">
        <v>16285</v>
      </c>
      <c r="F263" s="56">
        <v>15838</v>
      </c>
      <c r="G263" s="56">
        <v>15795</v>
      </c>
      <c r="H263" s="56">
        <v>17894</v>
      </c>
      <c r="I263" s="56">
        <v>16678</v>
      </c>
      <c r="J263" s="56">
        <v>15894</v>
      </c>
      <c r="K263" s="56">
        <v>15553</v>
      </c>
      <c r="L263" s="56">
        <v>16027</v>
      </c>
      <c r="M263" s="225"/>
      <c r="N263" s="225"/>
      <c r="O263" s="225"/>
      <c r="P263" s="225"/>
      <c r="Q263" s="228"/>
      <c r="R263" s="225"/>
      <c r="S263" s="225"/>
      <c r="T263" s="180"/>
      <c r="U263" s="180"/>
      <c r="V263" s="180"/>
      <c r="W263" s="180"/>
      <c r="X263" s="186"/>
      <c r="Y263" s="183"/>
    </row>
    <row r="264" spans="1:25" ht="26.6" customHeight="1" x14ac:dyDescent="0.3">
      <c r="A264" s="176"/>
      <c r="B264" s="226"/>
      <c r="C264" s="71" t="s">
        <v>123</v>
      </c>
      <c r="D264" s="71">
        <f t="shared" ref="D264:L264" si="84">IF(((D262="")*AND(D263="")),"",(D262-D263)*3)</f>
        <v>32430</v>
      </c>
      <c r="E264" s="71">
        <f t="shared" si="84"/>
        <v>39297</v>
      </c>
      <c r="F264" s="71">
        <f t="shared" si="84"/>
        <v>40728</v>
      </c>
      <c r="G264" s="71">
        <f t="shared" si="84"/>
        <v>40749</v>
      </c>
      <c r="H264" s="71">
        <f t="shared" si="84"/>
        <v>35376</v>
      </c>
      <c r="I264" s="71">
        <f t="shared" si="84"/>
        <v>38865</v>
      </c>
      <c r="J264" s="71">
        <f t="shared" si="84"/>
        <v>40425</v>
      </c>
      <c r="K264" s="71">
        <f t="shared" si="84"/>
        <v>41523</v>
      </c>
      <c r="L264" s="71">
        <f t="shared" si="84"/>
        <v>41112</v>
      </c>
      <c r="M264" s="226"/>
      <c r="N264" s="226"/>
      <c r="O264" s="226"/>
      <c r="P264" s="226"/>
      <c r="Q264" s="229"/>
      <c r="R264" s="226"/>
      <c r="S264" s="226"/>
      <c r="T264" s="181"/>
      <c r="U264" s="181"/>
      <c r="V264" s="181"/>
      <c r="W264" s="181"/>
      <c r="X264" s="187"/>
      <c r="Y264" s="184"/>
    </row>
    <row r="265" spans="1:25" x14ac:dyDescent="0.3">
      <c r="A265" s="174">
        <v>43314</v>
      </c>
      <c r="B265" s="224" t="s">
        <v>124</v>
      </c>
      <c r="C265" s="71" t="s">
        <v>88</v>
      </c>
      <c r="D265" s="56">
        <v>29144.560000000001</v>
      </c>
      <c r="E265" s="56">
        <v>29070.22</v>
      </c>
      <c r="F265" s="56">
        <v>29055.23</v>
      </c>
      <c r="G265" s="56">
        <v>29062.44</v>
      </c>
      <c r="H265" s="56">
        <v>29173.74</v>
      </c>
      <c r="I265" s="56">
        <v>29106.63</v>
      </c>
      <c r="J265" s="56">
        <v>29082.85</v>
      </c>
      <c r="K265" s="56">
        <v>29087.360000000001</v>
      </c>
      <c r="L265" s="56">
        <v>29151.43</v>
      </c>
      <c r="M265" s="224">
        <f>IF((L266=""),"",MAX(D267:L267))</f>
        <v>42741.72</v>
      </c>
      <c r="N265" s="224">
        <f>IF(L266="","",MIN(D267:L267))</f>
        <v>37336.740000000005</v>
      </c>
      <c r="O265" s="224">
        <f>IF((L267=""),"",AVERAGE(D267:L267))</f>
        <v>41038.950000000004</v>
      </c>
      <c r="P265" s="224">
        <f>IF((L266=""),"",((M265-N265)/(M265+N265))*100)</f>
        <v>6.7496053245779146</v>
      </c>
      <c r="Q265" s="227" t="str">
        <f>IF(L266="","",IF(P267&lt;20,(IF(O265&gt;19000,IF(O265&lt;49000,"Pass","Fail"),"Fail"))))</f>
        <v>Pass</v>
      </c>
      <c r="R265" s="224">
        <v>121</v>
      </c>
      <c r="S265" s="224" t="s">
        <v>196</v>
      </c>
      <c r="T265" s="179"/>
      <c r="U265" s="179">
        <v>19000</v>
      </c>
      <c r="V265" s="179">
        <v>49000</v>
      </c>
      <c r="W265" s="179">
        <v>33000</v>
      </c>
      <c r="X265" s="185">
        <v>44000</v>
      </c>
      <c r="Y265" s="182">
        <v>20</v>
      </c>
    </row>
    <row r="266" spans="1:25" x14ac:dyDescent="0.3">
      <c r="A266" s="175"/>
      <c r="B266" s="225"/>
      <c r="C266" s="71" t="s">
        <v>89</v>
      </c>
      <c r="D266" s="56">
        <v>16698.98</v>
      </c>
      <c r="E266" s="56">
        <v>15531.02</v>
      </c>
      <c r="F266" s="56">
        <v>15425.99</v>
      </c>
      <c r="G266" s="56">
        <v>15088.43</v>
      </c>
      <c r="H266" s="56">
        <v>15885.28</v>
      </c>
      <c r="I266" s="56">
        <v>15130.6</v>
      </c>
      <c r="J266" s="56">
        <v>15140.08</v>
      </c>
      <c r="K266" s="56">
        <v>15013.04</v>
      </c>
      <c r="L266" s="56">
        <v>14904.19</v>
      </c>
      <c r="M266" s="225"/>
      <c r="N266" s="225"/>
      <c r="O266" s="225"/>
      <c r="P266" s="225"/>
      <c r="Q266" s="228"/>
      <c r="R266" s="225"/>
      <c r="S266" s="225"/>
      <c r="T266" s="180"/>
      <c r="U266" s="180"/>
      <c r="V266" s="180"/>
      <c r="W266" s="180"/>
      <c r="X266" s="186"/>
      <c r="Y266" s="183"/>
    </row>
    <row r="267" spans="1:25" ht="26.6" customHeight="1" x14ac:dyDescent="0.3">
      <c r="A267" s="176"/>
      <c r="B267" s="226"/>
      <c r="C267" s="71" t="s">
        <v>123</v>
      </c>
      <c r="D267" s="71">
        <f t="shared" ref="D267:L267" si="85">IF(((D265="")*AND(D266="")),"",(D265-D266)*3)</f>
        <v>37336.740000000005</v>
      </c>
      <c r="E267" s="71">
        <f t="shared" si="85"/>
        <v>40617.600000000006</v>
      </c>
      <c r="F267" s="71">
        <f t="shared" si="85"/>
        <v>40887.72</v>
      </c>
      <c r="G267" s="71">
        <f t="shared" si="85"/>
        <v>41922.03</v>
      </c>
      <c r="H267" s="71">
        <f t="shared" si="85"/>
        <v>39865.380000000005</v>
      </c>
      <c r="I267" s="71">
        <f t="shared" si="85"/>
        <v>41928.090000000004</v>
      </c>
      <c r="J267" s="71">
        <f t="shared" si="85"/>
        <v>41828.31</v>
      </c>
      <c r="K267" s="71">
        <f t="shared" si="85"/>
        <v>42222.96</v>
      </c>
      <c r="L267" s="71">
        <f t="shared" si="85"/>
        <v>42741.72</v>
      </c>
      <c r="M267" s="226"/>
      <c r="N267" s="226"/>
      <c r="O267" s="226"/>
      <c r="P267" s="226"/>
      <c r="Q267" s="229"/>
      <c r="R267" s="226"/>
      <c r="S267" s="226"/>
      <c r="T267" s="181"/>
      <c r="U267" s="181"/>
      <c r="V267" s="181"/>
      <c r="W267" s="181"/>
      <c r="X267" s="187"/>
      <c r="Y267" s="184"/>
    </row>
    <row r="268" spans="1:25" x14ac:dyDescent="0.3">
      <c r="A268" s="174">
        <v>43317</v>
      </c>
      <c r="B268" s="224" t="s">
        <v>124</v>
      </c>
      <c r="C268" s="71" t="s">
        <v>88</v>
      </c>
      <c r="D268" s="56">
        <v>29314.92</v>
      </c>
      <c r="E268" s="56">
        <v>29216.06</v>
      </c>
      <c r="F268" s="56">
        <v>29209.45</v>
      </c>
      <c r="G268" s="56">
        <v>29206.79</v>
      </c>
      <c r="H268" s="56">
        <v>29289.53</v>
      </c>
      <c r="I268" s="56">
        <v>29271.24</v>
      </c>
      <c r="J268" s="56">
        <v>29197.65</v>
      </c>
      <c r="K268" s="56">
        <v>29201.94</v>
      </c>
      <c r="L268" s="56">
        <v>29300.02</v>
      </c>
      <c r="M268" s="224">
        <f>IF((L269=""),"",MAX(D270:L270))</f>
        <v>41215.649999999994</v>
      </c>
      <c r="N268" s="224">
        <f>IF(L269="","",MIN(D270:L270))</f>
        <v>36298.5</v>
      </c>
      <c r="O268" s="224">
        <f>IF((L270=""),"",AVERAGE(D270:L270))</f>
        <v>39770.046666666662</v>
      </c>
      <c r="P268" s="224">
        <f>IF((L269=""),"",((M268-N268)/(M268+N268))*100)</f>
        <v>6.3435514676997613</v>
      </c>
      <c r="Q268" s="227" t="str">
        <f>IF(L269="","",IF(P270&lt;20,(IF(O268&gt;19000,IF(O268&lt;49000,"Pass","Fail"),"Fail"))))</f>
        <v>Pass</v>
      </c>
      <c r="R268" s="224">
        <v>121</v>
      </c>
      <c r="S268" s="224" t="s">
        <v>196</v>
      </c>
      <c r="T268" s="179"/>
      <c r="U268" s="179">
        <v>19000</v>
      </c>
      <c r="V268" s="179">
        <v>49000</v>
      </c>
      <c r="W268" s="179">
        <v>33000</v>
      </c>
      <c r="X268" s="185">
        <v>44000</v>
      </c>
      <c r="Y268" s="182">
        <v>20</v>
      </c>
    </row>
    <row r="269" spans="1:25" x14ac:dyDescent="0.3">
      <c r="A269" s="175"/>
      <c r="B269" s="225"/>
      <c r="C269" s="71" t="s">
        <v>89</v>
      </c>
      <c r="D269" s="56">
        <v>17215.419999999998</v>
      </c>
      <c r="E269" s="56">
        <v>15935.77</v>
      </c>
      <c r="F269" s="56">
        <v>15773.1</v>
      </c>
      <c r="G269" s="56">
        <v>15590.72</v>
      </c>
      <c r="H269" s="56">
        <v>16607.71</v>
      </c>
      <c r="I269" s="56">
        <v>15989.15</v>
      </c>
      <c r="J269" s="56">
        <v>15642.7</v>
      </c>
      <c r="K269" s="56">
        <v>15463.39</v>
      </c>
      <c r="L269" s="56">
        <v>15679.5</v>
      </c>
      <c r="M269" s="225"/>
      <c r="N269" s="225"/>
      <c r="O269" s="225"/>
      <c r="P269" s="225"/>
      <c r="Q269" s="228"/>
      <c r="R269" s="225"/>
      <c r="S269" s="225"/>
      <c r="T269" s="180"/>
      <c r="U269" s="180"/>
      <c r="V269" s="180"/>
      <c r="W269" s="180"/>
      <c r="X269" s="186"/>
      <c r="Y269" s="183"/>
    </row>
    <row r="270" spans="1:25" ht="26.6" customHeight="1" x14ac:dyDescent="0.3">
      <c r="A270" s="176"/>
      <c r="B270" s="226"/>
      <c r="C270" s="71" t="s">
        <v>123</v>
      </c>
      <c r="D270" s="71">
        <f t="shared" ref="D270:L270" si="86">IF(((D268="")*AND(D269="")),"",(D268-D269)*3)</f>
        <v>36298.5</v>
      </c>
      <c r="E270" s="71">
        <f t="shared" si="86"/>
        <v>39840.870000000003</v>
      </c>
      <c r="F270" s="71">
        <f t="shared" si="86"/>
        <v>40309.050000000003</v>
      </c>
      <c r="G270" s="71">
        <f t="shared" si="86"/>
        <v>40848.210000000006</v>
      </c>
      <c r="H270" s="71">
        <f t="shared" si="86"/>
        <v>38045.46</v>
      </c>
      <c r="I270" s="71">
        <f t="shared" si="86"/>
        <v>39846.270000000004</v>
      </c>
      <c r="J270" s="71">
        <f t="shared" si="86"/>
        <v>40664.850000000006</v>
      </c>
      <c r="K270" s="71">
        <f t="shared" si="86"/>
        <v>41215.649999999994</v>
      </c>
      <c r="L270" s="71">
        <f t="shared" si="86"/>
        <v>40861.56</v>
      </c>
      <c r="M270" s="226"/>
      <c r="N270" s="226"/>
      <c r="O270" s="226"/>
      <c r="P270" s="226"/>
      <c r="Q270" s="229"/>
      <c r="R270" s="226"/>
      <c r="S270" s="226"/>
      <c r="T270" s="181"/>
      <c r="U270" s="181"/>
      <c r="V270" s="181"/>
      <c r="W270" s="181"/>
      <c r="X270" s="187"/>
      <c r="Y270" s="184"/>
    </row>
    <row r="271" spans="1:25" x14ac:dyDescent="0.3">
      <c r="A271" s="174">
        <v>43320</v>
      </c>
      <c r="B271" s="224" t="s">
        <v>124</v>
      </c>
      <c r="C271" s="71" t="s">
        <v>88</v>
      </c>
      <c r="D271" s="56">
        <v>29318.68</v>
      </c>
      <c r="E271" s="56">
        <v>29248.69</v>
      </c>
      <c r="F271" s="56">
        <v>29253.81</v>
      </c>
      <c r="G271" s="56">
        <v>29238.21</v>
      </c>
      <c r="H271" s="56">
        <v>29326.36</v>
      </c>
      <c r="I271" s="56">
        <v>29337.599999999999</v>
      </c>
      <c r="J271" s="56">
        <v>29259.23</v>
      </c>
      <c r="K271" s="56">
        <v>29219.63</v>
      </c>
      <c r="L271" s="56">
        <v>29291.13</v>
      </c>
      <c r="M271" s="224">
        <f>IF((L272=""),"",MAX(D273:L273))</f>
        <v>41021.340000000004</v>
      </c>
      <c r="N271" s="224">
        <f>IF(L272="","",MIN(D273:L273))</f>
        <v>36050.25</v>
      </c>
      <c r="O271" s="224">
        <f>IF((L273=""),"",AVERAGE(D273:L273))</f>
        <v>39571.636666666665</v>
      </c>
      <c r="P271" s="224">
        <f>IF((L272=""),"",((M271-N271)/(M271+N271))*100)</f>
        <v>6.4499642475262338</v>
      </c>
      <c r="Q271" s="227" t="str">
        <f>IF(L272="","",IF(P273&lt;20,(IF(O271&gt;19000,IF(O271&lt;49000,"Pass","Fail"),"Fail"))))</f>
        <v>Pass</v>
      </c>
      <c r="R271" s="224">
        <v>1428</v>
      </c>
      <c r="S271" s="224" t="s">
        <v>197</v>
      </c>
      <c r="T271" s="179"/>
      <c r="U271" s="179">
        <v>19000</v>
      </c>
      <c r="V271" s="179">
        <v>49000</v>
      </c>
      <c r="W271" s="179">
        <v>33000</v>
      </c>
      <c r="X271" s="185">
        <v>44000</v>
      </c>
      <c r="Y271" s="182">
        <v>20</v>
      </c>
    </row>
    <row r="272" spans="1:25" x14ac:dyDescent="0.3">
      <c r="A272" s="175"/>
      <c r="B272" s="225"/>
      <c r="C272" s="71" t="s">
        <v>89</v>
      </c>
      <c r="D272" s="56">
        <v>17301.93</v>
      </c>
      <c r="E272" s="56">
        <v>16035.52</v>
      </c>
      <c r="F272" s="56">
        <v>15912.94</v>
      </c>
      <c r="G272" s="56">
        <v>15683.61</v>
      </c>
      <c r="H272" s="56">
        <v>16663.29</v>
      </c>
      <c r="I272" s="56">
        <v>16093.63</v>
      </c>
      <c r="J272" s="56">
        <v>15785.79</v>
      </c>
      <c r="K272" s="56">
        <v>15545.85</v>
      </c>
      <c r="L272" s="56">
        <v>15755.87</v>
      </c>
      <c r="M272" s="225"/>
      <c r="N272" s="225"/>
      <c r="O272" s="225"/>
      <c r="P272" s="225"/>
      <c r="Q272" s="228"/>
      <c r="R272" s="225"/>
      <c r="S272" s="225"/>
      <c r="T272" s="180"/>
      <c r="U272" s="180"/>
      <c r="V272" s="180"/>
      <c r="W272" s="180"/>
      <c r="X272" s="186"/>
      <c r="Y272" s="183"/>
    </row>
    <row r="273" spans="1:25" ht="26.6" customHeight="1" x14ac:dyDescent="0.3">
      <c r="A273" s="176"/>
      <c r="B273" s="226"/>
      <c r="C273" s="71" t="s">
        <v>123</v>
      </c>
      <c r="D273" s="71">
        <f t="shared" ref="D273:L273" si="87">IF(((D271="")*AND(D272="")),"",(D271-D272)*3)</f>
        <v>36050.25</v>
      </c>
      <c r="E273" s="71">
        <f t="shared" si="87"/>
        <v>39639.509999999995</v>
      </c>
      <c r="F273" s="71">
        <f t="shared" si="87"/>
        <v>40022.61</v>
      </c>
      <c r="G273" s="71">
        <f t="shared" si="87"/>
        <v>40663.799999999996</v>
      </c>
      <c r="H273" s="71">
        <f t="shared" si="87"/>
        <v>37989.21</v>
      </c>
      <c r="I273" s="71">
        <f t="shared" si="87"/>
        <v>39731.909999999996</v>
      </c>
      <c r="J273" s="71">
        <f t="shared" si="87"/>
        <v>40420.319999999992</v>
      </c>
      <c r="K273" s="71">
        <f t="shared" si="87"/>
        <v>41021.340000000004</v>
      </c>
      <c r="L273" s="71">
        <f t="shared" si="87"/>
        <v>40605.78</v>
      </c>
      <c r="M273" s="226"/>
      <c r="N273" s="226"/>
      <c r="O273" s="226"/>
      <c r="P273" s="226"/>
      <c r="Q273" s="229"/>
      <c r="R273" s="226"/>
      <c r="S273" s="226"/>
      <c r="T273" s="181"/>
      <c r="U273" s="181"/>
      <c r="V273" s="181"/>
      <c r="W273" s="181"/>
      <c r="X273" s="187"/>
      <c r="Y273" s="184"/>
    </row>
    <row r="274" spans="1:25" x14ac:dyDescent="0.3">
      <c r="A274" s="174">
        <v>43324</v>
      </c>
      <c r="B274" s="224" t="s">
        <v>124</v>
      </c>
      <c r="C274" s="71" t="s">
        <v>88</v>
      </c>
      <c r="D274" s="56">
        <v>29271.56</v>
      </c>
      <c r="E274" s="56">
        <v>29184.46</v>
      </c>
      <c r="F274" s="56">
        <v>29190.91</v>
      </c>
      <c r="G274" s="56">
        <v>29177.89</v>
      </c>
      <c r="H274" s="56">
        <v>29270.080000000002</v>
      </c>
      <c r="I274" s="56">
        <v>29262.34</v>
      </c>
      <c r="J274" s="56">
        <v>29168.37</v>
      </c>
      <c r="K274" s="56">
        <v>29176.35</v>
      </c>
      <c r="L274" s="56">
        <v>29258.06</v>
      </c>
      <c r="M274" s="224">
        <f>IF((L275=""),"",MAX(D276:L276))</f>
        <v>41237.999999999993</v>
      </c>
      <c r="N274" s="224">
        <f>IF(L275="","",MIN(D276:L276))</f>
        <v>35657.58</v>
      </c>
      <c r="O274" s="224">
        <f>IF((L276=""),"",AVERAGE(D276:L276))</f>
        <v>39448.23333333333</v>
      </c>
      <c r="P274" s="224">
        <f>IF((L275=""),"",((M274-N274)/(M274+N274))*100)</f>
        <v>7.2571401373134741</v>
      </c>
      <c r="Q274" s="227" t="str">
        <f>IF(L275="","",IF(P276&lt;20,(IF(O274&gt;19000,IF(O274&lt;49000,"Pass","Fail"),"Fail"))))</f>
        <v>Pass</v>
      </c>
      <c r="R274" s="224">
        <v>74</v>
      </c>
      <c r="S274" s="224"/>
      <c r="T274" s="179"/>
      <c r="U274" s="179">
        <v>19000</v>
      </c>
      <c r="V274" s="179">
        <v>49000</v>
      </c>
      <c r="W274" s="179">
        <v>33000</v>
      </c>
      <c r="X274" s="185">
        <v>44000</v>
      </c>
      <c r="Y274" s="182">
        <v>20</v>
      </c>
    </row>
    <row r="275" spans="1:25" x14ac:dyDescent="0.3">
      <c r="A275" s="175"/>
      <c r="B275" s="225"/>
      <c r="C275" s="71" t="s">
        <v>89</v>
      </c>
      <c r="D275" s="56">
        <v>17385.7</v>
      </c>
      <c r="E275" s="56">
        <v>15974.23</v>
      </c>
      <c r="F275" s="56">
        <v>15796.35</v>
      </c>
      <c r="G275" s="56">
        <v>15565.52</v>
      </c>
      <c r="H275" s="56">
        <v>16630.72</v>
      </c>
      <c r="I275" s="56">
        <v>16276.32</v>
      </c>
      <c r="J275" s="56">
        <v>15781.21</v>
      </c>
      <c r="K275" s="56">
        <v>15430.35</v>
      </c>
      <c r="L275" s="56">
        <v>15774.92</v>
      </c>
      <c r="M275" s="225"/>
      <c r="N275" s="225"/>
      <c r="O275" s="225"/>
      <c r="P275" s="225"/>
      <c r="Q275" s="228"/>
      <c r="R275" s="225"/>
      <c r="S275" s="225"/>
      <c r="T275" s="180"/>
      <c r="U275" s="180"/>
      <c r="V275" s="180"/>
      <c r="W275" s="180"/>
      <c r="X275" s="186"/>
      <c r="Y275" s="183"/>
    </row>
    <row r="276" spans="1:25" ht="26.6" customHeight="1" x14ac:dyDescent="0.3">
      <c r="A276" s="176"/>
      <c r="B276" s="226"/>
      <c r="C276" s="71" t="s">
        <v>123</v>
      </c>
      <c r="D276" s="71">
        <f t="shared" ref="D276:L276" si="88">IF(((D274="")*AND(D275="")),"",(D274-D275)*3)</f>
        <v>35657.58</v>
      </c>
      <c r="E276" s="71">
        <f t="shared" si="88"/>
        <v>39630.69</v>
      </c>
      <c r="F276" s="71">
        <f t="shared" si="88"/>
        <v>40183.68</v>
      </c>
      <c r="G276" s="71">
        <f t="shared" si="88"/>
        <v>40837.11</v>
      </c>
      <c r="H276" s="71">
        <f t="shared" si="88"/>
        <v>37918.080000000002</v>
      </c>
      <c r="I276" s="71">
        <f t="shared" si="88"/>
        <v>38958.06</v>
      </c>
      <c r="J276" s="71">
        <f t="shared" si="88"/>
        <v>40161.479999999996</v>
      </c>
      <c r="K276" s="71">
        <f t="shared" si="88"/>
        <v>41237.999999999993</v>
      </c>
      <c r="L276" s="71">
        <f t="shared" si="88"/>
        <v>40449.420000000006</v>
      </c>
      <c r="M276" s="226"/>
      <c r="N276" s="226"/>
      <c r="O276" s="226"/>
      <c r="P276" s="226"/>
      <c r="Q276" s="229"/>
      <c r="R276" s="226"/>
      <c r="S276" s="226"/>
      <c r="T276" s="181"/>
      <c r="U276" s="181"/>
      <c r="V276" s="181"/>
      <c r="W276" s="181"/>
      <c r="X276" s="187"/>
      <c r="Y276" s="184"/>
    </row>
    <row r="277" spans="1:25" x14ac:dyDescent="0.3">
      <c r="A277" s="174">
        <v>43328</v>
      </c>
      <c r="B277" s="224" t="s">
        <v>124</v>
      </c>
      <c r="C277" s="71" t="s">
        <v>88</v>
      </c>
      <c r="D277" s="56">
        <v>29239.040000000001</v>
      </c>
      <c r="E277" s="56">
        <v>29188.560000000001</v>
      </c>
      <c r="F277" s="56">
        <v>29238.12</v>
      </c>
      <c r="G277" s="56">
        <v>29203.439999999999</v>
      </c>
      <c r="H277" s="56">
        <v>29268.1</v>
      </c>
      <c r="I277" s="56">
        <v>29282.69</v>
      </c>
      <c r="J277" s="56">
        <v>29205.53</v>
      </c>
      <c r="K277" s="56">
        <v>29180.32</v>
      </c>
      <c r="L277" s="56">
        <v>29246.080000000002</v>
      </c>
      <c r="M277" s="224">
        <f>IF((L278=""),"",MAX(D279:L279))</f>
        <v>40242.899999999994</v>
      </c>
      <c r="N277" s="224">
        <f>IF(L278="","",MIN(D279:L279))</f>
        <v>35156.340000000011</v>
      </c>
      <c r="O277" s="224">
        <f>IF((L279=""),"",AVERAGE(D279:L279))</f>
        <v>38770.293333333335</v>
      </c>
      <c r="P277" s="224">
        <f>IF((L278=""),"",((M277-N277)/(M277+N277))*100)</f>
        <v>6.7461687942742961</v>
      </c>
      <c r="Q277" s="227" t="str">
        <f>IF(L278="","",IF(P279&lt;20,(IF(O277&gt;19000,IF(O277&lt;49000,"Pass","Fail"),"Fail"))))</f>
        <v>Pass</v>
      </c>
      <c r="R277" s="224">
        <v>1335</v>
      </c>
      <c r="S277" s="224" t="s">
        <v>198</v>
      </c>
      <c r="T277" s="179"/>
      <c r="U277" s="179">
        <v>19000</v>
      </c>
      <c r="V277" s="179">
        <v>49000</v>
      </c>
      <c r="W277" s="179">
        <v>33000</v>
      </c>
      <c r="X277" s="185">
        <v>44000</v>
      </c>
      <c r="Y277" s="182">
        <v>20</v>
      </c>
    </row>
    <row r="278" spans="1:25" x14ac:dyDescent="0.3">
      <c r="A278" s="175"/>
      <c r="B278" s="225"/>
      <c r="C278" s="71" t="s">
        <v>89</v>
      </c>
      <c r="D278" s="56">
        <v>17520.259999999998</v>
      </c>
      <c r="E278" s="56">
        <v>16249.46</v>
      </c>
      <c r="F278" s="56">
        <v>16074.14</v>
      </c>
      <c r="G278" s="56">
        <v>15909.02</v>
      </c>
      <c r="H278" s="56">
        <v>16905.18</v>
      </c>
      <c r="I278" s="56">
        <v>16299.88</v>
      </c>
      <c r="J278" s="56">
        <v>16024.37</v>
      </c>
      <c r="K278" s="56">
        <v>15766.02</v>
      </c>
      <c r="L278" s="56">
        <v>15992.67</v>
      </c>
      <c r="M278" s="225"/>
      <c r="N278" s="225"/>
      <c r="O278" s="225"/>
      <c r="P278" s="225"/>
      <c r="Q278" s="228"/>
      <c r="R278" s="225"/>
      <c r="S278" s="225"/>
      <c r="T278" s="180"/>
      <c r="U278" s="180"/>
      <c r="V278" s="180"/>
      <c r="W278" s="180"/>
      <c r="X278" s="186"/>
      <c r="Y278" s="183"/>
    </row>
    <row r="279" spans="1:25" ht="26.6" customHeight="1" x14ac:dyDescent="0.3">
      <c r="A279" s="176"/>
      <c r="B279" s="226"/>
      <c r="C279" s="71" t="s">
        <v>123</v>
      </c>
      <c r="D279" s="71">
        <f t="shared" ref="D279:L279" si="89">IF(((D277="")*AND(D278="")),"",(D277-D278)*3)</f>
        <v>35156.340000000011</v>
      </c>
      <c r="E279" s="71">
        <f t="shared" si="89"/>
        <v>38817.300000000003</v>
      </c>
      <c r="F279" s="71">
        <f t="shared" si="89"/>
        <v>39491.94</v>
      </c>
      <c r="G279" s="71">
        <f t="shared" si="89"/>
        <v>39883.259999999995</v>
      </c>
      <c r="H279" s="71">
        <f t="shared" si="89"/>
        <v>37088.759999999995</v>
      </c>
      <c r="I279" s="71">
        <f t="shared" si="89"/>
        <v>38948.43</v>
      </c>
      <c r="J279" s="71">
        <f t="shared" si="89"/>
        <v>39543.479999999996</v>
      </c>
      <c r="K279" s="71">
        <f t="shared" si="89"/>
        <v>40242.899999999994</v>
      </c>
      <c r="L279" s="71">
        <f t="shared" si="89"/>
        <v>39760.230000000003</v>
      </c>
      <c r="M279" s="226"/>
      <c r="N279" s="226"/>
      <c r="O279" s="226"/>
      <c r="P279" s="226"/>
      <c r="Q279" s="229"/>
      <c r="R279" s="226"/>
      <c r="S279" s="226"/>
      <c r="T279" s="181"/>
      <c r="U279" s="181"/>
      <c r="V279" s="181"/>
      <c r="W279" s="181"/>
      <c r="X279" s="187"/>
      <c r="Y279" s="184"/>
    </row>
    <row r="280" spans="1:25" x14ac:dyDescent="0.3">
      <c r="A280" s="174">
        <v>43332</v>
      </c>
      <c r="B280" s="224" t="s">
        <v>124</v>
      </c>
      <c r="C280" s="71" t="s">
        <v>88</v>
      </c>
      <c r="D280" s="56">
        <v>29072.21</v>
      </c>
      <c r="E280" s="56">
        <v>28973.15</v>
      </c>
      <c r="F280" s="56">
        <v>29004.48</v>
      </c>
      <c r="G280" s="56">
        <v>29033.81</v>
      </c>
      <c r="H280" s="56">
        <v>29116.73</v>
      </c>
      <c r="I280" s="56">
        <v>29019.93</v>
      </c>
      <c r="J280" s="56">
        <v>29022.79</v>
      </c>
      <c r="K280" s="56">
        <v>29037.53</v>
      </c>
      <c r="L280" s="56">
        <v>29022.6</v>
      </c>
      <c r="M280" s="224">
        <f>IF((L281=""),"",MAX(D282:L282))</f>
        <v>41362.229999999996</v>
      </c>
      <c r="N280" s="224">
        <f>IF(L281="","",MIN(D282:L282))</f>
        <v>35241.719999999994</v>
      </c>
      <c r="O280" s="224">
        <f>IF((L282=""),"",AVERAGE(D282:L282))</f>
        <v>39365.729999999996</v>
      </c>
      <c r="P280" s="224">
        <f>IF((L281=""),"",((M280-N280)/(M280+N280))*100)</f>
        <v>7.9898099249451278</v>
      </c>
      <c r="Q280" s="227" t="str">
        <f>IF(L281="","",IF(P282&lt;20,(IF(O280&gt;19000,IF(O280&lt;49000,"Pass","Fail"),"Fail"))))</f>
        <v>Pass</v>
      </c>
      <c r="R280" s="224">
        <v>1340</v>
      </c>
      <c r="S280" s="224" t="s">
        <v>198</v>
      </c>
      <c r="T280" s="179"/>
      <c r="U280" s="179">
        <v>19000</v>
      </c>
      <c r="V280" s="179">
        <v>49000</v>
      </c>
      <c r="W280" s="179">
        <v>33000</v>
      </c>
      <c r="X280" s="185">
        <v>44000</v>
      </c>
      <c r="Y280" s="182">
        <v>20</v>
      </c>
    </row>
    <row r="281" spans="1:25" x14ac:dyDescent="0.3">
      <c r="A281" s="175"/>
      <c r="B281" s="225"/>
      <c r="C281" s="71" t="s">
        <v>89</v>
      </c>
      <c r="D281" s="56">
        <v>17324.97</v>
      </c>
      <c r="E281" s="56">
        <v>15775.41</v>
      </c>
      <c r="F281" s="56">
        <v>15647.25</v>
      </c>
      <c r="G281" s="56">
        <v>15455.89</v>
      </c>
      <c r="H281" s="56">
        <v>16659.189999999999</v>
      </c>
      <c r="I281" s="56">
        <v>16057.31</v>
      </c>
      <c r="J281" s="56">
        <v>15576.67</v>
      </c>
      <c r="K281" s="56">
        <v>15250.12</v>
      </c>
      <c r="L281" s="56">
        <v>15459.23</v>
      </c>
      <c r="M281" s="225"/>
      <c r="N281" s="225"/>
      <c r="O281" s="225"/>
      <c r="P281" s="225"/>
      <c r="Q281" s="228"/>
      <c r="R281" s="225"/>
      <c r="S281" s="225"/>
      <c r="T281" s="180"/>
      <c r="U281" s="180"/>
      <c r="V281" s="180"/>
      <c r="W281" s="180"/>
      <c r="X281" s="186"/>
      <c r="Y281" s="183"/>
    </row>
    <row r="282" spans="1:25" ht="26.6" customHeight="1" x14ac:dyDescent="0.3">
      <c r="A282" s="176"/>
      <c r="B282" s="226"/>
      <c r="C282" s="71" t="s">
        <v>123</v>
      </c>
      <c r="D282" s="71">
        <f t="shared" ref="D282:L282" si="90">IF(((D280="")*AND(D281="")),"",(D280-D281)*3)</f>
        <v>35241.719999999994</v>
      </c>
      <c r="E282" s="71">
        <f t="shared" si="90"/>
        <v>39593.22</v>
      </c>
      <c r="F282" s="71">
        <f t="shared" si="90"/>
        <v>40071.69</v>
      </c>
      <c r="G282" s="71">
        <f t="shared" si="90"/>
        <v>40733.760000000009</v>
      </c>
      <c r="H282" s="71">
        <f t="shared" si="90"/>
        <v>37372.620000000003</v>
      </c>
      <c r="I282" s="71">
        <f t="shared" si="90"/>
        <v>38887.86</v>
      </c>
      <c r="J282" s="71">
        <f t="shared" si="90"/>
        <v>40338.36</v>
      </c>
      <c r="K282" s="71">
        <f t="shared" si="90"/>
        <v>41362.229999999996</v>
      </c>
      <c r="L282" s="71">
        <f t="shared" si="90"/>
        <v>40690.11</v>
      </c>
      <c r="M282" s="226"/>
      <c r="N282" s="226"/>
      <c r="O282" s="226"/>
      <c r="P282" s="226"/>
      <c r="Q282" s="229"/>
      <c r="R282" s="226"/>
      <c r="S282" s="226"/>
      <c r="T282" s="181"/>
      <c r="U282" s="181"/>
      <c r="V282" s="181"/>
      <c r="W282" s="181"/>
      <c r="X282" s="187"/>
      <c r="Y282" s="184"/>
    </row>
    <row r="283" spans="1:25" x14ac:dyDescent="0.3">
      <c r="A283" s="174">
        <v>43335</v>
      </c>
      <c r="B283" s="224" t="s">
        <v>124</v>
      </c>
      <c r="C283" s="71" t="s">
        <v>88</v>
      </c>
      <c r="D283" s="56">
        <v>29282</v>
      </c>
      <c r="E283" s="56">
        <v>29204</v>
      </c>
      <c r="F283" s="56">
        <v>29210</v>
      </c>
      <c r="G283" s="56">
        <v>29160</v>
      </c>
      <c r="H283" s="56">
        <v>29278</v>
      </c>
      <c r="I283" s="56">
        <v>29250</v>
      </c>
      <c r="J283" s="56">
        <v>29141</v>
      </c>
      <c r="K283" s="56">
        <v>29196</v>
      </c>
      <c r="L283" s="56">
        <v>29224</v>
      </c>
      <c r="M283" s="224">
        <f>IF((L284=""),"",MAX(D285:L285))</f>
        <v>41361</v>
      </c>
      <c r="N283" s="224">
        <f>IF(L284="","",MIN(D285:L285))</f>
        <v>36378</v>
      </c>
      <c r="O283" s="224">
        <f>IF((L285=""),"",AVERAGE(D285:L285))</f>
        <v>39809.333333333336</v>
      </c>
      <c r="P283" s="224">
        <f>IF((L284=""),"",((M283-N283)/(M283+N283))*100)</f>
        <v>6.4099100837417513</v>
      </c>
      <c r="Q283" s="227" t="str">
        <f>IF(L284="","",IF(P285&lt;20,(IF(O283&gt;19000,IF(O283&lt;49000,"Pass","Fail"),"Fail"))))</f>
        <v>Pass</v>
      </c>
      <c r="R283" s="224">
        <v>1340</v>
      </c>
      <c r="S283" s="224"/>
      <c r="T283" s="179"/>
      <c r="U283" s="179">
        <v>19000</v>
      </c>
      <c r="V283" s="179">
        <v>49000</v>
      </c>
      <c r="W283" s="179">
        <v>33000</v>
      </c>
      <c r="X283" s="185">
        <v>44000</v>
      </c>
      <c r="Y283" s="182">
        <v>20</v>
      </c>
    </row>
    <row r="284" spans="1:25" x14ac:dyDescent="0.3">
      <c r="A284" s="175"/>
      <c r="B284" s="225"/>
      <c r="C284" s="71" t="s">
        <v>89</v>
      </c>
      <c r="D284" s="56">
        <v>17156</v>
      </c>
      <c r="E284" s="56">
        <v>15987</v>
      </c>
      <c r="F284" s="56">
        <v>15852</v>
      </c>
      <c r="G284" s="56">
        <v>15574</v>
      </c>
      <c r="H284" s="56">
        <v>16424</v>
      </c>
      <c r="I284" s="56">
        <v>15910</v>
      </c>
      <c r="J284" s="56">
        <v>15758</v>
      </c>
      <c r="K284" s="56">
        <v>15409</v>
      </c>
      <c r="L284" s="56">
        <v>15447</v>
      </c>
      <c r="M284" s="225"/>
      <c r="N284" s="225"/>
      <c r="O284" s="225"/>
      <c r="P284" s="225"/>
      <c r="Q284" s="228"/>
      <c r="R284" s="225"/>
      <c r="S284" s="225"/>
      <c r="T284" s="180"/>
      <c r="U284" s="180"/>
      <c r="V284" s="180"/>
      <c r="W284" s="180"/>
      <c r="X284" s="186"/>
      <c r="Y284" s="183"/>
    </row>
    <row r="285" spans="1:25" ht="26.6" customHeight="1" x14ac:dyDescent="0.3">
      <c r="A285" s="176"/>
      <c r="B285" s="226"/>
      <c r="C285" s="71" t="s">
        <v>123</v>
      </c>
      <c r="D285" s="71">
        <f t="shared" ref="D285:L285" si="91">IF(((D283="")*AND(D284="")),"",(D283-D284)*3)</f>
        <v>36378</v>
      </c>
      <c r="E285" s="71">
        <f t="shared" si="91"/>
        <v>39651</v>
      </c>
      <c r="F285" s="71">
        <f t="shared" si="91"/>
        <v>40074</v>
      </c>
      <c r="G285" s="71">
        <f t="shared" si="91"/>
        <v>40758</v>
      </c>
      <c r="H285" s="71">
        <f t="shared" si="91"/>
        <v>38562</v>
      </c>
      <c r="I285" s="71">
        <f t="shared" si="91"/>
        <v>40020</v>
      </c>
      <c r="J285" s="71">
        <f t="shared" si="91"/>
        <v>40149</v>
      </c>
      <c r="K285" s="71">
        <f t="shared" si="91"/>
        <v>41361</v>
      </c>
      <c r="L285" s="71">
        <f t="shared" si="91"/>
        <v>41331</v>
      </c>
      <c r="M285" s="226"/>
      <c r="N285" s="226"/>
      <c r="O285" s="226"/>
      <c r="P285" s="226"/>
      <c r="Q285" s="229"/>
      <c r="R285" s="226"/>
      <c r="S285" s="226"/>
      <c r="T285" s="181"/>
      <c r="U285" s="181"/>
      <c r="V285" s="181"/>
      <c r="W285" s="181"/>
      <c r="X285" s="187"/>
      <c r="Y285" s="184"/>
    </row>
    <row r="286" spans="1:25" x14ac:dyDescent="0.3">
      <c r="A286" s="174">
        <v>43339</v>
      </c>
      <c r="B286" s="224" t="s">
        <v>124</v>
      </c>
      <c r="C286" s="71" t="s">
        <v>88</v>
      </c>
      <c r="D286" s="56">
        <v>29173.56</v>
      </c>
      <c r="E286" s="56">
        <v>29108.639999999999</v>
      </c>
      <c r="F286" s="56">
        <v>29168.85</v>
      </c>
      <c r="G286" s="56">
        <v>29105.32</v>
      </c>
      <c r="H286" s="56">
        <v>29171.18</v>
      </c>
      <c r="I286" s="56">
        <v>29160.59</v>
      </c>
      <c r="J286" s="56">
        <v>29104.31</v>
      </c>
      <c r="K286" s="56">
        <v>29099.02</v>
      </c>
      <c r="L286" s="56">
        <v>29176.92</v>
      </c>
      <c r="M286" s="224">
        <f>IF((L287=""),"",MAX(D288:L288))</f>
        <v>40476.420000000006</v>
      </c>
      <c r="N286" s="224">
        <f>IF(L287="","",MIN(D288:L288))</f>
        <v>35570.760000000009</v>
      </c>
      <c r="O286" s="224">
        <f>IF((L288=""),"",AVERAGE(D288:L288))</f>
        <v>38937.776666666665</v>
      </c>
      <c r="P286" s="224">
        <f>IF((L287=""),"",((M286-N286)/(M286+N286))*100)</f>
        <v>6.4508111937878487</v>
      </c>
      <c r="Q286" s="227" t="str">
        <f>IF(L287="","",IF(P288&lt;20,(IF(O286&gt;19000,IF(O286&lt;49000,"Pass","Fail"),"Fail"))))</f>
        <v>Pass</v>
      </c>
      <c r="R286" s="224">
        <v>1335</v>
      </c>
      <c r="S286" s="224" t="s">
        <v>199</v>
      </c>
      <c r="T286" s="179"/>
      <c r="U286" s="179">
        <v>19000</v>
      </c>
      <c r="V286" s="179">
        <v>49000</v>
      </c>
      <c r="W286" s="179">
        <v>33000</v>
      </c>
      <c r="X286" s="185">
        <v>44000</v>
      </c>
      <c r="Y286" s="182">
        <v>20</v>
      </c>
    </row>
    <row r="287" spans="1:25" x14ac:dyDescent="0.3">
      <c r="A287" s="175"/>
      <c r="B287" s="225"/>
      <c r="C287" s="71" t="s">
        <v>89</v>
      </c>
      <c r="D287" s="56">
        <v>17316.64</v>
      </c>
      <c r="E287" s="56">
        <v>16100.38</v>
      </c>
      <c r="F287" s="56">
        <v>16073.87</v>
      </c>
      <c r="G287" s="56">
        <v>15796.2</v>
      </c>
      <c r="H287" s="56">
        <v>16668.13</v>
      </c>
      <c r="I287" s="56">
        <v>16198.59</v>
      </c>
      <c r="J287" s="56">
        <v>15946.92</v>
      </c>
      <c r="K287" s="56">
        <v>15606.88</v>
      </c>
      <c r="L287" s="56">
        <v>15747.45</v>
      </c>
      <c r="M287" s="225"/>
      <c r="N287" s="225"/>
      <c r="O287" s="225"/>
      <c r="P287" s="225"/>
      <c r="Q287" s="228"/>
      <c r="R287" s="225"/>
      <c r="S287" s="225"/>
      <c r="T287" s="180"/>
      <c r="U287" s="180"/>
      <c r="V287" s="180"/>
      <c r="W287" s="180"/>
      <c r="X287" s="186"/>
      <c r="Y287" s="183"/>
    </row>
    <row r="288" spans="1:25" ht="26.6" customHeight="1" x14ac:dyDescent="0.3">
      <c r="A288" s="176"/>
      <c r="B288" s="226"/>
      <c r="C288" s="71" t="s">
        <v>123</v>
      </c>
      <c r="D288" s="71">
        <f t="shared" ref="D288:L288" si="92">IF(((D286="")*AND(D287="")),"",(D286-D287)*3)</f>
        <v>35570.760000000009</v>
      </c>
      <c r="E288" s="71">
        <f t="shared" si="92"/>
        <v>39024.78</v>
      </c>
      <c r="F288" s="71">
        <f t="shared" si="92"/>
        <v>39284.939999999995</v>
      </c>
      <c r="G288" s="71">
        <f t="shared" si="92"/>
        <v>39927.360000000001</v>
      </c>
      <c r="H288" s="71">
        <f t="shared" si="92"/>
        <v>37509.149999999994</v>
      </c>
      <c r="I288" s="71">
        <f t="shared" si="92"/>
        <v>38886</v>
      </c>
      <c r="J288" s="71">
        <f t="shared" si="92"/>
        <v>39472.170000000006</v>
      </c>
      <c r="K288" s="71">
        <f t="shared" si="92"/>
        <v>40476.420000000006</v>
      </c>
      <c r="L288" s="71">
        <f t="shared" si="92"/>
        <v>40288.409999999989</v>
      </c>
      <c r="M288" s="226"/>
      <c r="N288" s="226"/>
      <c r="O288" s="226"/>
      <c r="P288" s="226"/>
      <c r="Q288" s="229"/>
      <c r="R288" s="226"/>
      <c r="S288" s="226"/>
      <c r="T288" s="181"/>
      <c r="U288" s="181"/>
      <c r="V288" s="181"/>
      <c r="W288" s="181"/>
      <c r="X288" s="187"/>
      <c r="Y288" s="184"/>
    </row>
    <row r="289" spans="1:25" x14ac:dyDescent="0.3">
      <c r="A289" s="174">
        <v>43342</v>
      </c>
      <c r="B289" s="224" t="s">
        <v>124</v>
      </c>
      <c r="C289" s="71" t="s">
        <v>88</v>
      </c>
      <c r="D289" s="56">
        <v>29134.080000000002</v>
      </c>
      <c r="E289" s="56">
        <v>29077.06</v>
      </c>
      <c r="F289" s="56">
        <v>29139.79</v>
      </c>
      <c r="G289" s="56">
        <v>29020.66</v>
      </c>
      <c r="H289" s="56">
        <v>29086.42</v>
      </c>
      <c r="I289" s="56">
        <v>29109.68</v>
      </c>
      <c r="J289" s="56">
        <v>29055.71</v>
      </c>
      <c r="K289" s="56">
        <v>29054.95</v>
      </c>
      <c r="L289" s="56">
        <v>29135.91</v>
      </c>
      <c r="M289" s="224">
        <f>IF((L290=""),"",MAX(D291:L291))</f>
        <v>41899.770000000004</v>
      </c>
      <c r="N289" s="224">
        <f>IF(L290="","",MIN(D291:L291))</f>
        <v>36018.570000000007</v>
      </c>
      <c r="O289" s="224">
        <f>IF((L291=""),"",AVERAGE(D291:L291))</f>
        <v>40059.146666666675</v>
      </c>
      <c r="P289" s="224">
        <f>IF((L290=""),"",((M289-N289)/(M289+N289))*100)</f>
        <v>7.5479020728624304</v>
      </c>
      <c r="Q289" s="227" t="str">
        <f>IF(L290="","",IF(P291&lt;20,(IF(O289&gt;19000,IF(O289&lt;49000,"Pass","Fail"),"Fail"))))</f>
        <v>Pass</v>
      </c>
      <c r="R289" s="224">
        <v>121</v>
      </c>
      <c r="S289" s="224" t="s">
        <v>200</v>
      </c>
      <c r="T289" s="179"/>
      <c r="U289" s="179">
        <v>19000</v>
      </c>
      <c r="V289" s="179">
        <v>49000</v>
      </c>
      <c r="W289" s="179">
        <v>33000</v>
      </c>
      <c r="X289" s="185">
        <v>44000</v>
      </c>
      <c r="Y289" s="182">
        <v>20</v>
      </c>
    </row>
    <row r="290" spans="1:25" x14ac:dyDescent="0.3">
      <c r="A290" s="175"/>
      <c r="B290" s="225"/>
      <c r="C290" s="71" t="s">
        <v>89</v>
      </c>
      <c r="D290" s="56">
        <v>17127.89</v>
      </c>
      <c r="E290" s="56">
        <v>15704.47</v>
      </c>
      <c r="F290" s="56">
        <v>15569.59</v>
      </c>
      <c r="G290" s="56">
        <v>15220.54</v>
      </c>
      <c r="H290" s="56">
        <v>15970.94</v>
      </c>
      <c r="I290" s="56">
        <v>15934.94</v>
      </c>
      <c r="J290" s="56">
        <v>15553.31</v>
      </c>
      <c r="K290" s="56">
        <v>15088.36</v>
      </c>
      <c r="L290" s="56">
        <v>15466.78</v>
      </c>
      <c r="M290" s="225"/>
      <c r="N290" s="225"/>
      <c r="O290" s="225"/>
      <c r="P290" s="225"/>
      <c r="Q290" s="228"/>
      <c r="R290" s="225"/>
      <c r="S290" s="225"/>
      <c r="T290" s="180"/>
      <c r="U290" s="180"/>
      <c r="V290" s="180"/>
      <c r="W290" s="180"/>
      <c r="X290" s="186"/>
      <c r="Y290" s="183"/>
    </row>
    <row r="291" spans="1:25" ht="26.6" customHeight="1" x14ac:dyDescent="0.3">
      <c r="A291" s="176"/>
      <c r="B291" s="226"/>
      <c r="C291" s="71" t="s">
        <v>123</v>
      </c>
      <c r="D291" s="71">
        <f t="shared" ref="D291:L291" si="93">IF(((D289="")*AND(D290="")),"",(D289-D290)*3)</f>
        <v>36018.570000000007</v>
      </c>
      <c r="E291" s="71">
        <f t="shared" si="93"/>
        <v>40117.770000000004</v>
      </c>
      <c r="F291" s="71">
        <f t="shared" si="93"/>
        <v>40710.600000000006</v>
      </c>
      <c r="G291" s="71">
        <f t="shared" si="93"/>
        <v>41400.36</v>
      </c>
      <c r="H291" s="71">
        <f t="shared" si="93"/>
        <v>39346.439999999995</v>
      </c>
      <c r="I291" s="71">
        <f t="shared" si="93"/>
        <v>39524.22</v>
      </c>
      <c r="J291" s="71">
        <f t="shared" si="93"/>
        <v>40507.199999999997</v>
      </c>
      <c r="K291" s="71">
        <f t="shared" si="93"/>
        <v>41899.770000000004</v>
      </c>
      <c r="L291" s="71">
        <f t="shared" si="93"/>
        <v>41007.39</v>
      </c>
      <c r="M291" s="226"/>
      <c r="N291" s="226"/>
      <c r="O291" s="226"/>
      <c r="P291" s="226"/>
      <c r="Q291" s="229"/>
      <c r="R291" s="226"/>
      <c r="S291" s="226"/>
      <c r="T291" s="181"/>
      <c r="U291" s="181"/>
      <c r="V291" s="181"/>
      <c r="W291" s="181"/>
      <c r="X291" s="187"/>
      <c r="Y291" s="184"/>
    </row>
    <row r="292" spans="1:25" x14ac:dyDescent="0.3">
      <c r="A292" s="174">
        <v>43344</v>
      </c>
      <c r="B292" s="224" t="s">
        <v>124</v>
      </c>
      <c r="C292" s="71" t="s">
        <v>88</v>
      </c>
      <c r="D292" s="56">
        <v>29126.42</v>
      </c>
      <c r="E292" s="56">
        <v>29049.41</v>
      </c>
      <c r="F292" s="56">
        <v>29099.88</v>
      </c>
      <c r="G292" s="56">
        <v>29043.1</v>
      </c>
      <c r="H292" s="56">
        <v>29087</v>
      </c>
      <c r="I292" s="56">
        <v>29089.45</v>
      </c>
      <c r="J292" s="56">
        <v>29035.06</v>
      </c>
      <c r="K292" s="56">
        <v>29044.17</v>
      </c>
      <c r="L292" s="56">
        <v>29129.29</v>
      </c>
      <c r="M292" s="224">
        <f>IF((L293=""),"",MAX(D294:L294))</f>
        <v>40655.909999999989</v>
      </c>
      <c r="N292" s="224">
        <f>IF(L293="","",MIN(D294:L294))</f>
        <v>35358.569999999992</v>
      </c>
      <c r="O292" s="224">
        <f>IF((L294=""),"",AVERAGE(D294:L294))</f>
        <v>39028.116666666669</v>
      </c>
      <c r="P292" s="224">
        <f>IF((L293=""),"",((M292-N292)/(M292+N292))*100)</f>
        <v>6.9688564599797278</v>
      </c>
      <c r="Q292" s="227" t="str">
        <f>IF(L293="","",IF(P294&lt;20,(IF(O292&gt;19000,IF(O292&lt;49000,"Pass","Fail"),"Fail"))))</f>
        <v>Pass</v>
      </c>
      <c r="R292" s="224">
        <v>1428</v>
      </c>
      <c r="S292" s="224" t="s">
        <v>201</v>
      </c>
      <c r="T292" s="179"/>
      <c r="U292" s="179">
        <v>19000</v>
      </c>
      <c r="V292" s="179">
        <v>49000</v>
      </c>
      <c r="W292" s="179">
        <v>33000</v>
      </c>
      <c r="X292" s="185">
        <v>44000</v>
      </c>
      <c r="Y292" s="182">
        <v>20</v>
      </c>
    </row>
    <row r="293" spans="1:25" x14ac:dyDescent="0.3">
      <c r="A293" s="175"/>
      <c r="B293" s="225"/>
      <c r="C293" s="71" t="s">
        <v>89</v>
      </c>
      <c r="D293" s="56">
        <v>17340.23</v>
      </c>
      <c r="E293" s="56">
        <v>15985.28</v>
      </c>
      <c r="F293" s="56">
        <v>15841.57</v>
      </c>
      <c r="G293" s="56">
        <v>15598.93</v>
      </c>
      <c r="H293" s="56">
        <v>16629.07</v>
      </c>
      <c r="I293" s="56">
        <v>16134.31</v>
      </c>
      <c r="J293" s="56">
        <v>15772.53</v>
      </c>
      <c r="K293" s="56">
        <v>15492.2</v>
      </c>
      <c r="L293" s="56">
        <v>15825.31</v>
      </c>
      <c r="M293" s="225"/>
      <c r="N293" s="225"/>
      <c r="O293" s="225"/>
      <c r="P293" s="225"/>
      <c r="Q293" s="228"/>
      <c r="R293" s="225"/>
      <c r="S293" s="225"/>
      <c r="T293" s="180"/>
      <c r="U293" s="180"/>
      <c r="V293" s="180"/>
      <c r="W293" s="180"/>
      <c r="X293" s="186"/>
      <c r="Y293" s="183"/>
    </row>
    <row r="294" spans="1:25" ht="26.6" customHeight="1" x14ac:dyDescent="0.3">
      <c r="A294" s="176"/>
      <c r="B294" s="226"/>
      <c r="C294" s="71" t="s">
        <v>123</v>
      </c>
      <c r="D294" s="71">
        <f t="shared" ref="D294:L294" si="94">IF(((D292="")*AND(D293="")),"",(D292-D293)*3)</f>
        <v>35358.569999999992</v>
      </c>
      <c r="E294" s="71">
        <f t="shared" si="94"/>
        <v>39192.39</v>
      </c>
      <c r="F294" s="71">
        <f t="shared" si="94"/>
        <v>39774.930000000008</v>
      </c>
      <c r="G294" s="71">
        <f t="shared" si="94"/>
        <v>40332.509999999995</v>
      </c>
      <c r="H294" s="71">
        <f t="shared" si="94"/>
        <v>37373.79</v>
      </c>
      <c r="I294" s="71">
        <f t="shared" si="94"/>
        <v>38865.420000000006</v>
      </c>
      <c r="J294" s="71">
        <f t="shared" si="94"/>
        <v>39787.590000000004</v>
      </c>
      <c r="K294" s="71">
        <f t="shared" si="94"/>
        <v>40655.909999999989</v>
      </c>
      <c r="L294" s="71">
        <f t="shared" si="94"/>
        <v>39911.94</v>
      </c>
      <c r="M294" s="226"/>
      <c r="N294" s="226"/>
      <c r="O294" s="226"/>
      <c r="P294" s="226"/>
      <c r="Q294" s="229"/>
      <c r="R294" s="226"/>
      <c r="S294" s="226"/>
      <c r="T294" s="181"/>
      <c r="U294" s="181"/>
      <c r="V294" s="181"/>
      <c r="W294" s="181"/>
      <c r="X294" s="187"/>
      <c r="Y294" s="184"/>
    </row>
    <row r="295" spans="1:25" x14ac:dyDescent="0.3">
      <c r="A295" s="174">
        <v>43348</v>
      </c>
      <c r="B295" s="224" t="s">
        <v>124</v>
      </c>
      <c r="C295" s="71" t="s">
        <v>88</v>
      </c>
      <c r="D295" s="56">
        <v>29084.400000000001</v>
      </c>
      <c r="E295" s="56">
        <v>28996.48</v>
      </c>
      <c r="F295" s="56">
        <v>29016.23</v>
      </c>
      <c r="G295" s="56">
        <v>29017.24</v>
      </c>
      <c r="H295" s="56">
        <v>29102.45</v>
      </c>
      <c r="I295" s="56">
        <v>29055.439999999999</v>
      </c>
      <c r="J295" s="56">
        <v>28997.89</v>
      </c>
      <c r="K295" s="56">
        <v>28999.32</v>
      </c>
      <c r="L295" s="56">
        <v>29099.93</v>
      </c>
      <c r="M295" s="224">
        <f>IF((L296=""),"",MAX(D297:L297))</f>
        <v>34654.350000000006</v>
      </c>
      <c r="N295" s="224">
        <f>IF(L296="","",MIN(D297:L297))</f>
        <v>30928.83</v>
      </c>
      <c r="O295" s="224">
        <f>IF((L297=""),"",AVERAGE(D297:L297))</f>
        <v>33577.063333333332</v>
      </c>
      <c r="P295" s="224">
        <f>IF((L296=""),"",((M295-N295)/(M295+N295))*100)</f>
        <v>5.6806028618923383</v>
      </c>
      <c r="Q295" s="227" t="str">
        <f>IF(L296="","",IF(P297&lt;20,(IF(O295&gt;19000,IF(O295&lt;49000,"Pass","Fail"),"Fail"))))</f>
        <v>Pass</v>
      </c>
      <c r="R295" s="224">
        <v>1428</v>
      </c>
      <c r="S295" s="224"/>
      <c r="T295" s="179"/>
      <c r="U295" s="179">
        <v>19000</v>
      </c>
      <c r="V295" s="179">
        <v>49000</v>
      </c>
      <c r="W295" s="179">
        <v>33000</v>
      </c>
      <c r="X295" s="185">
        <v>44000</v>
      </c>
      <c r="Y295" s="182">
        <v>20</v>
      </c>
    </row>
    <row r="296" spans="1:25" x14ac:dyDescent="0.3">
      <c r="A296" s="175"/>
      <c r="B296" s="225"/>
      <c r="C296" s="71" t="s">
        <v>89</v>
      </c>
      <c r="D296" s="56">
        <v>18774.79</v>
      </c>
      <c r="E296" s="56">
        <v>17804.66</v>
      </c>
      <c r="F296" s="56">
        <v>17729.18</v>
      </c>
      <c r="G296" s="56">
        <v>17555.47</v>
      </c>
      <c r="H296" s="56">
        <v>18293.13</v>
      </c>
      <c r="I296" s="56">
        <v>17837.169999999998</v>
      </c>
      <c r="J296" s="56">
        <v>17625.38</v>
      </c>
      <c r="K296" s="56">
        <v>17447.87</v>
      </c>
      <c r="L296" s="56">
        <v>17570.54</v>
      </c>
      <c r="M296" s="225"/>
      <c r="N296" s="225"/>
      <c r="O296" s="225"/>
      <c r="P296" s="225"/>
      <c r="Q296" s="228"/>
      <c r="R296" s="225"/>
      <c r="S296" s="225"/>
      <c r="T296" s="180"/>
      <c r="U296" s="180"/>
      <c r="V296" s="180"/>
      <c r="W296" s="180"/>
      <c r="X296" s="186"/>
      <c r="Y296" s="183"/>
    </row>
    <row r="297" spans="1:25" ht="26.6" customHeight="1" x14ac:dyDescent="0.3">
      <c r="A297" s="176"/>
      <c r="B297" s="226"/>
      <c r="C297" s="71" t="s">
        <v>123</v>
      </c>
      <c r="D297" s="71">
        <f t="shared" ref="D297:L297" si="95">IF(((D295="")*AND(D296="")),"",(D295-D296)*3)</f>
        <v>30928.83</v>
      </c>
      <c r="E297" s="71">
        <f t="shared" si="95"/>
        <v>33575.46</v>
      </c>
      <c r="F297" s="71">
        <f t="shared" si="95"/>
        <v>33861.149999999994</v>
      </c>
      <c r="G297" s="71">
        <f t="shared" si="95"/>
        <v>34385.31</v>
      </c>
      <c r="H297" s="71">
        <f t="shared" si="95"/>
        <v>32427.96</v>
      </c>
      <c r="I297" s="71">
        <f t="shared" si="95"/>
        <v>33654.81</v>
      </c>
      <c r="J297" s="71">
        <f t="shared" si="95"/>
        <v>34117.53</v>
      </c>
      <c r="K297" s="71">
        <f t="shared" si="95"/>
        <v>34654.350000000006</v>
      </c>
      <c r="L297" s="71">
        <f t="shared" si="95"/>
        <v>34588.17</v>
      </c>
      <c r="M297" s="226"/>
      <c r="N297" s="226"/>
      <c r="O297" s="226"/>
      <c r="P297" s="226"/>
      <c r="Q297" s="229"/>
      <c r="R297" s="226"/>
      <c r="S297" s="226"/>
      <c r="T297" s="181"/>
      <c r="U297" s="181"/>
      <c r="V297" s="181"/>
      <c r="W297" s="181"/>
      <c r="X297" s="187"/>
      <c r="Y297" s="184"/>
    </row>
    <row r="298" spans="1:25" x14ac:dyDescent="0.3">
      <c r="A298" s="174">
        <v>43352</v>
      </c>
      <c r="B298" s="224" t="s">
        <v>124</v>
      </c>
      <c r="C298" s="71" t="s">
        <v>88</v>
      </c>
      <c r="D298" s="56">
        <v>29177.21</v>
      </c>
      <c r="E298" s="56">
        <v>29184.28</v>
      </c>
      <c r="F298" s="56">
        <v>29220.07</v>
      </c>
      <c r="G298" s="56">
        <v>29181.16</v>
      </c>
      <c r="H298" s="56">
        <v>29254.95</v>
      </c>
      <c r="I298" s="56">
        <v>29236.63</v>
      </c>
      <c r="J298" s="56">
        <v>29161.39</v>
      </c>
      <c r="K298" s="56">
        <v>29129.09</v>
      </c>
      <c r="L298" s="56">
        <v>29256.38</v>
      </c>
      <c r="M298" s="224">
        <f>IF((L299=""),"",MAX(D300:L300))</f>
        <v>82879.259999999995</v>
      </c>
      <c r="N298" s="224">
        <f>IF(L299="","",MIN(D300:L300))</f>
        <v>37537.440000000002</v>
      </c>
      <c r="O298" s="224">
        <f>IF((L300=""),"",AVERAGE(D300:L300))</f>
        <v>44287.326666666668</v>
      </c>
      <c r="P298" s="224">
        <f>IF((L299=""),"",((M298-N298)/(M298+N298))*100)</f>
        <v>37.654096151115247</v>
      </c>
      <c r="Q298" s="227" t="str">
        <f>IF(L299="","",IF(P300&lt;20,(IF(O298&gt;19000,IF(O298&lt;49000,"Pass","Fail"),"Fail"))))</f>
        <v>Pass</v>
      </c>
      <c r="R298" s="224">
        <v>74</v>
      </c>
      <c r="S298" s="224"/>
      <c r="T298" s="179"/>
      <c r="U298" s="179">
        <v>19000</v>
      </c>
      <c r="V298" s="179">
        <v>49000</v>
      </c>
      <c r="W298" s="179">
        <v>33000</v>
      </c>
      <c r="X298" s="185">
        <v>44000</v>
      </c>
      <c r="Y298" s="182">
        <v>20</v>
      </c>
    </row>
    <row r="299" spans="1:25" x14ac:dyDescent="0.3">
      <c r="A299" s="175"/>
      <c r="B299" s="225"/>
      <c r="C299" s="71" t="s">
        <v>89</v>
      </c>
      <c r="D299" s="56">
        <v>1550.79</v>
      </c>
      <c r="E299" s="56">
        <v>16130.29</v>
      </c>
      <c r="F299" s="56">
        <v>16047.31</v>
      </c>
      <c r="G299" s="56">
        <v>15780.07</v>
      </c>
      <c r="H299" s="56">
        <v>16742.47</v>
      </c>
      <c r="I299" s="56">
        <v>16231.6</v>
      </c>
      <c r="J299" s="56">
        <v>15963.16</v>
      </c>
      <c r="K299" s="56">
        <v>15655.13</v>
      </c>
      <c r="L299" s="56">
        <v>15838.36</v>
      </c>
      <c r="M299" s="225"/>
      <c r="N299" s="225"/>
      <c r="O299" s="225"/>
      <c r="P299" s="225"/>
      <c r="Q299" s="228"/>
      <c r="R299" s="225"/>
      <c r="S299" s="225"/>
      <c r="T299" s="180"/>
      <c r="U299" s="180"/>
      <c r="V299" s="180"/>
      <c r="W299" s="180"/>
      <c r="X299" s="186"/>
      <c r="Y299" s="183"/>
    </row>
    <row r="300" spans="1:25" ht="26.6" customHeight="1" x14ac:dyDescent="0.3">
      <c r="A300" s="176"/>
      <c r="B300" s="226"/>
      <c r="C300" s="71" t="s">
        <v>123</v>
      </c>
      <c r="D300" s="71">
        <f t="shared" ref="D300:L300" si="96">IF(((D298="")*AND(D299="")),"",(D298-D299)*3)</f>
        <v>82879.259999999995</v>
      </c>
      <c r="E300" s="71">
        <f t="shared" si="96"/>
        <v>39161.969999999994</v>
      </c>
      <c r="F300" s="71">
        <f t="shared" si="96"/>
        <v>39518.28</v>
      </c>
      <c r="G300" s="71">
        <f t="shared" si="96"/>
        <v>40203.270000000004</v>
      </c>
      <c r="H300" s="71">
        <f t="shared" si="96"/>
        <v>37537.440000000002</v>
      </c>
      <c r="I300" s="71">
        <f t="shared" si="96"/>
        <v>39015.090000000004</v>
      </c>
      <c r="J300" s="71">
        <f t="shared" si="96"/>
        <v>39594.69</v>
      </c>
      <c r="K300" s="71">
        <f t="shared" si="96"/>
        <v>40421.880000000005</v>
      </c>
      <c r="L300" s="71">
        <f t="shared" si="96"/>
        <v>40254.06</v>
      </c>
      <c r="M300" s="226"/>
      <c r="N300" s="226"/>
      <c r="O300" s="226"/>
      <c r="P300" s="226"/>
      <c r="Q300" s="229"/>
      <c r="R300" s="226"/>
      <c r="S300" s="226"/>
      <c r="T300" s="181"/>
      <c r="U300" s="181"/>
      <c r="V300" s="181"/>
      <c r="W300" s="181"/>
      <c r="X300" s="187"/>
      <c r="Y300" s="184"/>
    </row>
    <row r="301" spans="1:25" x14ac:dyDescent="0.3">
      <c r="A301" s="174">
        <v>43355</v>
      </c>
      <c r="B301" s="224" t="s">
        <v>124</v>
      </c>
      <c r="C301" s="71" t="s">
        <v>88</v>
      </c>
      <c r="D301" s="56">
        <v>29404.26</v>
      </c>
      <c r="E301" s="56">
        <v>29344.37</v>
      </c>
      <c r="F301" s="56">
        <v>29359.27</v>
      </c>
      <c r="G301" s="56">
        <v>29358.06</v>
      </c>
      <c r="H301" s="56">
        <v>29412.27</v>
      </c>
      <c r="I301" s="56">
        <v>29386.16</v>
      </c>
      <c r="J301" s="56">
        <v>29319.96</v>
      </c>
      <c r="K301" s="56">
        <v>29356.97</v>
      </c>
      <c r="L301" s="56">
        <v>29398.48</v>
      </c>
      <c r="M301" s="224">
        <f>IF((L302=""),"",MAX(D303:L303))</f>
        <v>42183.990000000005</v>
      </c>
      <c r="N301" s="224">
        <f>IF(L302="","",MIN(D303:L303))</f>
        <v>36697.17</v>
      </c>
      <c r="O301" s="224">
        <f>IF((L303=""),"",AVERAGE(D303:L303))</f>
        <v>40496.579999999994</v>
      </c>
      <c r="P301" s="224">
        <f>IF((L302=""),"",((M301-N301)/(M301+N301))*100)</f>
        <v>6.9558054166546315</v>
      </c>
      <c r="Q301" s="227" t="str">
        <f>IF(L302="","",IF(P303&lt;20,(IF(O301&gt;19000,IF(O301&lt;49000,"Pass","Fail"),"Fail"))))</f>
        <v>Pass</v>
      </c>
      <c r="R301" s="224">
        <v>74</v>
      </c>
      <c r="S301" s="224"/>
      <c r="T301" s="179"/>
      <c r="U301" s="179">
        <v>19000</v>
      </c>
      <c r="V301" s="179">
        <v>49000</v>
      </c>
      <c r="W301" s="179">
        <v>33000</v>
      </c>
      <c r="X301" s="185">
        <v>44000</v>
      </c>
      <c r="Y301" s="182">
        <v>20</v>
      </c>
    </row>
    <row r="302" spans="1:25" x14ac:dyDescent="0.3">
      <c r="A302" s="175"/>
      <c r="B302" s="225"/>
      <c r="C302" s="71" t="s">
        <v>89</v>
      </c>
      <c r="D302" s="56">
        <v>17171.87</v>
      </c>
      <c r="E302" s="56">
        <v>15814.5</v>
      </c>
      <c r="F302" s="56">
        <v>15651.69</v>
      </c>
      <c r="G302" s="56">
        <v>15399.63</v>
      </c>
      <c r="H302" s="56">
        <v>16425.64</v>
      </c>
      <c r="I302" s="56">
        <v>15945.16</v>
      </c>
      <c r="J302" s="56">
        <v>15583.34</v>
      </c>
      <c r="K302" s="56">
        <v>15295.64</v>
      </c>
      <c r="L302" s="56">
        <v>15562.59</v>
      </c>
      <c r="M302" s="225"/>
      <c r="N302" s="225"/>
      <c r="O302" s="225"/>
      <c r="P302" s="225"/>
      <c r="Q302" s="228"/>
      <c r="R302" s="225"/>
      <c r="S302" s="225"/>
      <c r="T302" s="180"/>
      <c r="U302" s="180"/>
      <c r="V302" s="180"/>
      <c r="W302" s="180"/>
      <c r="X302" s="186"/>
      <c r="Y302" s="183"/>
    </row>
    <row r="303" spans="1:25" ht="26.6" customHeight="1" x14ac:dyDescent="0.3">
      <c r="A303" s="176"/>
      <c r="B303" s="226"/>
      <c r="C303" s="71" t="s">
        <v>123</v>
      </c>
      <c r="D303" s="71">
        <f t="shared" ref="D303:L303" si="97">IF(((D301="")*AND(D302="")),"",(D301-D302)*3)</f>
        <v>36697.17</v>
      </c>
      <c r="E303" s="71">
        <f t="shared" si="97"/>
        <v>40589.61</v>
      </c>
      <c r="F303" s="71">
        <f t="shared" si="97"/>
        <v>41122.74</v>
      </c>
      <c r="G303" s="71">
        <f t="shared" si="97"/>
        <v>41875.290000000008</v>
      </c>
      <c r="H303" s="71">
        <f t="shared" si="97"/>
        <v>38959.89</v>
      </c>
      <c r="I303" s="71">
        <f t="shared" si="97"/>
        <v>40323</v>
      </c>
      <c r="J303" s="71">
        <f t="shared" si="97"/>
        <v>41209.86</v>
      </c>
      <c r="K303" s="71">
        <f t="shared" si="97"/>
        <v>42183.990000000005</v>
      </c>
      <c r="L303" s="71">
        <f t="shared" si="97"/>
        <v>41507.67</v>
      </c>
      <c r="M303" s="226"/>
      <c r="N303" s="226"/>
      <c r="O303" s="226"/>
      <c r="P303" s="226"/>
      <c r="Q303" s="229"/>
      <c r="R303" s="226"/>
      <c r="S303" s="226"/>
      <c r="T303" s="181"/>
      <c r="U303" s="181"/>
      <c r="V303" s="181"/>
      <c r="W303" s="181"/>
      <c r="X303" s="187"/>
      <c r="Y303" s="184"/>
    </row>
    <row r="304" spans="1:25" x14ac:dyDescent="0.3">
      <c r="A304" s="174">
        <v>43358</v>
      </c>
      <c r="B304" s="224" t="s">
        <v>124</v>
      </c>
      <c r="C304" s="71" t="s">
        <v>88</v>
      </c>
      <c r="D304" s="56">
        <v>29360.86</v>
      </c>
      <c r="E304" s="56">
        <v>29280.17</v>
      </c>
      <c r="F304" s="56">
        <v>29316.77</v>
      </c>
      <c r="G304" s="56">
        <v>29294.82</v>
      </c>
      <c r="H304" s="56">
        <v>29345.31</v>
      </c>
      <c r="I304" s="56">
        <v>29350.1</v>
      </c>
      <c r="J304" s="56">
        <v>29275.919999999998</v>
      </c>
      <c r="K304" s="56">
        <v>29284</v>
      </c>
      <c r="L304" s="56">
        <v>29346.58</v>
      </c>
      <c r="M304" s="224">
        <f>IF((L305=""),"",MAX(D306:L306))</f>
        <v>40932.629999999997</v>
      </c>
      <c r="N304" s="224">
        <f>IF(L305="","",MIN(D306:L306))</f>
        <v>35248.410000000003</v>
      </c>
      <c r="O304" s="224">
        <f>IF((L306=""),"",AVERAGE(D306:L306))</f>
        <v>38934.636666666673</v>
      </c>
      <c r="P304" s="224">
        <f>IF((L305=""),"",((M304-N304)/(M304+N304))*100)</f>
        <v>7.4614628521742334</v>
      </c>
      <c r="Q304" s="227" t="str">
        <f>IF(L305="","",IF(P306&lt;20,(IF(O304&gt;19000,IF(O304&lt;49000,"Pass","Fail"),"Fail"))))</f>
        <v>Pass</v>
      </c>
      <c r="R304" s="224" t="s">
        <v>66</v>
      </c>
      <c r="S304" s="224" t="s">
        <v>202</v>
      </c>
      <c r="T304" s="179"/>
      <c r="U304" s="179">
        <v>19000</v>
      </c>
      <c r="V304" s="179">
        <v>49000</v>
      </c>
      <c r="W304" s="179">
        <v>33000</v>
      </c>
      <c r="X304" s="185">
        <v>44000</v>
      </c>
      <c r="Y304" s="182">
        <v>20</v>
      </c>
    </row>
    <row r="305" spans="1:25" x14ac:dyDescent="0.3">
      <c r="A305" s="175"/>
      <c r="B305" s="225"/>
      <c r="C305" s="71" t="s">
        <v>89</v>
      </c>
      <c r="D305" s="56">
        <v>17611.39</v>
      </c>
      <c r="E305" s="56">
        <v>16299.91</v>
      </c>
      <c r="F305" s="56">
        <v>16127.35</v>
      </c>
      <c r="G305" s="56">
        <v>15919.65</v>
      </c>
      <c r="H305" s="56">
        <v>16877.919999999998</v>
      </c>
      <c r="I305" s="56">
        <v>16654.39</v>
      </c>
      <c r="J305" s="56">
        <v>16182.81</v>
      </c>
      <c r="K305" s="56">
        <v>15639.79</v>
      </c>
      <c r="L305" s="56">
        <v>15737.41</v>
      </c>
      <c r="M305" s="225"/>
      <c r="N305" s="225"/>
      <c r="O305" s="225"/>
      <c r="P305" s="225"/>
      <c r="Q305" s="228"/>
      <c r="R305" s="225"/>
      <c r="S305" s="225"/>
      <c r="T305" s="180"/>
      <c r="U305" s="180"/>
      <c r="V305" s="180"/>
      <c r="W305" s="180"/>
      <c r="X305" s="186"/>
      <c r="Y305" s="183"/>
    </row>
    <row r="306" spans="1:25" ht="26.6" customHeight="1" x14ac:dyDescent="0.3">
      <c r="A306" s="176"/>
      <c r="B306" s="226"/>
      <c r="C306" s="71" t="s">
        <v>123</v>
      </c>
      <c r="D306" s="71">
        <f t="shared" ref="D306:L306" si="98">IF(((D304="")*AND(D305="")),"",(D304-D305)*3)</f>
        <v>35248.410000000003</v>
      </c>
      <c r="E306" s="71">
        <f t="shared" si="98"/>
        <v>38940.78</v>
      </c>
      <c r="F306" s="71">
        <f t="shared" si="98"/>
        <v>39568.26</v>
      </c>
      <c r="G306" s="71">
        <f t="shared" si="98"/>
        <v>40125.51</v>
      </c>
      <c r="H306" s="71">
        <f t="shared" si="98"/>
        <v>37402.170000000013</v>
      </c>
      <c r="I306" s="71">
        <f t="shared" si="98"/>
        <v>38087.129999999997</v>
      </c>
      <c r="J306" s="71">
        <f t="shared" si="98"/>
        <v>39279.329999999994</v>
      </c>
      <c r="K306" s="71">
        <f t="shared" si="98"/>
        <v>40932.629999999997</v>
      </c>
      <c r="L306" s="71">
        <f t="shared" si="98"/>
        <v>40827.510000000009</v>
      </c>
      <c r="M306" s="226"/>
      <c r="N306" s="226"/>
      <c r="O306" s="226"/>
      <c r="P306" s="226"/>
      <c r="Q306" s="229"/>
      <c r="R306" s="226"/>
      <c r="S306" s="226"/>
      <c r="T306" s="181"/>
      <c r="U306" s="181"/>
      <c r="V306" s="181"/>
      <c r="W306" s="181"/>
      <c r="X306" s="187"/>
      <c r="Y306" s="184"/>
    </row>
    <row r="307" spans="1:25" x14ac:dyDescent="0.3">
      <c r="A307" s="174">
        <v>43361</v>
      </c>
      <c r="B307" s="224" t="s">
        <v>124</v>
      </c>
      <c r="C307" s="71" t="s">
        <v>88</v>
      </c>
      <c r="D307" s="56">
        <v>29323.31</v>
      </c>
      <c r="E307" s="56">
        <v>29244.1</v>
      </c>
      <c r="F307" s="56">
        <v>29236.93</v>
      </c>
      <c r="G307" s="56">
        <v>29224.74</v>
      </c>
      <c r="H307" s="56">
        <v>29285.77</v>
      </c>
      <c r="I307" s="56">
        <v>29286.33</v>
      </c>
      <c r="J307" s="56">
        <v>29230.91</v>
      </c>
      <c r="K307" s="56">
        <v>29237.53</v>
      </c>
      <c r="L307" s="56">
        <v>29354.3</v>
      </c>
      <c r="M307" s="224">
        <f>IF((L308=""),"",MAX(D309:L309))</f>
        <v>41232.089999999997</v>
      </c>
      <c r="N307" s="224">
        <f>IF(L308="","",MIN(D309:L309))</f>
        <v>36190.110000000008</v>
      </c>
      <c r="O307" s="224">
        <f>IF((L309=""),"",AVERAGE(D309:L309))</f>
        <v>39719.68</v>
      </c>
      <c r="P307" s="224">
        <f>IF((L308=""),"",((M307-N307)/(M307+N307))*100)</f>
        <v>6.5123181723071522</v>
      </c>
      <c r="Q307" s="227" t="str">
        <f>IF(L308="","",IF(P309&lt;20,(IF(O307&gt;19000,IF(O307&lt;49000,"Pass","Fail"),"Fail"))))</f>
        <v>Pass</v>
      </c>
      <c r="R307" s="224">
        <v>1159</v>
      </c>
      <c r="S307" s="224" t="s">
        <v>203</v>
      </c>
      <c r="T307" s="179"/>
      <c r="U307" s="179">
        <v>19000</v>
      </c>
      <c r="V307" s="179">
        <v>49000</v>
      </c>
      <c r="W307" s="179">
        <v>33000</v>
      </c>
      <c r="X307" s="185">
        <v>44000</v>
      </c>
      <c r="Y307" s="182">
        <v>20</v>
      </c>
    </row>
    <row r="308" spans="1:25" x14ac:dyDescent="0.3">
      <c r="A308" s="175"/>
      <c r="B308" s="225"/>
      <c r="C308" s="71" t="s">
        <v>89</v>
      </c>
      <c r="D308" s="56">
        <v>17259.939999999999</v>
      </c>
      <c r="E308" s="56">
        <v>15988.3</v>
      </c>
      <c r="F308" s="56">
        <v>15838.52</v>
      </c>
      <c r="G308" s="56">
        <v>15635.84</v>
      </c>
      <c r="H308" s="56">
        <v>16602.34</v>
      </c>
      <c r="I308" s="56">
        <v>16047</v>
      </c>
      <c r="J308" s="56">
        <v>15754.67</v>
      </c>
      <c r="K308" s="56">
        <v>15493.5</v>
      </c>
      <c r="L308" s="56">
        <v>15644.77</v>
      </c>
      <c r="M308" s="225"/>
      <c r="N308" s="225"/>
      <c r="O308" s="225"/>
      <c r="P308" s="225"/>
      <c r="Q308" s="228"/>
      <c r="R308" s="225"/>
      <c r="S308" s="225"/>
      <c r="T308" s="180"/>
      <c r="U308" s="180"/>
      <c r="V308" s="180"/>
      <c r="W308" s="180"/>
      <c r="X308" s="186"/>
      <c r="Y308" s="183"/>
    </row>
    <row r="309" spans="1:25" ht="26.6" customHeight="1" x14ac:dyDescent="0.3">
      <c r="A309" s="176"/>
      <c r="B309" s="226"/>
      <c r="C309" s="71" t="s">
        <v>123</v>
      </c>
      <c r="D309" s="71">
        <f t="shared" ref="D309:L309" si="99">IF(((D307="")*AND(D308="")),"",(D307-D308)*3)</f>
        <v>36190.110000000008</v>
      </c>
      <c r="E309" s="71">
        <f t="shared" si="99"/>
        <v>39767.399999999994</v>
      </c>
      <c r="F309" s="71">
        <f t="shared" si="99"/>
        <v>40195.229999999996</v>
      </c>
      <c r="G309" s="71">
        <f t="shared" si="99"/>
        <v>40766.700000000004</v>
      </c>
      <c r="H309" s="71">
        <f t="shared" si="99"/>
        <v>38050.29</v>
      </c>
      <c r="I309" s="71">
        <f t="shared" si="99"/>
        <v>39717.990000000005</v>
      </c>
      <c r="J309" s="71">
        <f t="shared" si="99"/>
        <v>40428.720000000001</v>
      </c>
      <c r="K309" s="71">
        <f t="shared" si="99"/>
        <v>41232.089999999997</v>
      </c>
      <c r="L309" s="71">
        <f t="shared" si="99"/>
        <v>41128.589999999997</v>
      </c>
      <c r="M309" s="226"/>
      <c r="N309" s="226"/>
      <c r="O309" s="226"/>
      <c r="P309" s="226"/>
      <c r="Q309" s="229"/>
      <c r="R309" s="226"/>
      <c r="S309" s="226"/>
      <c r="T309" s="181"/>
      <c r="U309" s="181"/>
      <c r="V309" s="181"/>
      <c r="W309" s="181"/>
      <c r="X309" s="187"/>
      <c r="Y309" s="184"/>
    </row>
    <row r="310" spans="1:25" x14ac:dyDescent="0.3">
      <c r="A310" s="174">
        <v>43367</v>
      </c>
      <c r="B310" s="224" t="s">
        <v>124</v>
      </c>
      <c r="C310" s="71" t="s">
        <v>88</v>
      </c>
      <c r="D310" s="56">
        <v>29314.09</v>
      </c>
      <c r="E310" s="56">
        <v>29222.37</v>
      </c>
      <c r="F310" s="56">
        <v>29231.33</v>
      </c>
      <c r="G310" s="56">
        <v>29225.57</v>
      </c>
      <c r="H310" s="56">
        <v>29298.42</v>
      </c>
      <c r="I310" s="56">
        <v>29272.59</v>
      </c>
      <c r="J310" s="56">
        <v>29192.01</v>
      </c>
      <c r="K310" s="56">
        <v>29237.73</v>
      </c>
      <c r="L310" s="56">
        <v>29349.3</v>
      </c>
      <c r="M310" s="224">
        <f>IF((L311=""),"",MAX(D312:L312))</f>
        <v>35340.299999999996</v>
      </c>
      <c r="N310" s="224">
        <f>IF(L311="","",MIN(D312:L312))</f>
        <v>31992.629999999997</v>
      </c>
      <c r="O310" s="224">
        <f>IF((L312=""),"",AVERAGE(D312:L312))</f>
        <v>34320.746666666673</v>
      </c>
      <c r="P310" s="224">
        <f>IF((L311=""),"",((M310-N310)/(M310+N310))*100)</f>
        <v>4.9718169103884211</v>
      </c>
      <c r="Q310" s="227" t="str">
        <f>IF(L311="","",IF(P312&lt;20,(IF(O310&gt;19000,IF(O310&lt;49000,"Pass","Fail"),"Fail"))))</f>
        <v>Pass</v>
      </c>
      <c r="R310" s="224">
        <v>1340</v>
      </c>
      <c r="S310" s="224"/>
      <c r="T310" s="179"/>
      <c r="U310" s="179">
        <v>19000</v>
      </c>
      <c r="V310" s="179">
        <v>49000</v>
      </c>
      <c r="W310" s="179">
        <v>33000</v>
      </c>
      <c r="X310" s="185">
        <v>44000</v>
      </c>
      <c r="Y310" s="182">
        <v>20</v>
      </c>
    </row>
    <row r="311" spans="1:25" x14ac:dyDescent="0.3">
      <c r="A311" s="175"/>
      <c r="B311" s="225"/>
      <c r="C311" s="71" t="s">
        <v>89</v>
      </c>
      <c r="D311" s="56">
        <v>18649.88</v>
      </c>
      <c r="E311" s="56">
        <v>17767.5</v>
      </c>
      <c r="F311" s="56">
        <v>17696.32</v>
      </c>
      <c r="G311" s="56">
        <v>17552.41</v>
      </c>
      <c r="H311" s="56">
        <v>18226.689999999999</v>
      </c>
      <c r="I311" s="56">
        <v>17830.96</v>
      </c>
      <c r="J311" s="56">
        <v>17608.509999999998</v>
      </c>
      <c r="K311" s="56">
        <v>17479.7</v>
      </c>
      <c r="L311" s="56">
        <v>17569.2</v>
      </c>
      <c r="M311" s="225"/>
      <c r="N311" s="225"/>
      <c r="O311" s="225"/>
      <c r="P311" s="225"/>
      <c r="Q311" s="228"/>
      <c r="R311" s="225"/>
      <c r="S311" s="225"/>
      <c r="T311" s="180"/>
      <c r="U311" s="180"/>
      <c r="V311" s="180"/>
      <c r="W311" s="180"/>
      <c r="X311" s="186"/>
      <c r="Y311" s="183"/>
    </row>
    <row r="312" spans="1:25" ht="26.6" customHeight="1" x14ac:dyDescent="0.3">
      <c r="A312" s="176"/>
      <c r="B312" s="226"/>
      <c r="C312" s="71" t="s">
        <v>123</v>
      </c>
      <c r="D312" s="71">
        <f t="shared" ref="D312:L312" si="100">IF(((D310="")*AND(D311="")),"",(D310-D311)*3)</f>
        <v>31992.629999999997</v>
      </c>
      <c r="E312" s="71">
        <f t="shared" si="100"/>
        <v>34364.61</v>
      </c>
      <c r="F312" s="71">
        <f t="shared" si="100"/>
        <v>34605.030000000006</v>
      </c>
      <c r="G312" s="71">
        <f t="shared" si="100"/>
        <v>35019.479999999996</v>
      </c>
      <c r="H312" s="71">
        <f t="shared" si="100"/>
        <v>33215.19</v>
      </c>
      <c r="I312" s="71">
        <f t="shared" si="100"/>
        <v>34324.89</v>
      </c>
      <c r="J312" s="71">
        <f t="shared" si="100"/>
        <v>34750.5</v>
      </c>
      <c r="K312" s="71">
        <f t="shared" si="100"/>
        <v>35274.089999999997</v>
      </c>
      <c r="L312" s="71">
        <f t="shared" si="100"/>
        <v>35340.299999999996</v>
      </c>
      <c r="M312" s="226"/>
      <c r="N312" s="226"/>
      <c r="O312" s="226"/>
      <c r="P312" s="226"/>
      <c r="Q312" s="229"/>
      <c r="R312" s="226"/>
      <c r="S312" s="226"/>
      <c r="T312" s="181"/>
      <c r="U312" s="181"/>
      <c r="V312" s="181"/>
      <c r="W312" s="181"/>
      <c r="X312" s="187"/>
      <c r="Y312" s="184"/>
    </row>
    <row r="313" spans="1:25" x14ac:dyDescent="0.3">
      <c r="A313" s="174">
        <v>43369</v>
      </c>
      <c r="B313" s="224" t="s">
        <v>124</v>
      </c>
      <c r="C313" s="71" t="s">
        <v>88</v>
      </c>
      <c r="D313" s="56">
        <v>29390.75</v>
      </c>
      <c r="E313" s="56">
        <v>29305.81</v>
      </c>
      <c r="F313" s="56">
        <v>29303.88</v>
      </c>
      <c r="G313" s="56">
        <v>29287.39</v>
      </c>
      <c r="H313" s="56">
        <v>29346.28</v>
      </c>
      <c r="I313" s="56">
        <v>29356.11</v>
      </c>
      <c r="J313" s="56">
        <v>29265.599999999999</v>
      </c>
      <c r="K313" s="56">
        <v>29311.38</v>
      </c>
      <c r="L313" s="56">
        <v>29401.4</v>
      </c>
      <c r="M313" s="224">
        <f>IF((L314=""),"",MAX(D315:L315))</f>
        <v>40670.700000000004</v>
      </c>
      <c r="N313" s="224">
        <f>IF(L314="","",MIN(D315:L315))</f>
        <v>35986.29</v>
      </c>
      <c r="O313" s="224">
        <f>IF((L315=""),"",AVERAGE(D315:L315))</f>
        <v>39291.730000000003</v>
      </c>
      <c r="P313" s="224">
        <f>IF((L314=""),"",((M313-N313)/(M313+N313))*100)</f>
        <v>6.1108712982338638</v>
      </c>
      <c r="Q313" s="227" t="str">
        <f>IF(L314="","",IF(P315&lt;20,(IF(O313&gt;19000,IF(O313&lt;49000,"Pass","Fail"),"Fail"))))</f>
        <v>Pass</v>
      </c>
      <c r="R313" s="224">
        <v>102</v>
      </c>
      <c r="S313" s="224"/>
      <c r="T313" s="179"/>
      <c r="U313" s="179">
        <v>19000</v>
      </c>
      <c r="V313" s="179">
        <v>49000</v>
      </c>
      <c r="W313" s="179">
        <v>33000</v>
      </c>
      <c r="X313" s="185">
        <v>44000</v>
      </c>
      <c r="Y313" s="182">
        <v>20</v>
      </c>
    </row>
    <row r="314" spans="1:25" x14ac:dyDescent="0.3">
      <c r="A314" s="175"/>
      <c r="B314" s="225"/>
      <c r="C314" s="71" t="s">
        <v>89</v>
      </c>
      <c r="D314" s="56">
        <v>17395.32</v>
      </c>
      <c r="E314" s="56">
        <v>16223.73</v>
      </c>
      <c r="F314" s="56">
        <v>16128.7</v>
      </c>
      <c r="G314" s="56">
        <v>15970.48</v>
      </c>
      <c r="H314" s="56">
        <v>16595.48</v>
      </c>
      <c r="I314" s="56">
        <v>16061.68</v>
      </c>
      <c r="J314" s="56">
        <v>15975.97</v>
      </c>
      <c r="K314" s="56">
        <v>15897.55</v>
      </c>
      <c r="L314" s="56">
        <v>15844.5</v>
      </c>
      <c r="M314" s="225"/>
      <c r="N314" s="225"/>
      <c r="O314" s="225"/>
      <c r="P314" s="225"/>
      <c r="Q314" s="228"/>
      <c r="R314" s="225"/>
      <c r="S314" s="225"/>
      <c r="T314" s="180"/>
      <c r="U314" s="180"/>
      <c r="V314" s="180"/>
      <c r="W314" s="180"/>
      <c r="X314" s="186"/>
      <c r="Y314" s="183"/>
    </row>
    <row r="315" spans="1:25" ht="26.6" customHeight="1" x14ac:dyDescent="0.3">
      <c r="A315" s="176"/>
      <c r="B315" s="226"/>
      <c r="C315" s="71" t="s">
        <v>123</v>
      </c>
      <c r="D315" s="71">
        <f t="shared" ref="D315:L315" si="101">IF(((D313="")*AND(D314="")),"",(D313-D314)*3)</f>
        <v>35986.29</v>
      </c>
      <c r="E315" s="71">
        <f t="shared" si="101"/>
        <v>39246.240000000005</v>
      </c>
      <c r="F315" s="71">
        <f t="shared" si="101"/>
        <v>39525.54</v>
      </c>
      <c r="G315" s="71">
        <f t="shared" si="101"/>
        <v>39950.729999999996</v>
      </c>
      <c r="H315" s="71">
        <f t="shared" si="101"/>
        <v>38252.399999999994</v>
      </c>
      <c r="I315" s="71">
        <f t="shared" si="101"/>
        <v>39883.29</v>
      </c>
      <c r="J315" s="71">
        <f t="shared" si="101"/>
        <v>39868.89</v>
      </c>
      <c r="K315" s="71">
        <f t="shared" si="101"/>
        <v>40241.490000000005</v>
      </c>
      <c r="L315" s="71">
        <f t="shared" si="101"/>
        <v>40670.700000000004</v>
      </c>
      <c r="M315" s="226"/>
      <c r="N315" s="226"/>
      <c r="O315" s="226"/>
      <c r="P315" s="226"/>
      <c r="Q315" s="229"/>
      <c r="R315" s="226"/>
      <c r="S315" s="226"/>
      <c r="T315" s="181"/>
      <c r="U315" s="181"/>
      <c r="V315" s="181"/>
      <c r="W315" s="181"/>
      <c r="X315" s="187"/>
      <c r="Y315" s="184"/>
    </row>
    <row r="316" spans="1:25" x14ac:dyDescent="0.3">
      <c r="A316" s="174">
        <v>43373</v>
      </c>
      <c r="B316" s="224" t="s">
        <v>124</v>
      </c>
      <c r="C316" s="71" t="s">
        <v>88</v>
      </c>
      <c r="D316" s="56">
        <v>29066.080000000002</v>
      </c>
      <c r="E316" s="56">
        <v>29017.21</v>
      </c>
      <c r="F316" s="56">
        <v>29044.13</v>
      </c>
      <c r="G316" s="56">
        <v>29008.07</v>
      </c>
      <c r="H316" s="56">
        <v>29082.09</v>
      </c>
      <c r="I316" s="56">
        <v>29065.24</v>
      </c>
      <c r="J316" s="56">
        <v>29000.26</v>
      </c>
      <c r="K316" s="56">
        <v>28999.360000000001</v>
      </c>
      <c r="L316" s="56">
        <v>29066.28</v>
      </c>
      <c r="M316" s="224">
        <f>IF((L317=""),"",MAX(D318:L318))</f>
        <v>37983.54</v>
      </c>
      <c r="N316" s="224">
        <f>IF(L317="","",MIN(D318:L318))</f>
        <v>32440.740000000005</v>
      </c>
      <c r="O316" s="224">
        <f>IF((L318=""),"",AVERAGE(D318:L318))</f>
        <v>36615.53</v>
      </c>
      <c r="P316" s="224">
        <f>IF((L317=""),"",((M316-N316)/(M316+N316))*100)</f>
        <v>7.8705809984851758</v>
      </c>
      <c r="Q316" s="227" t="str">
        <f>IF(L317="","",IF(P318&lt;20,(IF(O316&gt;19000,IF(O316&lt;49000,"Pass","Fail"),"Fail"))))</f>
        <v>Pass</v>
      </c>
      <c r="R316" s="224">
        <v>1340</v>
      </c>
      <c r="S316" s="224"/>
      <c r="T316" s="179"/>
      <c r="U316" s="179">
        <v>19000</v>
      </c>
      <c r="V316" s="179">
        <v>49000</v>
      </c>
      <c r="W316" s="179">
        <v>33000</v>
      </c>
      <c r="X316" s="185">
        <v>44000</v>
      </c>
      <c r="Y316" s="182">
        <v>20</v>
      </c>
    </row>
    <row r="317" spans="1:25" x14ac:dyDescent="0.3">
      <c r="A317" s="175"/>
      <c r="B317" s="225"/>
      <c r="C317" s="71" t="s">
        <v>89</v>
      </c>
      <c r="D317" s="56">
        <v>18252.5</v>
      </c>
      <c r="E317" s="56">
        <v>16826.75</v>
      </c>
      <c r="F317" s="56">
        <v>16589.900000000001</v>
      </c>
      <c r="G317" s="56">
        <v>16346.89</v>
      </c>
      <c r="H317" s="56">
        <v>17193.419999999998</v>
      </c>
      <c r="I317" s="56">
        <v>16784.439999999999</v>
      </c>
      <c r="J317" s="56">
        <v>16468.57</v>
      </c>
      <c r="K317" s="56">
        <v>16369.37</v>
      </c>
      <c r="L317" s="56">
        <v>16670.29</v>
      </c>
      <c r="M317" s="225"/>
      <c r="N317" s="225"/>
      <c r="O317" s="225"/>
      <c r="P317" s="225"/>
      <c r="Q317" s="228"/>
      <c r="R317" s="225"/>
      <c r="S317" s="225"/>
      <c r="T317" s="180"/>
      <c r="U317" s="180"/>
      <c r="V317" s="180"/>
      <c r="W317" s="180"/>
      <c r="X317" s="186"/>
      <c r="Y317" s="183"/>
    </row>
    <row r="318" spans="1:25" ht="26.6" customHeight="1" x14ac:dyDescent="0.3">
      <c r="A318" s="176"/>
      <c r="B318" s="226"/>
      <c r="C318" s="71" t="s">
        <v>123</v>
      </c>
      <c r="D318" s="71">
        <f t="shared" ref="D318:L318" si="102">IF(((D316="")*AND(D317="")),"",(D316-D317)*3)</f>
        <v>32440.740000000005</v>
      </c>
      <c r="E318" s="71">
        <f t="shared" si="102"/>
        <v>36571.379999999997</v>
      </c>
      <c r="F318" s="71">
        <f t="shared" si="102"/>
        <v>37362.69</v>
      </c>
      <c r="G318" s="71">
        <f t="shared" si="102"/>
        <v>37983.54</v>
      </c>
      <c r="H318" s="71">
        <f t="shared" si="102"/>
        <v>35666.010000000009</v>
      </c>
      <c r="I318" s="71">
        <f t="shared" si="102"/>
        <v>36842.400000000009</v>
      </c>
      <c r="J318" s="71">
        <f t="shared" si="102"/>
        <v>37595.069999999992</v>
      </c>
      <c r="K318" s="71">
        <f t="shared" si="102"/>
        <v>37889.97</v>
      </c>
      <c r="L318" s="71">
        <f t="shared" si="102"/>
        <v>37187.969999999994</v>
      </c>
      <c r="M318" s="226"/>
      <c r="N318" s="226"/>
      <c r="O318" s="226"/>
      <c r="P318" s="226"/>
      <c r="Q318" s="229"/>
      <c r="R318" s="226"/>
      <c r="S318" s="226"/>
      <c r="T318" s="181"/>
      <c r="U318" s="181"/>
      <c r="V318" s="181"/>
      <c r="W318" s="181"/>
      <c r="X318" s="187"/>
      <c r="Y318" s="184"/>
    </row>
    <row r="319" spans="1:25" x14ac:dyDescent="0.3">
      <c r="A319" s="174">
        <v>43376</v>
      </c>
      <c r="B319" s="224" t="s">
        <v>124</v>
      </c>
      <c r="C319" s="71" t="s">
        <v>88</v>
      </c>
      <c r="D319" s="56">
        <v>29074.23</v>
      </c>
      <c r="E319" s="56">
        <v>28988.73</v>
      </c>
      <c r="F319" s="56">
        <v>28989.33</v>
      </c>
      <c r="G319" s="56">
        <v>28974.46</v>
      </c>
      <c r="H319" s="56">
        <v>29040.77</v>
      </c>
      <c r="I319" s="56">
        <v>29065.75</v>
      </c>
      <c r="J319" s="56">
        <v>28982.48</v>
      </c>
      <c r="K319" s="56">
        <v>28972.959999999999</v>
      </c>
      <c r="L319" s="56">
        <v>29070.06</v>
      </c>
      <c r="M319" s="224">
        <f>IF((L320=""),"",MAX(D321:L321))</f>
        <v>38240.789999999994</v>
      </c>
      <c r="N319" s="224">
        <f>IF(L320="","",MIN(D321:L321))</f>
        <v>32937.69</v>
      </c>
      <c r="O319" s="224">
        <f>IF((L321=""),"",AVERAGE(D321:L321))</f>
        <v>37039.943333333329</v>
      </c>
      <c r="P319" s="224">
        <f>IF((L320=""),"",((M319-N319)/(M319+N319))*100)</f>
        <v>7.4504260276420515</v>
      </c>
      <c r="Q319" s="227" t="str">
        <f>IF(L320="","",IF(P321&lt;20,(IF(O319&gt;19000,IF(O319&lt;49000,"Pass","Fail"),"Fail"))))</f>
        <v>Pass</v>
      </c>
      <c r="R319" s="224">
        <v>121</v>
      </c>
      <c r="S319" s="224"/>
      <c r="T319" s="179"/>
      <c r="U319" s="179">
        <v>19000</v>
      </c>
      <c r="V319" s="179">
        <v>49000</v>
      </c>
      <c r="W319" s="179">
        <v>33000</v>
      </c>
      <c r="X319" s="185">
        <v>44000</v>
      </c>
      <c r="Y319" s="182">
        <v>20</v>
      </c>
    </row>
    <row r="320" spans="1:25" x14ac:dyDescent="0.3">
      <c r="A320" s="175"/>
      <c r="B320" s="225"/>
      <c r="C320" s="71" t="s">
        <v>89</v>
      </c>
      <c r="D320" s="56">
        <v>18095</v>
      </c>
      <c r="E320" s="56">
        <v>16730.52</v>
      </c>
      <c r="F320" s="56">
        <v>16472.490000000002</v>
      </c>
      <c r="G320" s="56">
        <v>16227.53</v>
      </c>
      <c r="H320" s="56">
        <v>16974.060000000001</v>
      </c>
      <c r="I320" s="56">
        <v>16545.04</v>
      </c>
      <c r="J320" s="56">
        <v>16285.02</v>
      </c>
      <c r="K320" s="56">
        <v>16287.65</v>
      </c>
      <c r="L320" s="56">
        <v>16421.63</v>
      </c>
      <c r="M320" s="225"/>
      <c r="N320" s="225"/>
      <c r="O320" s="225"/>
      <c r="P320" s="225"/>
      <c r="Q320" s="228"/>
      <c r="R320" s="225"/>
      <c r="S320" s="225"/>
      <c r="T320" s="180"/>
      <c r="U320" s="180"/>
      <c r="V320" s="180"/>
      <c r="W320" s="180"/>
      <c r="X320" s="186"/>
      <c r="Y320" s="183"/>
    </row>
    <row r="321" spans="1:25" ht="26.6" customHeight="1" x14ac:dyDescent="0.3">
      <c r="A321" s="176"/>
      <c r="B321" s="226"/>
      <c r="C321" s="71" t="s">
        <v>123</v>
      </c>
      <c r="D321" s="71">
        <f t="shared" ref="D321:L321" si="103">IF(((D319="")*AND(D320="")),"",(D319-D320)*3)</f>
        <v>32937.69</v>
      </c>
      <c r="E321" s="71">
        <f t="shared" si="103"/>
        <v>36774.629999999997</v>
      </c>
      <c r="F321" s="71">
        <f t="shared" si="103"/>
        <v>37550.520000000004</v>
      </c>
      <c r="G321" s="71">
        <f t="shared" si="103"/>
        <v>38240.789999999994</v>
      </c>
      <c r="H321" s="71">
        <f t="shared" si="103"/>
        <v>36200.129999999997</v>
      </c>
      <c r="I321" s="71">
        <f t="shared" si="103"/>
        <v>37562.129999999997</v>
      </c>
      <c r="J321" s="71">
        <f t="shared" si="103"/>
        <v>38092.379999999997</v>
      </c>
      <c r="K321" s="71">
        <f t="shared" si="103"/>
        <v>38055.93</v>
      </c>
      <c r="L321" s="71">
        <f t="shared" si="103"/>
        <v>37945.29</v>
      </c>
      <c r="M321" s="226"/>
      <c r="N321" s="226"/>
      <c r="O321" s="226"/>
      <c r="P321" s="226"/>
      <c r="Q321" s="229"/>
      <c r="R321" s="226"/>
      <c r="S321" s="226"/>
      <c r="T321" s="181"/>
      <c r="U321" s="181"/>
      <c r="V321" s="181"/>
      <c r="W321" s="181"/>
      <c r="X321" s="187"/>
      <c r="Y321" s="184"/>
    </row>
    <row r="322" spans="1:25" x14ac:dyDescent="0.3">
      <c r="A322" s="174">
        <v>43379</v>
      </c>
      <c r="B322" s="224" t="s">
        <v>124</v>
      </c>
      <c r="C322" s="71" t="s">
        <v>88</v>
      </c>
      <c r="D322" s="56">
        <v>27169.759999999998</v>
      </c>
      <c r="E322" s="56">
        <v>27157.56</v>
      </c>
      <c r="F322" s="56">
        <v>27235.27</v>
      </c>
      <c r="G322" s="56">
        <v>27140.07</v>
      </c>
      <c r="H322" s="56">
        <v>27146.78</v>
      </c>
      <c r="I322" s="56">
        <v>27127.85</v>
      </c>
      <c r="J322" s="56">
        <v>27146.9</v>
      </c>
      <c r="K322" s="56">
        <v>27130.35</v>
      </c>
      <c r="L322" s="56">
        <v>27140.87</v>
      </c>
      <c r="M322" s="224">
        <f>IF((L323=""),"",MAX(D324:L324))</f>
        <v>39571.919999999998</v>
      </c>
      <c r="N322" s="224">
        <f>IF(L323="","",MIN(D324:L324))</f>
        <v>34616.369999999995</v>
      </c>
      <c r="O322" s="224">
        <f>IF((L324=""),"",AVERAGE(D324:L324))</f>
        <v>38288.166666666657</v>
      </c>
      <c r="P322" s="224">
        <f>IF((L323=""),"",((M322-N322)/(M322+N322))*100)</f>
        <v>6.6796929811969026</v>
      </c>
      <c r="Q322" s="227" t="str">
        <f>IF(L323="","",IF(P324&lt;20,(IF(O322&gt;19000,IF(O322&lt;49000,"Pass","Fail"),"Fail"))))</f>
        <v>Pass</v>
      </c>
      <c r="R322" s="224">
        <v>121</v>
      </c>
      <c r="S322" s="224" t="s">
        <v>204</v>
      </c>
      <c r="T322" s="179"/>
      <c r="U322" s="179">
        <v>19000</v>
      </c>
      <c r="V322" s="179">
        <v>49000</v>
      </c>
      <c r="W322" s="179">
        <v>33000</v>
      </c>
      <c r="X322" s="185">
        <v>44000</v>
      </c>
      <c r="Y322" s="182">
        <v>20</v>
      </c>
    </row>
    <row r="323" spans="1:25" x14ac:dyDescent="0.3">
      <c r="A323" s="175"/>
      <c r="B323" s="225"/>
      <c r="C323" s="71" t="s">
        <v>89</v>
      </c>
      <c r="D323" s="56">
        <v>15630.97</v>
      </c>
      <c r="E323" s="56">
        <v>14539.11</v>
      </c>
      <c r="F323" s="56">
        <v>14436.16</v>
      </c>
      <c r="G323" s="56">
        <v>14042.53</v>
      </c>
      <c r="H323" s="56">
        <v>14573.76</v>
      </c>
      <c r="I323" s="56">
        <v>14069.76</v>
      </c>
      <c r="J323" s="56">
        <v>14128.92</v>
      </c>
      <c r="K323" s="56">
        <v>14159.47</v>
      </c>
      <c r="L323" s="56">
        <v>13950.23</v>
      </c>
      <c r="M323" s="225"/>
      <c r="N323" s="225"/>
      <c r="O323" s="225"/>
      <c r="P323" s="225"/>
      <c r="Q323" s="228"/>
      <c r="R323" s="225"/>
      <c r="S323" s="225"/>
      <c r="T323" s="180"/>
      <c r="U323" s="180"/>
      <c r="V323" s="180"/>
      <c r="W323" s="180"/>
      <c r="X323" s="186"/>
      <c r="Y323" s="183"/>
    </row>
    <row r="324" spans="1:25" ht="26.6" customHeight="1" x14ac:dyDescent="0.3">
      <c r="A324" s="176"/>
      <c r="B324" s="226"/>
      <c r="C324" s="71" t="s">
        <v>123</v>
      </c>
      <c r="D324" s="71">
        <f t="shared" ref="D324:L324" si="104">IF(((D322="")*AND(D323="")),"",(D322-D323)*3)</f>
        <v>34616.369999999995</v>
      </c>
      <c r="E324" s="71">
        <f t="shared" si="104"/>
        <v>37855.350000000006</v>
      </c>
      <c r="F324" s="71">
        <f t="shared" si="104"/>
        <v>38397.33</v>
      </c>
      <c r="G324" s="71">
        <f t="shared" si="104"/>
        <v>39292.619999999995</v>
      </c>
      <c r="H324" s="71">
        <f t="shared" si="104"/>
        <v>37719.06</v>
      </c>
      <c r="I324" s="71">
        <f t="shared" si="104"/>
        <v>39174.269999999997</v>
      </c>
      <c r="J324" s="71">
        <f t="shared" si="104"/>
        <v>39053.94</v>
      </c>
      <c r="K324" s="71">
        <f t="shared" si="104"/>
        <v>38912.639999999999</v>
      </c>
      <c r="L324" s="71">
        <f t="shared" si="104"/>
        <v>39571.919999999998</v>
      </c>
      <c r="M324" s="226"/>
      <c r="N324" s="226"/>
      <c r="O324" s="226"/>
      <c r="P324" s="226"/>
      <c r="Q324" s="229"/>
      <c r="R324" s="226"/>
      <c r="S324" s="226"/>
      <c r="T324" s="181"/>
      <c r="U324" s="181"/>
      <c r="V324" s="181"/>
      <c r="W324" s="181"/>
      <c r="X324" s="187"/>
      <c r="Y324" s="184"/>
    </row>
    <row r="325" spans="1:25" x14ac:dyDescent="0.3">
      <c r="A325" s="174">
        <v>43382</v>
      </c>
      <c r="B325" s="224" t="s">
        <v>124</v>
      </c>
      <c r="C325" s="71" t="s">
        <v>88</v>
      </c>
      <c r="D325" s="56">
        <v>29250.84</v>
      </c>
      <c r="E325" s="56">
        <v>29186.58</v>
      </c>
      <c r="F325" s="56">
        <v>29230.66</v>
      </c>
      <c r="G325" s="56">
        <v>29197.03</v>
      </c>
      <c r="H325" s="56">
        <v>29245.21</v>
      </c>
      <c r="I325" s="56">
        <v>29240.38</v>
      </c>
      <c r="J325" s="56">
        <v>29192.36</v>
      </c>
      <c r="K325" s="56">
        <v>29185.15</v>
      </c>
      <c r="L325" s="56">
        <v>29261.58</v>
      </c>
      <c r="M325" s="224">
        <f>IF((L326=""),"",MAX(D327:L327))</f>
        <v>41083.740000000005</v>
      </c>
      <c r="N325" s="224">
        <f>IF(L326="","",MIN(D327:L327))</f>
        <v>35782.020000000004</v>
      </c>
      <c r="O325" s="224">
        <f>IF((L327=""),"",AVERAGE(D327:L327))</f>
        <v>39841.57</v>
      </c>
      <c r="P325" s="224">
        <f>IF((L326=""),"",((M325-N325)/(M325+N325))*100)</f>
        <v>6.8973753723374376</v>
      </c>
      <c r="Q325" s="227" t="str">
        <f>IF(L326="","",IF(P327&lt;20,(IF(O325&gt;19000,IF(O325&lt;49000,"Pass","Fail"),"Fail"))))</f>
        <v>Pass</v>
      </c>
      <c r="R325" s="224">
        <v>1335</v>
      </c>
      <c r="S325" s="224" t="s">
        <v>132</v>
      </c>
      <c r="T325" s="179"/>
      <c r="U325" s="179">
        <v>19000</v>
      </c>
      <c r="V325" s="179">
        <v>49000</v>
      </c>
      <c r="W325" s="179">
        <v>33000</v>
      </c>
      <c r="X325" s="185">
        <v>44000</v>
      </c>
      <c r="Y325" s="182">
        <v>20</v>
      </c>
    </row>
    <row r="326" spans="1:25" x14ac:dyDescent="0.3">
      <c r="A326" s="175"/>
      <c r="B326" s="225"/>
      <c r="C326" s="71" t="s">
        <v>89</v>
      </c>
      <c r="D326" s="56">
        <v>17323.5</v>
      </c>
      <c r="E326" s="56">
        <v>15976.56</v>
      </c>
      <c r="F326" s="56">
        <v>15818.64</v>
      </c>
      <c r="G326" s="56">
        <v>15540.9</v>
      </c>
      <c r="H326" s="56">
        <v>16319.76</v>
      </c>
      <c r="I326" s="56">
        <v>15774.54</v>
      </c>
      <c r="J326" s="56">
        <v>15621.63</v>
      </c>
      <c r="K326" s="56">
        <v>15522.55</v>
      </c>
      <c r="L326" s="56">
        <v>15567</v>
      </c>
      <c r="M326" s="225"/>
      <c r="N326" s="225"/>
      <c r="O326" s="225"/>
      <c r="P326" s="225"/>
      <c r="Q326" s="228"/>
      <c r="R326" s="225"/>
      <c r="S326" s="225"/>
      <c r="T326" s="180"/>
      <c r="U326" s="180"/>
      <c r="V326" s="180"/>
      <c r="W326" s="180"/>
      <c r="X326" s="186"/>
      <c r="Y326" s="183"/>
    </row>
    <row r="327" spans="1:25" ht="26.6" customHeight="1" x14ac:dyDescent="0.3">
      <c r="A327" s="176"/>
      <c r="B327" s="226"/>
      <c r="C327" s="71" t="s">
        <v>123</v>
      </c>
      <c r="D327" s="71">
        <f t="shared" ref="D327:L327" si="105">IF(((D325="")*AND(D326="")),"",(D325-D326)*3)</f>
        <v>35782.020000000004</v>
      </c>
      <c r="E327" s="71">
        <f t="shared" si="105"/>
        <v>39630.060000000005</v>
      </c>
      <c r="F327" s="71">
        <f t="shared" si="105"/>
        <v>40236.06</v>
      </c>
      <c r="G327" s="71">
        <f t="shared" si="105"/>
        <v>40968.39</v>
      </c>
      <c r="H327" s="71">
        <f t="shared" si="105"/>
        <v>38776.35</v>
      </c>
      <c r="I327" s="71">
        <f t="shared" si="105"/>
        <v>40397.520000000004</v>
      </c>
      <c r="J327" s="71">
        <f t="shared" si="105"/>
        <v>40712.19</v>
      </c>
      <c r="K327" s="71">
        <f t="shared" si="105"/>
        <v>40987.800000000003</v>
      </c>
      <c r="L327" s="71">
        <f t="shared" si="105"/>
        <v>41083.740000000005</v>
      </c>
      <c r="M327" s="226"/>
      <c r="N327" s="226"/>
      <c r="O327" s="226"/>
      <c r="P327" s="226"/>
      <c r="Q327" s="229"/>
      <c r="R327" s="226"/>
      <c r="S327" s="226"/>
      <c r="T327" s="181"/>
      <c r="U327" s="181"/>
      <c r="V327" s="181"/>
      <c r="W327" s="181"/>
      <c r="X327" s="187"/>
      <c r="Y327" s="184"/>
    </row>
    <row r="328" spans="1:25" x14ac:dyDescent="0.3">
      <c r="A328" s="174">
        <v>43385</v>
      </c>
      <c r="B328" s="224" t="s">
        <v>124</v>
      </c>
      <c r="C328" s="71" t="s">
        <v>88</v>
      </c>
      <c r="D328" s="56">
        <v>29254.47</v>
      </c>
      <c r="E328" s="56">
        <v>29134.78</v>
      </c>
      <c r="F328" s="56">
        <v>29091.52</v>
      </c>
      <c r="G328" s="56">
        <v>29132.93</v>
      </c>
      <c r="H328" s="56">
        <v>29226.11</v>
      </c>
      <c r="I328" s="56">
        <v>29238.880000000001</v>
      </c>
      <c r="J328" s="56">
        <v>29136.15</v>
      </c>
      <c r="K328" s="56">
        <v>29126.27</v>
      </c>
      <c r="L328" s="56">
        <v>29209.61</v>
      </c>
      <c r="M328" s="224">
        <f>IF((L329=""),"",MAX(D330:L330))</f>
        <v>40448.01</v>
      </c>
      <c r="N328" s="224">
        <f>IF(L329="","",MIN(D330:L330))</f>
        <v>35581.530000000006</v>
      </c>
      <c r="O328" s="224">
        <f>IF((L330=""),"",AVERAGE(D330:L330))</f>
        <v>39197.493333333339</v>
      </c>
      <c r="P328" s="224">
        <f>IF((L329=""),"",((M328-N328)/(M328+N328))*100)</f>
        <v>6.4007752776091973</v>
      </c>
      <c r="Q328" s="227" t="str">
        <f>IF(L329="","",IF(P330&lt;20,(IF(O328&gt;19000,IF(O328&lt;49000,"Pass","Fail"),"Fail"))))</f>
        <v>Pass</v>
      </c>
      <c r="R328" s="224">
        <v>1335</v>
      </c>
      <c r="S328" s="224" t="s">
        <v>133</v>
      </c>
      <c r="T328" s="179"/>
      <c r="U328" s="179">
        <v>19000</v>
      </c>
      <c r="V328" s="179">
        <v>49000</v>
      </c>
      <c r="W328" s="179">
        <v>33000</v>
      </c>
      <c r="X328" s="185">
        <v>44000</v>
      </c>
      <c r="Y328" s="182">
        <v>20</v>
      </c>
    </row>
    <row r="329" spans="1:25" x14ac:dyDescent="0.3">
      <c r="A329" s="175"/>
      <c r="B329" s="225"/>
      <c r="C329" s="71" t="s">
        <v>89</v>
      </c>
      <c r="D329" s="56">
        <v>17393.96</v>
      </c>
      <c r="E329" s="56">
        <v>16129.47</v>
      </c>
      <c r="F329" s="56">
        <v>16069.85</v>
      </c>
      <c r="G329" s="56">
        <v>15733.96</v>
      </c>
      <c r="H329" s="56">
        <v>16435.169999999998</v>
      </c>
      <c r="I329" s="56">
        <v>15924.74</v>
      </c>
      <c r="J329" s="56">
        <v>15828.7</v>
      </c>
      <c r="K329" s="56">
        <v>15715.45</v>
      </c>
      <c r="L329" s="56">
        <v>15726.94</v>
      </c>
      <c r="M329" s="225"/>
      <c r="N329" s="225"/>
      <c r="O329" s="225"/>
      <c r="P329" s="225"/>
      <c r="Q329" s="228"/>
      <c r="R329" s="225"/>
      <c r="S329" s="225"/>
      <c r="T329" s="180"/>
      <c r="U329" s="180"/>
      <c r="V329" s="180"/>
      <c r="W329" s="180"/>
      <c r="X329" s="186"/>
      <c r="Y329" s="183"/>
    </row>
    <row r="330" spans="1:25" ht="26.6" customHeight="1" x14ac:dyDescent="0.3">
      <c r="A330" s="176"/>
      <c r="B330" s="226"/>
      <c r="C330" s="71" t="s">
        <v>123</v>
      </c>
      <c r="D330" s="71">
        <f t="shared" ref="D330:L330" si="106">IF(((D328="")*AND(D329="")),"",(D328-D329)*3)</f>
        <v>35581.530000000006</v>
      </c>
      <c r="E330" s="71">
        <f t="shared" si="106"/>
        <v>39015.93</v>
      </c>
      <c r="F330" s="71">
        <f t="shared" si="106"/>
        <v>39065.01</v>
      </c>
      <c r="G330" s="71">
        <f t="shared" si="106"/>
        <v>40196.910000000003</v>
      </c>
      <c r="H330" s="71">
        <f t="shared" si="106"/>
        <v>38372.820000000007</v>
      </c>
      <c r="I330" s="71">
        <f t="shared" si="106"/>
        <v>39942.420000000006</v>
      </c>
      <c r="J330" s="71">
        <f t="shared" si="106"/>
        <v>39922.350000000006</v>
      </c>
      <c r="K330" s="71">
        <f t="shared" si="106"/>
        <v>40232.46</v>
      </c>
      <c r="L330" s="71">
        <f t="shared" si="106"/>
        <v>40448.01</v>
      </c>
      <c r="M330" s="226"/>
      <c r="N330" s="226"/>
      <c r="O330" s="226"/>
      <c r="P330" s="226"/>
      <c r="Q330" s="229"/>
      <c r="R330" s="226"/>
      <c r="S330" s="226"/>
      <c r="T330" s="181"/>
      <c r="U330" s="181"/>
      <c r="V330" s="181"/>
      <c r="W330" s="181"/>
      <c r="X330" s="187"/>
      <c r="Y330" s="184"/>
    </row>
    <row r="331" spans="1:25" x14ac:dyDescent="0.3">
      <c r="A331" s="174">
        <v>43388</v>
      </c>
      <c r="B331" s="224" t="s">
        <v>124</v>
      </c>
      <c r="C331" s="71" t="s">
        <v>88</v>
      </c>
      <c r="D331" s="56">
        <v>29299.13</v>
      </c>
      <c r="E331" s="56">
        <v>29154.48</v>
      </c>
      <c r="F331" s="56">
        <v>29198.240000000002</v>
      </c>
      <c r="G331" s="56">
        <v>29146.02</v>
      </c>
      <c r="H331" s="56">
        <v>29251.43</v>
      </c>
      <c r="I331" s="56">
        <v>29221.75</v>
      </c>
      <c r="J331" s="56">
        <v>29151.97</v>
      </c>
      <c r="K331" s="56">
        <v>29177.96</v>
      </c>
      <c r="L331" s="56">
        <v>29291.77</v>
      </c>
      <c r="M331" s="224">
        <f>IF((L332=""),"",MAX(D333:L333))</f>
        <v>40414.380000000005</v>
      </c>
      <c r="N331" s="224">
        <f>IF(L332="","",MIN(D333:L333))</f>
        <v>35482.800000000003</v>
      </c>
      <c r="O331" s="224">
        <f>IF((L333=""),"",AVERAGE(D333:L333))</f>
        <v>38937.82</v>
      </c>
      <c r="P331" s="224">
        <f>IF((L332=""),"",((M331-N331)/(M331+N331))*100)</f>
        <v>6.4977117726903701</v>
      </c>
      <c r="Q331" s="227" t="str">
        <f>IF(L332="","",IF(P333&lt;20,(IF(O331&gt;19000,IF(O331&lt;49000,"Pass","Fail"),"Fail"))))</f>
        <v>Pass</v>
      </c>
      <c r="R331" s="224">
        <v>1340</v>
      </c>
      <c r="S331" s="224"/>
      <c r="T331" s="179"/>
      <c r="U331" s="179">
        <v>19000</v>
      </c>
      <c r="V331" s="179">
        <v>49000</v>
      </c>
      <c r="W331" s="179">
        <v>33000</v>
      </c>
      <c r="X331" s="185">
        <v>44000</v>
      </c>
      <c r="Y331" s="182">
        <v>20</v>
      </c>
    </row>
    <row r="332" spans="1:25" x14ac:dyDescent="0.3">
      <c r="A332" s="175"/>
      <c r="B332" s="225"/>
      <c r="C332" s="71" t="s">
        <v>89</v>
      </c>
      <c r="D332" s="56">
        <v>17471.53</v>
      </c>
      <c r="E332" s="56">
        <v>16281.96</v>
      </c>
      <c r="F332" s="56">
        <v>16151.27</v>
      </c>
      <c r="G332" s="56">
        <v>15836.79</v>
      </c>
      <c r="H332" s="56">
        <v>16463.62</v>
      </c>
      <c r="I332" s="56">
        <v>16164.41</v>
      </c>
      <c r="J332" s="56">
        <v>16016.66</v>
      </c>
      <c r="K332" s="56">
        <v>15872.74</v>
      </c>
      <c r="L332" s="56">
        <v>15820.31</v>
      </c>
      <c r="M332" s="225"/>
      <c r="N332" s="225"/>
      <c r="O332" s="225"/>
      <c r="P332" s="225"/>
      <c r="Q332" s="228"/>
      <c r="R332" s="225"/>
      <c r="S332" s="225"/>
      <c r="T332" s="180"/>
      <c r="U332" s="180"/>
      <c r="V332" s="180"/>
      <c r="W332" s="180"/>
      <c r="X332" s="186"/>
      <c r="Y332" s="183"/>
    </row>
    <row r="333" spans="1:25" ht="26.6" customHeight="1" x14ac:dyDescent="0.3">
      <c r="A333" s="176"/>
      <c r="B333" s="226"/>
      <c r="C333" s="71" t="s">
        <v>123</v>
      </c>
      <c r="D333" s="71">
        <f t="shared" ref="D333:L333" si="107">IF(((D331="")*AND(D332="")),"",(D331-D332)*3)</f>
        <v>35482.800000000003</v>
      </c>
      <c r="E333" s="71">
        <f t="shared" si="107"/>
        <v>38617.56</v>
      </c>
      <c r="F333" s="71">
        <f t="shared" si="107"/>
        <v>39140.910000000003</v>
      </c>
      <c r="G333" s="71">
        <f t="shared" si="107"/>
        <v>39927.69</v>
      </c>
      <c r="H333" s="71">
        <f t="shared" si="107"/>
        <v>38363.430000000008</v>
      </c>
      <c r="I333" s="71">
        <f t="shared" si="107"/>
        <v>39172.020000000004</v>
      </c>
      <c r="J333" s="71">
        <f t="shared" si="107"/>
        <v>39405.930000000008</v>
      </c>
      <c r="K333" s="71">
        <f t="shared" si="107"/>
        <v>39915.659999999996</v>
      </c>
      <c r="L333" s="71">
        <f t="shared" si="107"/>
        <v>40414.380000000005</v>
      </c>
      <c r="M333" s="226"/>
      <c r="N333" s="226"/>
      <c r="O333" s="226"/>
      <c r="P333" s="226"/>
      <c r="Q333" s="229"/>
      <c r="R333" s="226"/>
      <c r="S333" s="226"/>
      <c r="T333" s="181"/>
      <c r="U333" s="181"/>
      <c r="V333" s="181"/>
      <c r="W333" s="181"/>
      <c r="X333" s="187"/>
      <c r="Y333" s="184"/>
    </row>
    <row r="334" spans="1:25" x14ac:dyDescent="0.3">
      <c r="A334" s="174">
        <v>43391</v>
      </c>
      <c r="B334" s="224" t="s">
        <v>124</v>
      </c>
      <c r="C334" s="71" t="s">
        <v>88</v>
      </c>
      <c r="D334" s="56">
        <v>29343.68</v>
      </c>
      <c r="E334" s="56">
        <v>29231.51</v>
      </c>
      <c r="F334" s="56">
        <v>29228.639999999999</v>
      </c>
      <c r="G334" s="56">
        <v>29237.54</v>
      </c>
      <c r="H334" s="56">
        <v>29315.18</v>
      </c>
      <c r="I334" s="56">
        <v>29328.22</v>
      </c>
      <c r="J334" s="56">
        <v>29231.25</v>
      </c>
      <c r="K334" s="56">
        <v>29225.94</v>
      </c>
      <c r="L334" s="56">
        <v>29323.98</v>
      </c>
      <c r="M334" s="224">
        <f>IF((L335=""),"",MAX(D336:L336))</f>
        <v>40459.14</v>
      </c>
      <c r="N334" s="224">
        <f>IF(L335="","",MIN(D336:L336))</f>
        <v>35763.660000000003</v>
      </c>
      <c r="O334" s="224">
        <f>IF((L336=""),"",AVERAGE(D336:L336))</f>
        <v>39333.643333333341</v>
      </c>
      <c r="P334" s="224">
        <f>IF((L335=""),"",((M334-N334)/(M334+N334))*100)</f>
        <v>6.1602040334388084</v>
      </c>
      <c r="Q334" s="227" t="str">
        <f>IF(L335="","",IF(P336&lt;20,(IF(O334&gt;19000,IF(O334&lt;49000,"Pass","Fail"),"Fail"))))</f>
        <v>Pass</v>
      </c>
      <c r="R334" s="224">
        <v>102</v>
      </c>
      <c r="S334" s="224" t="s">
        <v>205</v>
      </c>
      <c r="T334" s="179"/>
      <c r="U334" s="179">
        <v>19000</v>
      </c>
      <c r="V334" s="179">
        <v>49000</v>
      </c>
      <c r="W334" s="179">
        <v>33000</v>
      </c>
      <c r="X334" s="185">
        <v>44000</v>
      </c>
      <c r="Y334" s="182">
        <v>20</v>
      </c>
    </row>
    <row r="335" spans="1:25" x14ac:dyDescent="0.3">
      <c r="A335" s="175"/>
      <c r="B335" s="225"/>
      <c r="C335" s="71" t="s">
        <v>89</v>
      </c>
      <c r="D335" s="56">
        <v>17422.46</v>
      </c>
      <c r="E335" s="56">
        <v>16238.51</v>
      </c>
      <c r="F335" s="56">
        <v>16109.48</v>
      </c>
      <c r="G335" s="56">
        <v>15809.31</v>
      </c>
      <c r="H335" s="56">
        <v>16413.560000000001</v>
      </c>
      <c r="I335" s="56">
        <v>15896.56</v>
      </c>
      <c r="J335" s="56">
        <v>15868.61</v>
      </c>
      <c r="K335" s="56">
        <v>15868.92</v>
      </c>
      <c r="L335" s="56">
        <v>15837.6</v>
      </c>
      <c r="M335" s="225"/>
      <c r="N335" s="225"/>
      <c r="O335" s="225"/>
      <c r="P335" s="225"/>
      <c r="Q335" s="228"/>
      <c r="R335" s="225"/>
      <c r="S335" s="225"/>
      <c r="T335" s="180"/>
      <c r="U335" s="180"/>
      <c r="V335" s="180"/>
      <c r="W335" s="180"/>
      <c r="X335" s="186"/>
      <c r="Y335" s="183"/>
    </row>
    <row r="336" spans="1:25" ht="26.6" customHeight="1" x14ac:dyDescent="0.3">
      <c r="A336" s="176"/>
      <c r="B336" s="226"/>
      <c r="C336" s="71" t="s">
        <v>123</v>
      </c>
      <c r="D336" s="71">
        <f t="shared" ref="D336:L336" si="108">IF(((D334="")*AND(D335="")),"",(D334-D335)*3)</f>
        <v>35763.660000000003</v>
      </c>
      <c r="E336" s="71">
        <f t="shared" si="108"/>
        <v>38978.999999999993</v>
      </c>
      <c r="F336" s="71">
        <f t="shared" si="108"/>
        <v>39357.479999999996</v>
      </c>
      <c r="G336" s="71">
        <f t="shared" si="108"/>
        <v>40284.69</v>
      </c>
      <c r="H336" s="71">
        <f t="shared" si="108"/>
        <v>38704.86</v>
      </c>
      <c r="I336" s="71">
        <f t="shared" si="108"/>
        <v>40294.980000000003</v>
      </c>
      <c r="J336" s="71">
        <f t="shared" si="108"/>
        <v>40087.919999999998</v>
      </c>
      <c r="K336" s="71">
        <f t="shared" si="108"/>
        <v>40071.06</v>
      </c>
      <c r="L336" s="71">
        <f t="shared" si="108"/>
        <v>40459.14</v>
      </c>
      <c r="M336" s="226"/>
      <c r="N336" s="226"/>
      <c r="O336" s="226"/>
      <c r="P336" s="226"/>
      <c r="Q336" s="229"/>
      <c r="R336" s="226"/>
      <c r="S336" s="226"/>
      <c r="T336" s="181"/>
      <c r="U336" s="181"/>
      <c r="V336" s="181"/>
      <c r="W336" s="181"/>
      <c r="X336" s="187"/>
      <c r="Y336" s="184"/>
    </row>
    <row r="337" spans="1:25" x14ac:dyDescent="0.3">
      <c r="A337" s="174">
        <v>43394</v>
      </c>
      <c r="B337" s="224" t="s">
        <v>124</v>
      </c>
      <c r="C337" s="71" t="s">
        <v>88</v>
      </c>
      <c r="D337" s="56">
        <v>27459.33</v>
      </c>
      <c r="E337" s="56">
        <v>27459.33</v>
      </c>
      <c r="F337" s="56">
        <v>27567.06</v>
      </c>
      <c r="G337" s="56">
        <v>27498.52</v>
      </c>
      <c r="H337" s="56">
        <v>27500.95</v>
      </c>
      <c r="I337" s="56">
        <v>27487.79</v>
      </c>
      <c r="J337" s="56">
        <v>27477.4</v>
      </c>
      <c r="K337" s="56">
        <v>27466.12</v>
      </c>
      <c r="L337" s="56">
        <v>27491.63</v>
      </c>
      <c r="M337" s="224">
        <f>IF((L338=""),"",MAX(D339:L339))</f>
        <v>40352.82</v>
      </c>
      <c r="N337" s="224">
        <f>IF(L338="","",MIN(D339:L339))</f>
        <v>35884.680000000008</v>
      </c>
      <c r="O337" s="224">
        <f>IF((L339=""),"",AVERAGE(D339:L339))</f>
        <v>38778.223333333335</v>
      </c>
      <c r="P337" s="224">
        <f>IF((L338=""),"",((M337-N337)/(M337+N337))*100)</f>
        <v>5.8608165272995469</v>
      </c>
      <c r="Q337" s="227" t="str">
        <f>IF(L338="","",IF(P339&lt;20,(IF(O337&gt;19000,IF(O337&lt;49000,"Pass","Fail"),"Fail"))))</f>
        <v>Pass</v>
      </c>
      <c r="R337" s="224">
        <v>121</v>
      </c>
      <c r="S337" s="224" t="s">
        <v>136</v>
      </c>
      <c r="T337" s="179"/>
      <c r="U337" s="179">
        <v>19000</v>
      </c>
      <c r="V337" s="179">
        <v>49000</v>
      </c>
      <c r="W337" s="179">
        <v>33000</v>
      </c>
      <c r="X337" s="185">
        <v>44000</v>
      </c>
      <c r="Y337" s="182">
        <v>20</v>
      </c>
    </row>
    <row r="338" spans="1:25" x14ac:dyDescent="0.3">
      <c r="A338" s="175"/>
      <c r="B338" s="225"/>
      <c r="C338" s="71" t="s">
        <v>89</v>
      </c>
      <c r="D338" s="56">
        <v>15497.77</v>
      </c>
      <c r="E338" s="56">
        <v>14707.35</v>
      </c>
      <c r="F338" s="56">
        <v>14806.66</v>
      </c>
      <c r="G338" s="56">
        <v>14383.7</v>
      </c>
      <c r="H338" s="56">
        <v>14670.92</v>
      </c>
      <c r="I338" s="56">
        <v>14036.85</v>
      </c>
      <c r="J338" s="56">
        <v>14406.43</v>
      </c>
      <c r="K338" s="56">
        <v>14425.43</v>
      </c>
      <c r="L338" s="56">
        <v>14138.35</v>
      </c>
      <c r="M338" s="225"/>
      <c r="N338" s="225"/>
      <c r="O338" s="225"/>
      <c r="P338" s="225"/>
      <c r="Q338" s="228"/>
      <c r="R338" s="225"/>
      <c r="S338" s="225"/>
      <c r="T338" s="180"/>
      <c r="U338" s="180"/>
      <c r="V338" s="180"/>
      <c r="W338" s="180"/>
      <c r="X338" s="186"/>
      <c r="Y338" s="183"/>
    </row>
    <row r="339" spans="1:25" ht="26.6" customHeight="1" x14ac:dyDescent="0.3">
      <c r="A339" s="176"/>
      <c r="B339" s="226"/>
      <c r="C339" s="71" t="s">
        <v>123</v>
      </c>
      <c r="D339" s="71">
        <f t="shared" ref="D339:L339" si="109">IF(((D337="")*AND(D338="")),"",(D337-D338)*3)</f>
        <v>35884.680000000008</v>
      </c>
      <c r="E339" s="71">
        <f t="shared" si="109"/>
        <v>38255.94</v>
      </c>
      <c r="F339" s="71">
        <f t="shared" si="109"/>
        <v>38281.200000000004</v>
      </c>
      <c r="G339" s="71">
        <f t="shared" si="109"/>
        <v>39344.46</v>
      </c>
      <c r="H339" s="71">
        <f t="shared" si="109"/>
        <v>38490.090000000004</v>
      </c>
      <c r="I339" s="71">
        <f t="shared" si="109"/>
        <v>40352.82</v>
      </c>
      <c r="J339" s="71">
        <f t="shared" si="109"/>
        <v>39212.910000000003</v>
      </c>
      <c r="K339" s="71">
        <f t="shared" si="109"/>
        <v>39122.069999999992</v>
      </c>
      <c r="L339" s="71">
        <f t="shared" si="109"/>
        <v>40059.840000000004</v>
      </c>
      <c r="M339" s="226"/>
      <c r="N339" s="226"/>
      <c r="O339" s="226"/>
      <c r="P339" s="226"/>
      <c r="Q339" s="229"/>
      <c r="R339" s="226"/>
      <c r="S339" s="226"/>
      <c r="T339" s="181"/>
      <c r="U339" s="181"/>
      <c r="V339" s="181"/>
      <c r="W339" s="181"/>
      <c r="X339" s="187"/>
      <c r="Y339" s="184"/>
    </row>
    <row r="340" spans="1:25" x14ac:dyDescent="0.3">
      <c r="A340" s="174">
        <v>43397</v>
      </c>
      <c r="B340" s="224" t="s">
        <v>124</v>
      </c>
      <c r="C340" s="71" t="s">
        <v>88</v>
      </c>
      <c r="D340" s="56">
        <v>27471.05</v>
      </c>
      <c r="E340" s="56">
        <v>27495.14</v>
      </c>
      <c r="F340" s="56">
        <v>27531.63</v>
      </c>
      <c r="G340" s="56">
        <v>27482.11</v>
      </c>
      <c r="H340" s="56">
        <v>27471.49</v>
      </c>
      <c r="I340" s="56">
        <v>27458.62</v>
      </c>
      <c r="J340" s="56">
        <v>27492.14</v>
      </c>
      <c r="K340" s="56">
        <v>27443.27</v>
      </c>
      <c r="L340" s="56">
        <v>27472.92</v>
      </c>
      <c r="M340" s="224">
        <f>IF((L341=""),"",MAX(D342:L342))</f>
        <v>40953.269999999997</v>
      </c>
      <c r="N340" s="224">
        <f>IF(L341="","",MIN(D342:L342))</f>
        <v>36101.520000000004</v>
      </c>
      <c r="O340" s="224">
        <f>IF((L342=""),"",AVERAGE(D342:L342))</f>
        <v>39813.906666666669</v>
      </c>
      <c r="P340" s="224">
        <f>IF((L341=""),"",((M340-N340)/(M340+N340))*100)</f>
        <v>6.2964937027276209</v>
      </c>
      <c r="Q340" s="227" t="str">
        <f>IF(L341="","",IF(P342&lt;20,(IF(O340&gt;19000,IF(O340&lt;49000,"Pass","Fail"),"Fail"))))</f>
        <v>Pass</v>
      </c>
      <c r="R340" s="224">
        <v>121</v>
      </c>
      <c r="S340" s="224" t="s">
        <v>137</v>
      </c>
      <c r="T340" s="179"/>
      <c r="U340" s="179">
        <v>19000</v>
      </c>
      <c r="V340" s="179">
        <v>49000</v>
      </c>
      <c r="W340" s="179">
        <v>33000</v>
      </c>
      <c r="X340" s="185">
        <v>44000</v>
      </c>
      <c r="Y340" s="182">
        <v>20</v>
      </c>
    </row>
    <row r="341" spans="1:25" x14ac:dyDescent="0.3">
      <c r="A341" s="175"/>
      <c r="B341" s="225"/>
      <c r="C341" s="71" t="s">
        <v>89</v>
      </c>
      <c r="D341" s="56">
        <v>15437.21</v>
      </c>
      <c r="E341" s="56">
        <v>14345.35</v>
      </c>
      <c r="F341" s="56">
        <v>14243.05</v>
      </c>
      <c r="G341" s="56">
        <v>13861.57</v>
      </c>
      <c r="H341" s="56">
        <v>14346.85</v>
      </c>
      <c r="I341" s="56">
        <v>13851.31</v>
      </c>
      <c r="J341" s="56">
        <v>13961.67</v>
      </c>
      <c r="K341" s="56">
        <v>14007.81</v>
      </c>
      <c r="L341" s="56">
        <v>13821.83</v>
      </c>
      <c r="M341" s="225"/>
      <c r="N341" s="225"/>
      <c r="O341" s="225"/>
      <c r="P341" s="225"/>
      <c r="Q341" s="228"/>
      <c r="R341" s="225"/>
      <c r="S341" s="225"/>
      <c r="T341" s="180"/>
      <c r="U341" s="180"/>
      <c r="V341" s="180"/>
      <c r="W341" s="180"/>
      <c r="X341" s="186"/>
      <c r="Y341" s="183"/>
    </row>
    <row r="342" spans="1:25" ht="26.6" customHeight="1" x14ac:dyDescent="0.3">
      <c r="A342" s="176"/>
      <c r="B342" s="226"/>
      <c r="C342" s="71" t="s">
        <v>123</v>
      </c>
      <c r="D342" s="71">
        <f t="shared" ref="D342:L342" si="110">IF(((D340="")*AND(D341="")),"",(D340-D341)*3)</f>
        <v>36101.520000000004</v>
      </c>
      <c r="E342" s="71">
        <f t="shared" si="110"/>
        <v>39449.369999999995</v>
      </c>
      <c r="F342" s="71">
        <f t="shared" si="110"/>
        <v>39865.740000000005</v>
      </c>
      <c r="G342" s="71">
        <f t="shared" si="110"/>
        <v>40861.620000000003</v>
      </c>
      <c r="H342" s="71">
        <f t="shared" si="110"/>
        <v>39373.920000000006</v>
      </c>
      <c r="I342" s="71">
        <f t="shared" si="110"/>
        <v>40821.93</v>
      </c>
      <c r="J342" s="71">
        <f t="shared" si="110"/>
        <v>40591.409999999996</v>
      </c>
      <c r="K342" s="71">
        <f t="shared" si="110"/>
        <v>40306.380000000005</v>
      </c>
      <c r="L342" s="71">
        <f t="shared" si="110"/>
        <v>40953.269999999997</v>
      </c>
      <c r="M342" s="226"/>
      <c r="N342" s="226"/>
      <c r="O342" s="226"/>
      <c r="P342" s="226"/>
      <c r="Q342" s="229"/>
      <c r="R342" s="226"/>
      <c r="S342" s="226"/>
      <c r="T342" s="181"/>
      <c r="U342" s="181"/>
      <c r="V342" s="181"/>
      <c r="W342" s="181"/>
      <c r="X342" s="187"/>
      <c r="Y342" s="184"/>
    </row>
    <row r="343" spans="1:25" x14ac:dyDescent="0.3">
      <c r="A343" s="174">
        <v>43401</v>
      </c>
      <c r="B343" s="224" t="s">
        <v>124</v>
      </c>
      <c r="C343" s="71" t="s">
        <v>88</v>
      </c>
      <c r="D343" s="56">
        <v>29213.27</v>
      </c>
      <c r="E343" s="56">
        <v>26925.17</v>
      </c>
      <c r="F343" s="56">
        <v>29168.63</v>
      </c>
      <c r="G343" s="56">
        <v>29152.799999999999</v>
      </c>
      <c r="H343" s="56">
        <v>29228</v>
      </c>
      <c r="I343" s="56">
        <v>29240.45</v>
      </c>
      <c r="J343" s="56">
        <v>29128.81</v>
      </c>
      <c r="K343" s="56">
        <v>29156.16</v>
      </c>
      <c r="L343" s="56">
        <v>29242.44</v>
      </c>
      <c r="M343" s="224">
        <f>IF((L344=""),"",MAX(D345:L345))</f>
        <v>40270.739999999991</v>
      </c>
      <c r="N343" s="224">
        <f>IF(L344="","",MIN(D345:L345))</f>
        <v>32169.779999999995</v>
      </c>
      <c r="O343" s="224">
        <f>IF((L345=""),"",AVERAGE(D345:L345))</f>
        <v>38116.5</v>
      </c>
      <c r="P343" s="224">
        <f>IF((L344=""),"",((M343-N343)/(M343+N343))*100)</f>
        <v>11.18291254673489</v>
      </c>
      <c r="Q343" s="227" t="str">
        <f>IF(L344="","",IF(P345&lt;20,(IF(O343&gt;19000,IF(O343&lt;49000,"Pass","Fail"),"Fail"))))</f>
        <v>Pass</v>
      </c>
      <c r="R343" s="224">
        <v>1335</v>
      </c>
      <c r="S343" s="224" t="s">
        <v>138</v>
      </c>
      <c r="T343" s="179"/>
      <c r="U343" s="179">
        <v>19000</v>
      </c>
      <c r="V343" s="179">
        <v>49000</v>
      </c>
      <c r="W343" s="179">
        <v>33000</v>
      </c>
      <c r="X343" s="185">
        <v>44000</v>
      </c>
      <c r="Y343" s="182">
        <v>20</v>
      </c>
    </row>
    <row r="344" spans="1:25" x14ac:dyDescent="0.3">
      <c r="A344" s="175"/>
      <c r="B344" s="225"/>
      <c r="C344" s="71" t="s">
        <v>89</v>
      </c>
      <c r="D344" s="56">
        <v>17442.849999999999</v>
      </c>
      <c r="E344" s="56">
        <v>16201.91</v>
      </c>
      <c r="F344" s="56">
        <v>16085.13</v>
      </c>
      <c r="G344" s="56">
        <v>15837.21</v>
      </c>
      <c r="H344" s="56">
        <v>16537.849999999999</v>
      </c>
      <c r="I344" s="56">
        <v>16332.17</v>
      </c>
      <c r="J344" s="56">
        <v>16040.39</v>
      </c>
      <c r="K344" s="56">
        <v>15809.86</v>
      </c>
      <c r="L344" s="56">
        <v>15818.86</v>
      </c>
      <c r="M344" s="225"/>
      <c r="N344" s="225"/>
      <c r="O344" s="225"/>
      <c r="P344" s="225"/>
      <c r="Q344" s="228"/>
      <c r="R344" s="225"/>
      <c r="S344" s="225"/>
      <c r="T344" s="180"/>
      <c r="U344" s="180"/>
      <c r="V344" s="180"/>
      <c r="W344" s="180"/>
      <c r="X344" s="186"/>
      <c r="Y344" s="183"/>
    </row>
    <row r="345" spans="1:25" ht="26.6" customHeight="1" x14ac:dyDescent="0.3">
      <c r="A345" s="176"/>
      <c r="B345" s="226"/>
      <c r="C345" s="71" t="s">
        <v>123</v>
      </c>
      <c r="D345" s="71">
        <f t="shared" ref="D345:L345" si="111">IF(((D343="")*AND(D344="")),"",(D343-D344)*3)</f>
        <v>35311.260000000009</v>
      </c>
      <c r="E345" s="71">
        <f t="shared" si="111"/>
        <v>32169.779999999995</v>
      </c>
      <c r="F345" s="71">
        <f t="shared" si="111"/>
        <v>39250.500000000007</v>
      </c>
      <c r="G345" s="71">
        <f t="shared" si="111"/>
        <v>39946.770000000004</v>
      </c>
      <c r="H345" s="71">
        <f t="shared" si="111"/>
        <v>38070.450000000004</v>
      </c>
      <c r="I345" s="71">
        <f t="shared" si="111"/>
        <v>38724.840000000004</v>
      </c>
      <c r="J345" s="71">
        <f t="shared" si="111"/>
        <v>39265.260000000009</v>
      </c>
      <c r="K345" s="71">
        <f t="shared" si="111"/>
        <v>40038.899999999994</v>
      </c>
      <c r="L345" s="71">
        <f t="shared" si="111"/>
        <v>40270.739999999991</v>
      </c>
      <c r="M345" s="226"/>
      <c r="N345" s="226"/>
      <c r="O345" s="226"/>
      <c r="P345" s="226"/>
      <c r="Q345" s="229"/>
      <c r="R345" s="226"/>
      <c r="S345" s="226"/>
      <c r="T345" s="181"/>
      <c r="U345" s="181"/>
      <c r="V345" s="181"/>
      <c r="W345" s="181"/>
      <c r="X345" s="187"/>
      <c r="Y345" s="184"/>
    </row>
    <row r="346" spans="1:25" x14ac:dyDescent="0.3">
      <c r="A346" s="174">
        <v>43404</v>
      </c>
      <c r="B346" s="224" t="s">
        <v>124</v>
      </c>
      <c r="C346" s="71" t="s">
        <v>88</v>
      </c>
      <c r="D346" s="56">
        <v>29343.16</v>
      </c>
      <c r="E346" s="56">
        <v>29265.46</v>
      </c>
      <c r="F346" s="56">
        <v>29242.11</v>
      </c>
      <c r="G346" s="56">
        <v>29236.75</v>
      </c>
      <c r="H346" s="56">
        <v>29289.37</v>
      </c>
      <c r="I346" s="56">
        <v>29309.72</v>
      </c>
      <c r="J346" s="56">
        <v>29223.43</v>
      </c>
      <c r="K346" s="56">
        <v>29249.41</v>
      </c>
      <c r="L346" s="56">
        <v>29343.62</v>
      </c>
      <c r="M346" s="224">
        <f>IF((L347=""),"",MAX(D348:L348))</f>
        <v>40863.06</v>
      </c>
      <c r="N346" s="224">
        <f>IF(L347="","",MIN(D348:L348))</f>
        <v>36103.86</v>
      </c>
      <c r="O346" s="224">
        <f>IF((L348=""),"",AVERAGE(D348:L348))</f>
        <v>39774.513333333336</v>
      </c>
      <c r="P346" s="224">
        <f>IF((L347=""),"",((M346-N346)/(M346+N346))*100)</f>
        <v>6.1834356889946971</v>
      </c>
      <c r="Q346" s="227" t="str">
        <f>IF(L347="","",IF(P348&lt;20,(IF(O346&gt;19000,IF(O346&lt;49000,"Pass","Fail"),"Fail"))))</f>
        <v>Pass</v>
      </c>
      <c r="R346" s="224">
        <v>64</v>
      </c>
      <c r="S346" s="224" t="s">
        <v>139</v>
      </c>
      <c r="T346" s="179"/>
      <c r="U346" s="179">
        <v>19000</v>
      </c>
      <c r="V346" s="179">
        <v>49000</v>
      </c>
      <c r="W346" s="179">
        <v>33000</v>
      </c>
      <c r="X346" s="185">
        <v>44000</v>
      </c>
      <c r="Y346" s="182">
        <v>20</v>
      </c>
    </row>
    <row r="347" spans="1:25" x14ac:dyDescent="0.3">
      <c r="A347" s="175"/>
      <c r="B347" s="225"/>
      <c r="C347" s="71" t="s">
        <v>89</v>
      </c>
      <c r="D347" s="56">
        <v>17308.54</v>
      </c>
      <c r="E347" s="56">
        <v>16026.08</v>
      </c>
      <c r="F347" s="56">
        <v>15861.03</v>
      </c>
      <c r="G347" s="56">
        <v>15615.73</v>
      </c>
      <c r="H347" s="56">
        <v>16355.79</v>
      </c>
      <c r="I347" s="56">
        <v>15853.09</v>
      </c>
      <c r="J347" s="56">
        <v>15695.3</v>
      </c>
      <c r="K347" s="56">
        <v>15706.12</v>
      </c>
      <c r="L347" s="56">
        <v>15757.81</v>
      </c>
      <c r="M347" s="225"/>
      <c r="N347" s="225"/>
      <c r="O347" s="225"/>
      <c r="P347" s="225"/>
      <c r="Q347" s="228"/>
      <c r="R347" s="225"/>
      <c r="S347" s="225"/>
      <c r="T347" s="180"/>
      <c r="U347" s="180"/>
      <c r="V347" s="180"/>
      <c r="W347" s="180"/>
      <c r="X347" s="186"/>
      <c r="Y347" s="183"/>
    </row>
    <row r="348" spans="1:25" ht="26.6" customHeight="1" x14ac:dyDescent="0.3">
      <c r="A348" s="176"/>
      <c r="B348" s="226"/>
      <c r="C348" s="71" t="s">
        <v>123</v>
      </c>
      <c r="D348" s="71">
        <f t="shared" ref="D348:L348" si="112">IF(((D346="")*AND(D347="")),"",(D346-D347)*3)</f>
        <v>36103.86</v>
      </c>
      <c r="E348" s="71">
        <f t="shared" si="112"/>
        <v>39718.14</v>
      </c>
      <c r="F348" s="71">
        <f t="shared" si="112"/>
        <v>40143.24</v>
      </c>
      <c r="G348" s="71">
        <f t="shared" si="112"/>
        <v>40863.06</v>
      </c>
      <c r="H348" s="71">
        <f t="shared" si="112"/>
        <v>38800.739999999991</v>
      </c>
      <c r="I348" s="71">
        <f t="shared" si="112"/>
        <v>40369.89</v>
      </c>
      <c r="J348" s="71">
        <f t="shared" si="112"/>
        <v>40584.39</v>
      </c>
      <c r="K348" s="71">
        <f t="shared" si="112"/>
        <v>40629.869999999995</v>
      </c>
      <c r="L348" s="71">
        <f t="shared" si="112"/>
        <v>40757.43</v>
      </c>
      <c r="M348" s="226"/>
      <c r="N348" s="226"/>
      <c r="O348" s="226"/>
      <c r="P348" s="226"/>
      <c r="Q348" s="229"/>
      <c r="R348" s="226"/>
      <c r="S348" s="226"/>
      <c r="T348" s="181"/>
      <c r="U348" s="181"/>
      <c r="V348" s="181"/>
      <c r="W348" s="181"/>
      <c r="X348" s="187"/>
      <c r="Y348" s="184"/>
    </row>
    <row r="349" spans="1:25" x14ac:dyDescent="0.3">
      <c r="A349" s="174">
        <v>43404</v>
      </c>
      <c r="B349" s="224" t="s">
        <v>124</v>
      </c>
      <c r="C349" s="71" t="s">
        <v>88</v>
      </c>
      <c r="D349" s="56">
        <v>29343.17</v>
      </c>
      <c r="E349" s="56">
        <v>29260.12</v>
      </c>
      <c r="F349" s="56">
        <v>29266.799999999999</v>
      </c>
      <c r="G349" s="56">
        <v>29257.84</v>
      </c>
      <c r="H349" s="56">
        <v>29317.65</v>
      </c>
      <c r="I349" s="56">
        <v>29361.79</v>
      </c>
      <c r="J349" s="56">
        <v>29280.48</v>
      </c>
      <c r="K349" s="56">
        <v>29275.22</v>
      </c>
      <c r="L349" s="56">
        <v>29341.18</v>
      </c>
      <c r="M349" s="224">
        <f>IF((L350=""),"",MAX(D351:L351))</f>
        <v>40853.340000000004</v>
      </c>
      <c r="N349" s="224">
        <f>IF(L350="","",MIN(D351:L351))</f>
        <v>36039.75</v>
      </c>
      <c r="O349" s="224">
        <f>IF((L351=""),"",AVERAGE(D351:L351))</f>
        <v>39748.933333333334</v>
      </c>
      <c r="P349" s="224">
        <f>IF((L350=""),"",((M349-N349)/(M349+N349))*100)</f>
        <v>6.2601073776590379</v>
      </c>
      <c r="Q349" s="227" t="str">
        <f>IF(L350="","",IF(P351&lt;20,(IF(O349&gt;19000,IF(O349&lt;49000,"Pass","Fail"),"Fail"))))</f>
        <v>Pass</v>
      </c>
      <c r="R349" s="224">
        <v>1335</v>
      </c>
      <c r="S349" s="224" t="s">
        <v>140</v>
      </c>
      <c r="T349" s="179"/>
      <c r="U349" s="179">
        <v>19000</v>
      </c>
      <c r="V349" s="179">
        <v>49000</v>
      </c>
      <c r="W349" s="179">
        <v>33000</v>
      </c>
      <c r="X349" s="185">
        <v>44000</v>
      </c>
      <c r="Y349" s="182">
        <v>20</v>
      </c>
    </row>
    <row r="350" spans="1:25" x14ac:dyDescent="0.3">
      <c r="A350" s="175"/>
      <c r="B350" s="225"/>
      <c r="C350" s="71" t="s">
        <v>89</v>
      </c>
      <c r="D350" s="56">
        <v>17329.919999999998</v>
      </c>
      <c r="E350" s="56">
        <v>16102.84</v>
      </c>
      <c r="F350" s="56">
        <v>15941.33</v>
      </c>
      <c r="G350" s="56">
        <v>15640.06</v>
      </c>
      <c r="H350" s="56">
        <v>16339.96</v>
      </c>
      <c r="I350" s="56">
        <v>15923.14</v>
      </c>
      <c r="J350" s="56">
        <v>15731.26</v>
      </c>
      <c r="K350" s="56">
        <v>15716.58</v>
      </c>
      <c r="L350" s="56">
        <v>15732.36</v>
      </c>
      <c r="M350" s="225"/>
      <c r="N350" s="225"/>
      <c r="O350" s="225"/>
      <c r="P350" s="225"/>
      <c r="Q350" s="228"/>
      <c r="R350" s="225"/>
      <c r="S350" s="225"/>
      <c r="T350" s="180"/>
      <c r="U350" s="180"/>
      <c r="V350" s="180"/>
      <c r="W350" s="180"/>
      <c r="X350" s="186"/>
      <c r="Y350" s="183"/>
    </row>
    <row r="351" spans="1:25" ht="26.6" customHeight="1" x14ac:dyDescent="0.3">
      <c r="A351" s="176"/>
      <c r="B351" s="226"/>
      <c r="C351" s="71" t="s">
        <v>123</v>
      </c>
      <c r="D351" s="71">
        <f t="shared" ref="D351:L351" si="113">IF(((D349="")*AND(D350="")),"",(D349-D350)*3)</f>
        <v>36039.75</v>
      </c>
      <c r="E351" s="71">
        <f t="shared" si="113"/>
        <v>39471.839999999997</v>
      </c>
      <c r="F351" s="71">
        <f t="shared" si="113"/>
        <v>39976.409999999996</v>
      </c>
      <c r="G351" s="71">
        <f t="shared" si="113"/>
        <v>40853.340000000004</v>
      </c>
      <c r="H351" s="71">
        <f t="shared" si="113"/>
        <v>38933.070000000007</v>
      </c>
      <c r="I351" s="71">
        <f t="shared" si="113"/>
        <v>40315.950000000004</v>
      </c>
      <c r="J351" s="71">
        <f t="shared" si="113"/>
        <v>40647.659999999996</v>
      </c>
      <c r="K351" s="71">
        <f t="shared" si="113"/>
        <v>40675.920000000006</v>
      </c>
      <c r="L351" s="71">
        <f t="shared" si="113"/>
        <v>40826.46</v>
      </c>
      <c r="M351" s="226"/>
      <c r="N351" s="226"/>
      <c r="O351" s="226"/>
      <c r="P351" s="226"/>
      <c r="Q351" s="229"/>
      <c r="R351" s="226"/>
      <c r="S351" s="226"/>
      <c r="T351" s="181"/>
      <c r="U351" s="181"/>
      <c r="V351" s="181"/>
      <c r="W351" s="181"/>
      <c r="X351" s="187"/>
      <c r="Y351" s="184"/>
    </row>
    <row r="352" spans="1:25" x14ac:dyDescent="0.3">
      <c r="A352" s="174">
        <v>43408</v>
      </c>
      <c r="B352" s="224" t="s">
        <v>124</v>
      </c>
      <c r="C352" s="71" t="s">
        <v>88</v>
      </c>
      <c r="D352" s="56">
        <v>27452.63</v>
      </c>
      <c r="E352" s="56">
        <v>27415.279999999999</v>
      </c>
      <c r="F352" s="56">
        <v>27452.04</v>
      </c>
      <c r="G352" s="56">
        <v>27431.38</v>
      </c>
      <c r="H352" s="56">
        <v>27459.53</v>
      </c>
      <c r="I352" s="56">
        <v>27409.17</v>
      </c>
      <c r="J352" s="56">
        <v>27407.88</v>
      </c>
      <c r="K352" s="56">
        <v>27405.09</v>
      </c>
      <c r="L352" s="56">
        <v>27458.61</v>
      </c>
      <c r="M352" s="224">
        <f>IF((L353=""),"",MAX(D354:L354))</f>
        <v>41157.000000000007</v>
      </c>
      <c r="N352" s="224">
        <f>IF(L353="","",MIN(D354:L354))</f>
        <v>35910.660000000003</v>
      </c>
      <c r="O352" s="224">
        <f>IF((L354=""),"",AVERAGE(D354:L354))</f>
        <v>39964.54</v>
      </c>
      <c r="P352" s="224">
        <f>IF((L353=""),"",((M352-N352)/(M352+N352))*100)</f>
        <v>6.8074468590327033</v>
      </c>
      <c r="Q352" s="227" t="str">
        <f>IF(L353="","",IF(P354&lt;20,(IF(O352&gt;19000,IF(O352&lt;49000,"Pass","Fail"),"Fail"))))</f>
        <v>Pass</v>
      </c>
      <c r="R352" s="224">
        <v>121</v>
      </c>
      <c r="S352" s="224" t="s">
        <v>141</v>
      </c>
      <c r="T352" s="179"/>
      <c r="U352" s="179">
        <v>19000</v>
      </c>
      <c r="V352" s="179">
        <v>49000</v>
      </c>
      <c r="W352" s="179">
        <v>33000</v>
      </c>
      <c r="X352" s="185">
        <v>44000</v>
      </c>
      <c r="Y352" s="182">
        <v>20</v>
      </c>
    </row>
    <row r="353" spans="1:25" x14ac:dyDescent="0.3">
      <c r="A353" s="175"/>
      <c r="B353" s="225"/>
      <c r="C353" s="71" t="s">
        <v>89</v>
      </c>
      <c r="D353" s="56">
        <v>15482.41</v>
      </c>
      <c r="E353" s="56">
        <v>14137.67</v>
      </c>
      <c r="F353" s="56">
        <v>13974.92</v>
      </c>
      <c r="G353" s="56">
        <v>13712.38</v>
      </c>
      <c r="H353" s="56">
        <v>14414.87</v>
      </c>
      <c r="I353" s="56">
        <v>13942.64</v>
      </c>
      <c r="J353" s="56">
        <v>13776.27</v>
      </c>
      <c r="K353" s="56">
        <v>13769.07</v>
      </c>
      <c r="L353" s="56">
        <v>13787.76</v>
      </c>
      <c r="M353" s="225"/>
      <c r="N353" s="225"/>
      <c r="O353" s="225"/>
      <c r="P353" s="225"/>
      <c r="Q353" s="228"/>
      <c r="R353" s="225"/>
      <c r="S353" s="225"/>
      <c r="T353" s="180"/>
      <c r="U353" s="180"/>
      <c r="V353" s="180"/>
      <c r="W353" s="180"/>
      <c r="X353" s="186"/>
      <c r="Y353" s="183"/>
    </row>
    <row r="354" spans="1:25" ht="26.6" customHeight="1" x14ac:dyDescent="0.3">
      <c r="A354" s="176"/>
      <c r="B354" s="226"/>
      <c r="C354" s="71" t="s">
        <v>123</v>
      </c>
      <c r="D354" s="71">
        <f t="shared" ref="D354:L354" si="114">IF(((D352="")*AND(D353="")),"",(D352-D353)*3)</f>
        <v>35910.660000000003</v>
      </c>
      <c r="E354" s="71">
        <f t="shared" si="114"/>
        <v>39832.829999999994</v>
      </c>
      <c r="F354" s="71">
        <f t="shared" si="114"/>
        <v>40431.360000000001</v>
      </c>
      <c r="G354" s="71">
        <f t="shared" si="114"/>
        <v>41157.000000000007</v>
      </c>
      <c r="H354" s="71">
        <f t="shared" si="114"/>
        <v>39133.979999999996</v>
      </c>
      <c r="I354" s="71">
        <f t="shared" si="114"/>
        <v>40399.589999999997</v>
      </c>
      <c r="J354" s="71">
        <f t="shared" si="114"/>
        <v>40894.83</v>
      </c>
      <c r="K354" s="71">
        <f t="shared" si="114"/>
        <v>40908.06</v>
      </c>
      <c r="L354" s="71">
        <f t="shared" si="114"/>
        <v>41012.550000000003</v>
      </c>
      <c r="M354" s="226"/>
      <c r="N354" s="226"/>
      <c r="O354" s="226"/>
      <c r="P354" s="226"/>
      <c r="Q354" s="229"/>
      <c r="R354" s="226"/>
      <c r="S354" s="226"/>
      <c r="T354" s="181"/>
      <c r="U354" s="181"/>
      <c r="V354" s="181"/>
      <c r="W354" s="181"/>
      <c r="X354" s="187"/>
      <c r="Y354" s="184"/>
    </row>
    <row r="355" spans="1:25" x14ac:dyDescent="0.3">
      <c r="A355" s="174">
        <v>43408</v>
      </c>
      <c r="B355" s="224" t="s">
        <v>124</v>
      </c>
      <c r="C355" s="71" t="s">
        <v>88</v>
      </c>
      <c r="D355" s="56">
        <v>29313.45</v>
      </c>
      <c r="E355" s="56">
        <v>29264.15</v>
      </c>
      <c r="F355" s="56">
        <v>29277.74</v>
      </c>
      <c r="G355" s="56">
        <v>29263.759999999998</v>
      </c>
      <c r="H355" s="56">
        <v>29328.9</v>
      </c>
      <c r="I355" s="56">
        <v>29340.959999999999</v>
      </c>
      <c r="J355" s="56">
        <v>29263.5</v>
      </c>
      <c r="K355" s="56">
        <v>29243.26</v>
      </c>
      <c r="L355" s="56">
        <v>29319.85</v>
      </c>
      <c r="M355" s="224">
        <f>IF((L356=""),"",MAX(D357:L357))</f>
        <v>39801.78</v>
      </c>
      <c r="N355" s="224">
        <f>IF(L356="","",MIN(D357:L357))</f>
        <v>34660.020000000004</v>
      </c>
      <c r="O355" s="224">
        <f>IF((L357=""),"",AVERAGE(D357:L357))</f>
        <v>38612.170000000006</v>
      </c>
      <c r="P355" s="224">
        <f>IF((L356=""),"",((M355-N355)/(M355+N355))*100)</f>
        <v>6.9052319444332459</v>
      </c>
      <c r="Q355" s="227" t="str">
        <f>IF(L356="","",IF(P357&lt;20,(IF(O355&gt;19000,IF(O355&lt;49000,"Pass","Fail"),"Fail"))))</f>
        <v>Pass</v>
      </c>
      <c r="R355" s="224">
        <v>1335</v>
      </c>
      <c r="S355" s="224" t="s">
        <v>141</v>
      </c>
      <c r="T355" s="179"/>
      <c r="U355" s="179">
        <v>19000</v>
      </c>
      <c r="V355" s="179">
        <v>49000</v>
      </c>
      <c r="W355" s="179">
        <v>33000</v>
      </c>
      <c r="X355" s="185">
        <v>44000</v>
      </c>
      <c r="Y355" s="182">
        <v>20</v>
      </c>
    </row>
    <row r="356" spans="1:25" x14ac:dyDescent="0.3">
      <c r="A356" s="175"/>
      <c r="B356" s="225"/>
      <c r="C356" s="71" t="s">
        <v>89</v>
      </c>
      <c r="D356" s="56">
        <v>17760.11</v>
      </c>
      <c r="E356" s="56">
        <v>16378.12</v>
      </c>
      <c r="F356" s="56">
        <v>16178.55</v>
      </c>
      <c r="G356" s="56">
        <v>15996.5</v>
      </c>
      <c r="H356" s="56">
        <v>16758.490000000002</v>
      </c>
      <c r="I356" s="56">
        <v>16370.43</v>
      </c>
      <c r="J356" s="56">
        <v>16015.5</v>
      </c>
      <c r="K356" s="56">
        <v>16065.03</v>
      </c>
      <c r="L356" s="56">
        <v>16256.33</v>
      </c>
      <c r="M356" s="225"/>
      <c r="N356" s="225"/>
      <c r="O356" s="225"/>
      <c r="P356" s="225"/>
      <c r="Q356" s="228"/>
      <c r="R356" s="225"/>
      <c r="S356" s="225"/>
      <c r="T356" s="180"/>
      <c r="U356" s="180"/>
      <c r="V356" s="180"/>
      <c r="W356" s="180"/>
      <c r="X356" s="186"/>
      <c r="Y356" s="183"/>
    </row>
    <row r="357" spans="1:25" ht="26.6" customHeight="1" x14ac:dyDescent="0.3">
      <c r="A357" s="176"/>
      <c r="B357" s="226"/>
      <c r="C357" s="71" t="s">
        <v>123</v>
      </c>
      <c r="D357" s="71">
        <f t="shared" ref="D357:L357" si="115">IF(((D355="")*AND(D356="")),"",(D355-D356)*3)</f>
        <v>34660.020000000004</v>
      </c>
      <c r="E357" s="71">
        <f t="shared" si="115"/>
        <v>38658.090000000004</v>
      </c>
      <c r="F357" s="71">
        <f t="shared" si="115"/>
        <v>39297.570000000007</v>
      </c>
      <c r="G357" s="71">
        <f t="shared" si="115"/>
        <v>39801.78</v>
      </c>
      <c r="H357" s="71">
        <f t="shared" si="115"/>
        <v>37711.229999999996</v>
      </c>
      <c r="I357" s="71">
        <f t="shared" si="115"/>
        <v>38911.589999999997</v>
      </c>
      <c r="J357" s="71">
        <f t="shared" si="115"/>
        <v>39744</v>
      </c>
      <c r="K357" s="71">
        <f t="shared" si="115"/>
        <v>39534.689999999995</v>
      </c>
      <c r="L357" s="71">
        <f t="shared" si="115"/>
        <v>39190.559999999998</v>
      </c>
      <c r="M357" s="226"/>
      <c r="N357" s="226"/>
      <c r="O357" s="226"/>
      <c r="P357" s="226"/>
      <c r="Q357" s="229"/>
      <c r="R357" s="226"/>
      <c r="S357" s="226"/>
      <c r="T357" s="181"/>
      <c r="U357" s="181"/>
      <c r="V357" s="181"/>
      <c r="W357" s="181"/>
      <c r="X357" s="187"/>
      <c r="Y357" s="184"/>
    </row>
    <row r="358" spans="1:25" x14ac:dyDescent="0.3">
      <c r="A358" s="174">
        <v>43424</v>
      </c>
      <c r="B358" s="224" t="s">
        <v>124</v>
      </c>
      <c r="C358" s="71" t="s">
        <v>88</v>
      </c>
      <c r="D358" s="56">
        <v>29212.39</v>
      </c>
      <c r="E358" s="56">
        <v>29159.66</v>
      </c>
      <c r="F358" s="56">
        <v>29196.17</v>
      </c>
      <c r="G358" s="56">
        <v>29143.39</v>
      </c>
      <c r="H358" s="56">
        <v>29219.84</v>
      </c>
      <c r="I358" s="56">
        <v>29213.93</v>
      </c>
      <c r="J358" s="56">
        <v>29132.639999999999</v>
      </c>
      <c r="K358" s="56">
        <v>29152.44</v>
      </c>
      <c r="L358" s="56">
        <v>29207.279999999999</v>
      </c>
      <c r="M358" s="224">
        <f>IF((L359=""),"",MAX(D360:L360))</f>
        <v>40028.31</v>
      </c>
      <c r="N358" s="224">
        <f>IF(L359="","",MIN(D360:L360))</f>
        <v>35046.299999999996</v>
      </c>
      <c r="O358" s="224">
        <f>IF((L360=""),"",AVERAGE(D360:L360))</f>
        <v>38665.596666666665</v>
      </c>
      <c r="P358" s="224">
        <f>IF((L359=""),"",((M358-N358)/(M358+N358))*100)</f>
        <v>6.6360784291786574</v>
      </c>
      <c r="Q358" s="227" t="str">
        <f>IF(L359="","",IF(P360&lt;20,(IF(O358&gt;19000,IF(O358&lt;49000,"Pass","Fail"),"Fail"))))</f>
        <v>Pass</v>
      </c>
      <c r="R358" s="224">
        <v>1159</v>
      </c>
      <c r="S358" s="224" t="s">
        <v>143</v>
      </c>
      <c r="T358" s="179"/>
      <c r="U358" s="179">
        <v>19000</v>
      </c>
      <c r="V358" s="179">
        <v>49000</v>
      </c>
      <c r="W358" s="179">
        <v>33000</v>
      </c>
      <c r="X358" s="185">
        <v>44000</v>
      </c>
      <c r="Y358" s="182">
        <v>20</v>
      </c>
    </row>
    <row r="359" spans="1:25" x14ac:dyDescent="0.3">
      <c r="A359" s="175"/>
      <c r="B359" s="225"/>
      <c r="C359" s="71" t="s">
        <v>89</v>
      </c>
      <c r="D359" s="56">
        <v>17530.29</v>
      </c>
      <c r="E359" s="56">
        <v>16225.07</v>
      </c>
      <c r="F359" s="56">
        <v>16068.53</v>
      </c>
      <c r="G359" s="56">
        <v>15800.62</v>
      </c>
      <c r="H359" s="56">
        <v>16619.099999999999</v>
      </c>
      <c r="I359" s="56">
        <v>16557.02</v>
      </c>
      <c r="J359" s="56">
        <v>16033.05</v>
      </c>
      <c r="K359" s="56">
        <v>15899.7</v>
      </c>
      <c r="L359" s="56">
        <v>15907.57</v>
      </c>
      <c r="M359" s="225"/>
      <c r="N359" s="225"/>
      <c r="O359" s="225"/>
      <c r="P359" s="225"/>
      <c r="Q359" s="228"/>
      <c r="R359" s="225"/>
      <c r="S359" s="225"/>
      <c r="T359" s="180"/>
      <c r="U359" s="180"/>
      <c r="V359" s="180"/>
      <c r="W359" s="180"/>
      <c r="X359" s="186"/>
      <c r="Y359" s="183"/>
    </row>
    <row r="360" spans="1:25" ht="26.6" customHeight="1" x14ac:dyDescent="0.3">
      <c r="A360" s="176"/>
      <c r="B360" s="226"/>
      <c r="C360" s="71" t="s">
        <v>123</v>
      </c>
      <c r="D360" s="71">
        <f t="shared" ref="D360:L360" si="116">IF(((D358="")*AND(D359="")),"",(D358-D359)*3)</f>
        <v>35046.299999999996</v>
      </c>
      <c r="E360" s="71">
        <f t="shared" si="116"/>
        <v>38803.770000000004</v>
      </c>
      <c r="F360" s="71">
        <f t="shared" si="116"/>
        <v>39382.919999999991</v>
      </c>
      <c r="G360" s="71">
        <f t="shared" si="116"/>
        <v>40028.31</v>
      </c>
      <c r="H360" s="71">
        <f t="shared" si="116"/>
        <v>37802.22</v>
      </c>
      <c r="I360" s="71">
        <f t="shared" si="116"/>
        <v>37970.729999999996</v>
      </c>
      <c r="J360" s="71">
        <f t="shared" si="116"/>
        <v>39298.770000000004</v>
      </c>
      <c r="K360" s="71">
        <f t="shared" si="116"/>
        <v>39758.219999999994</v>
      </c>
      <c r="L360" s="71">
        <f t="shared" si="116"/>
        <v>39899.129999999997</v>
      </c>
      <c r="M360" s="226"/>
      <c r="N360" s="226"/>
      <c r="O360" s="226"/>
      <c r="P360" s="226"/>
      <c r="Q360" s="229"/>
      <c r="R360" s="226"/>
      <c r="S360" s="226"/>
      <c r="T360" s="181"/>
      <c r="U360" s="181"/>
      <c r="V360" s="181"/>
      <c r="W360" s="181"/>
      <c r="X360" s="187"/>
      <c r="Y360" s="184"/>
    </row>
    <row r="361" spans="1:25" x14ac:dyDescent="0.3">
      <c r="A361" s="174">
        <v>43428</v>
      </c>
      <c r="B361" s="224" t="s">
        <v>124</v>
      </c>
      <c r="C361" s="71" t="s">
        <v>88</v>
      </c>
      <c r="D361" s="56">
        <v>29162.99</v>
      </c>
      <c r="E361" s="56">
        <v>29094.19</v>
      </c>
      <c r="F361" s="56">
        <v>29073.43</v>
      </c>
      <c r="G361" s="56">
        <v>29071.58</v>
      </c>
      <c r="H361" s="56">
        <v>29181.38</v>
      </c>
      <c r="I361" s="56">
        <v>29173.919999999998</v>
      </c>
      <c r="J361" s="56">
        <v>29077.64</v>
      </c>
      <c r="K361" s="56">
        <v>29065.65</v>
      </c>
      <c r="L361" s="56">
        <v>29161.03</v>
      </c>
      <c r="M361" s="224">
        <f>IF((L362=""),"",MAX(D363:L363))</f>
        <v>35109.33</v>
      </c>
      <c r="N361" s="224">
        <f>IF(L362="","",MIN(D363:L363))</f>
        <v>30881.52</v>
      </c>
      <c r="O361" s="224">
        <f>IF((L363=""),"",AVERAGE(D363:L363))</f>
        <v>33236.626666666671</v>
      </c>
      <c r="P361" s="224">
        <f>IF((L362=""),"",((M361-N361)/(M361+N361))*100)</f>
        <v>6.4066609234462071</v>
      </c>
      <c r="Q361" s="227" t="str">
        <f>IF(L362="","",IF(P363&lt;20,(IF(O361&gt;19000,IF(O361&lt;49000,"Pass","Fail"),"Fail"))))</f>
        <v>Pass</v>
      </c>
      <c r="R361" s="224">
        <v>64</v>
      </c>
      <c r="S361" s="224" t="s">
        <v>69</v>
      </c>
      <c r="T361" s="179"/>
      <c r="U361" s="179">
        <v>19000</v>
      </c>
      <c r="V361" s="179">
        <v>49000</v>
      </c>
      <c r="W361" s="179">
        <v>33000</v>
      </c>
      <c r="X361" s="185">
        <v>44000</v>
      </c>
      <c r="Y361" s="182">
        <v>20</v>
      </c>
    </row>
    <row r="362" spans="1:25" x14ac:dyDescent="0.3">
      <c r="A362" s="175"/>
      <c r="B362" s="225"/>
      <c r="C362" s="71" t="s">
        <v>89</v>
      </c>
      <c r="D362" s="56">
        <v>18869.150000000001</v>
      </c>
      <c r="E362" s="56">
        <v>18103.3</v>
      </c>
      <c r="F362" s="56">
        <v>17370.32</v>
      </c>
      <c r="G362" s="56">
        <v>17640.45</v>
      </c>
      <c r="H362" s="56">
        <v>18115.37</v>
      </c>
      <c r="I362" s="56">
        <v>18604.21</v>
      </c>
      <c r="J362" s="56">
        <v>17633.95</v>
      </c>
      <c r="K362" s="56">
        <v>17781.29</v>
      </c>
      <c r="L362" s="56">
        <v>18233.89</v>
      </c>
      <c r="M362" s="225"/>
      <c r="N362" s="225"/>
      <c r="O362" s="225"/>
      <c r="P362" s="225"/>
      <c r="Q362" s="228"/>
      <c r="R362" s="225"/>
      <c r="S362" s="225"/>
      <c r="T362" s="180"/>
      <c r="U362" s="180"/>
      <c r="V362" s="180"/>
      <c r="W362" s="180"/>
      <c r="X362" s="186"/>
      <c r="Y362" s="183"/>
    </row>
    <row r="363" spans="1:25" ht="26.6" customHeight="1" x14ac:dyDescent="0.3">
      <c r="A363" s="176"/>
      <c r="B363" s="226"/>
      <c r="C363" s="71" t="s">
        <v>123</v>
      </c>
      <c r="D363" s="71">
        <f t="shared" ref="D363:L363" si="117">IF(((D361="")*AND(D362="")),"",(D361-D362)*3)</f>
        <v>30881.52</v>
      </c>
      <c r="E363" s="71">
        <f t="shared" si="117"/>
        <v>32972.67</v>
      </c>
      <c r="F363" s="71">
        <f t="shared" si="117"/>
        <v>35109.33</v>
      </c>
      <c r="G363" s="71">
        <f t="shared" si="117"/>
        <v>34293.39</v>
      </c>
      <c r="H363" s="71">
        <f t="shared" si="117"/>
        <v>33198.030000000006</v>
      </c>
      <c r="I363" s="71">
        <f t="shared" si="117"/>
        <v>31709.129999999997</v>
      </c>
      <c r="J363" s="71">
        <f t="shared" si="117"/>
        <v>34331.069999999992</v>
      </c>
      <c r="K363" s="71">
        <f t="shared" si="117"/>
        <v>33853.08</v>
      </c>
      <c r="L363" s="71">
        <f t="shared" si="117"/>
        <v>32781.42</v>
      </c>
      <c r="M363" s="226"/>
      <c r="N363" s="226"/>
      <c r="O363" s="226"/>
      <c r="P363" s="226"/>
      <c r="Q363" s="229"/>
      <c r="R363" s="226"/>
      <c r="S363" s="226"/>
      <c r="T363" s="181"/>
      <c r="U363" s="181"/>
      <c r="V363" s="181"/>
      <c r="W363" s="181"/>
      <c r="X363" s="187"/>
      <c r="Y363" s="184"/>
    </row>
    <row r="364" spans="1:25" x14ac:dyDescent="0.3">
      <c r="A364" s="174">
        <v>43438</v>
      </c>
      <c r="B364" s="224" t="s">
        <v>124</v>
      </c>
      <c r="C364" s="71" t="s">
        <v>88</v>
      </c>
      <c r="D364" s="56">
        <v>29282.55</v>
      </c>
      <c r="E364" s="56">
        <v>29220.66</v>
      </c>
      <c r="F364" s="56">
        <v>29254.9</v>
      </c>
      <c r="G364" s="56">
        <v>29228.79</v>
      </c>
      <c r="H364" s="56">
        <v>29301.43</v>
      </c>
      <c r="I364" s="56">
        <v>29265.46</v>
      </c>
      <c r="J364" s="56">
        <v>29214.49</v>
      </c>
      <c r="K364" s="56">
        <v>29222.6</v>
      </c>
      <c r="L364" s="56">
        <v>29286.67</v>
      </c>
      <c r="M364" s="224">
        <f>IF((L365=""),"",MAX(D366:L366))</f>
        <v>41152.86</v>
      </c>
      <c r="N364" s="224">
        <f>IF(L365="","",MIN(D366:L366))</f>
        <v>36444</v>
      </c>
      <c r="O364" s="224">
        <f>IF((L366=""),"",AVERAGE(D366:L366))</f>
        <v>40009.643333333326</v>
      </c>
      <c r="P364" s="224">
        <f>IF((L365=""),"",((M364-N364)/(M364+N364))*100)</f>
        <v>6.0683641064857525</v>
      </c>
      <c r="Q364" s="227" t="str">
        <f>IF(L365="","",IF(P366&lt;20,(IF(O364&gt;19000,IF(O364&lt;49000,"Pass","Fail"),"Fail"))))</f>
        <v>Pass</v>
      </c>
      <c r="R364" s="224">
        <v>1159</v>
      </c>
      <c r="S364" s="224" t="s">
        <v>144</v>
      </c>
      <c r="T364" s="179"/>
      <c r="U364" s="179">
        <v>19000</v>
      </c>
      <c r="V364" s="179">
        <v>49000</v>
      </c>
      <c r="W364" s="179">
        <v>33000</v>
      </c>
      <c r="X364" s="185">
        <v>44000</v>
      </c>
      <c r="Y364" s="182">
        <v>20</v>
      </c>
    </row>
    <row r="365" spans="1:25" x14ac:dyDescent="0.3">
      <c r="A365" s="175"/>
      <c r="B365" s="225"/>
      <c r="C365" s="71" t="s">
        <v>89</v>
      </c>
      <c r="D365" s="56">
        <v>17134.55</v>
      </c>
      <c r="E365" s="56">
        <v>15936</v>
      </c>
      <c r="F365" s="56">
        <v>15827.96</v>
      </c>
      <c r="G365" s="56">
        <v>15511.17</v>
      </c>
      <c r="H365" s="56">
        <v>16133.85</v>
      </c>
      <c r="I365" s="56">
        <v>15806.55</v>
      </c>
      <c r="J365" s="56">
        <v>15635.25</v>
      </c>
      <c r="K365" s="56">
        <v>15618.53</v>
      </c>
      <c r="L365" s="56">
        <v>15644.76</v>
      </c>
      <c r="M365" s="225"/>
      <c r="N365" s="225"/>
      <c r="O365" s="225"/>
      <c r="P365" s="225"/>
      <c r="Q365" s="228"/>
      <c r="R365" s="225"/>
      <c r="S365" s="225"/>
      <c r="T365" s="180"/>
      <c r="U365" s="180"/>
      <c r="V365" s="180"/>
      <c r="W365" s="180"/>
      <c r="X365" s="186"/>
      <c r="Y365" s="183"/>
    </row>
    <row r="366" spans="1:25" ht="26.6" customHeight="1" x14ac:dyDescent="0.3">
      <c r="A366" s="176"/>
      <c r="B366" s="226"/>
      <c r="C366" s="71" t="s">
        <v>123</v>
      </c>
      <c r="D366" s="71">
        <f t="shared" ref="D366:L366" si="118">IF(((D364="")*AND(D365="")),"",(D364-D365)*3)</f>
        <v>36444</v>
      </c>
      <c r="E366" s="71">
        <f t="shared" si="118"/>
        <v>39853.979999999996</v>
      </c>
      <c r="F366" s="71">
        <f t="shared" si="118"/>
        <v>40280.820000000007</v>
      </c>
      <c r="G366" s="71">
        <f t="shared" si="118"/>
        <v>41152.86</v>
      </c>
      <c r="H366" s="71">
        <f t="shared" si="118"/>
        <v>39502.74</v>
      </c>
      <c r="I366" s="71">
        <f t="shared" si="118"/>
        <v>40376.729999999996</v>
      </c>
      <c r="J366" s="71">
        <f t="shared" si="118"/>
        <v>40737.72</v>
      </c>
      <c r="K366" s="71">
        <f t="shared" si="118"/>
        <v>40812.209999999992</v>
      </c>
      <c r="L366" s="71">
        <f t="shared" si="118"/>
        <v>40925.729999999996</v>
      </c>
      <c r="M366" s="226"/>
      <c r="N366" s="226"/>
      <c r="O366" s="226"/>
      <c r="P366" s="226"/>
      <c r="Q366" s="229"/>
      <c r="R366" s="226"/>
      <c r="S366" s="226"/>
      <c r="T366" s="181"/>
      <c r="U366" s="181"/>
      <c r="V366" s="181"/>
      <c r="W366" s="181"/>
      <c r="X366" s="187"/>
      <c r="Y366" s="184"/>
    </row>
    <row r="367" spans="1:25" x14ac:dyDescent="0.3">
      <c r="A367" s="174">
        <v>43445</v>
      </c>
      <c r="B367" s="224" t="s">
        <v>124</v>
      </c>
      <c r="C367" s="71" t="s">
        <v>88</v>
      </c>
      <c r="D367" s="56">
        <v>29211.13</v>
      </c>
      <c r="E367" s="56">
        <v>29098.5</v>
      </c>
      <c r="F367" s="56">
        <v>29095.51</v>
      </c>
      <c r="G367" s="56">
        <v>29106.87</v>
      </c>
      <c r="H367" s="56">
        <v>29178.7</v>
      </c>
      <c r="I367" s="56">
        <v>29157.75</v>
      </c>
      <c r="J367" s="56">
        <v>29081.27</v>
      </c>
      <c r="K367" s="56">
        <v>29111.97</v>
      </c>
      <c r="L367" s="56">
        <v>29215.22</v>
      </c>
      <c r="M367" s="224">
        <f>IF((L368=""),"",MAX(D369:L369))</f>
        <v>37127.759999999995</v>
      </c>
      <c r="N367" s="224">
        <f>IF(L368="","",MIN(D369:L369))</f>
        <v>32258.25</v>
      </c>
      <c r="O367" s="224">
        <f>IF((L369=""),"",AVERAGE(D369:L369))</f>
        <v>35775.636666666665</v>
      </c>
      <c r="P367" s="224">
        <f>IF((L368=""),"",((M367-N367)/(M367+N367))*100)</f>
        <v>7.0179997379875205</v>
      </c>
      <c r="Q367" s="227" t="str">
        <f>IF(L368="","",IF(P369&lt;20,(IF(O367&gt;19000,IF(O367&lt;49000,"Pass","Fail"),"Fail"))))</f>
        <v>Pass</v>
      </c>
      <c r="R367" s="224">
        <v>74</v>
      </c>
      <c r="S367" s="224"/>
      <c r="T367" s="179"/>
      <c r="U367" s="179">
        <v>19000</v>
      </c>
      <c r="V367" s="179">
        <v>49000</v>
      </c>
      <c r="W367" s="179">
        <v>33000</v>
      </c>
      <c r="X367" s="185">
        <v>44000</v>
      </c>
      <c r="Y367" s="182">
        <v>20</v>
      </c>
    </row>
    <row r="368" spans="1:25" x14ac:dyDescent="0.3">
      <c r="A368" s="175"/>
      <c r="B368" s="225"/>
      <c r="C368" s="71" t="s">
        <v>89</v>
      </c>
      <c r="D368" s="56">
        <v>18458.38</v>
      </c>
      <c r="E368" s="56">
        <v>17118.849999999999</v>
      </c>
      <c r="F368" s="56">
        <v>16877.560000000001</v>
      </c>
      <c r="G368" s="56">
        <v>16730.95</v>
      </c>
      <c r="H368" s="56">
        <v>17492.580000000002</v>
      </c>
      <c r="I368" s="56">
        <v>17224.52</v>
      </c>
      <c r="J368" s="56">
        <v>16777.84</v>
      </c>
      <c r="K368" s="56">
        <v>16916.099999999999</v>
      </c>
      <c r="L368" s="56">
        <v>17333.23</v>
      </c>
      <c r="M368" s="225"/>
      <c r="N368" s="225"/>
      <c r="O368" s="225"/>
      <c r="P368" s="225"/>
      <c r="Q368" s="228"/>
      <c r="R368" s="225"/>
      <c r="S368" s="225"/>
      <c r="T368" s="180"/>
      <c r="U368" s="180"/>
      <c r="V368" s="180"/>
      <c r="W368" s="180"/>
      <c r="X368" s="186"/>
      <c r="Y368" s="183"/>
    </row>
    <row r="369" spans="1:25" ht="26.6" customHeight="1" x14ac:dyDescent="0.3">
      <c r="A369" s="176"/>
      <c r="B369" s="226"/>
      <c r="C369" s="71" t="s">
        <v>123</v>
      </c>
      <c r="D369" s="71">
        <f t="shared" ref="D369:L369" si="119">IF(((D367="")*AND(D368="")),"",(D367-D368)*3)</f>
        <v>32258.25</v>
      </c>
      <c r="E369" s="71">
        <f t="shared" si="119"/>
        <v>35938.950000000004</v>
      </c>
      <c r="F369" s="71">
        <f t="shared" si="119"/>
        <v>36653.849999999991</v>
      </c>
      <c r="G369" s="71">
        <f t="shared" si="119"/>
        <v>37127.759999999995</v>
      </c>
      <c r="H369" s="71">
        <f t="shared" si="119"/>
        <v>35058.36</v>
      </c>
      <c r="I369" s="71">
        <f t="shared" si="119"/>
        <v>35799.69</v>
      </c>
      <c r="J369" s="71">
        <f t="shared" si="119"/>
        <v>36910.29</v>
      </c>
      <c r="K369" s="71">
        <f t="shared" si="119"/>
        <v>36587.610000000008</v>
      </c>
      <c r="L369" s="71">
        <f t="shared" si="119"/>
        <v>35645.97</v>
      </c>
      <c r="M369" s="226"/>
      <c r="N369" s="226"/>
      <c r="O369" s="226"/>
      <c r="P369" s="226"/>
      <c r="Q369" s="229"/>
      <c r="R369" s="226"/>
      <c r="S369" s="226"/>
      <c r="T369" s="181"/>
      <c r="U369" s="181"/>
      <c r="V369" s="181"/>
      <c r="W369" s="181"/>
      <c r="X369" s="187"/>
      <c r="Y369" s="184"/>
    </row>
    <row r="370" spans="1:25" x14ac:dyDescent="0.3">
      <c r="A370" s="174">
        <v>43452</v>
      </c>
      <c r="B370" s="224" t="s">
        <v>124</v>
      </c>
      <c r="C370" s="71" t="s">
        <v>88</v>
      </c>
      <c r="D370" s="56">
        <v>29187.03</v>
      </c>
      <c r="E370" s="56">
        <v>29143.47</v>
      </c>
      <c r="F370" s="56">
        <v>29070.47</v>
      </c>
      <c r="G370" s="56">
        <v>29140.61</v>
      </c>
      <c r="H370" s="56">
        <v>29216.06</v>
      </c>
      <c r="I370" s="56">
        <v>29194.28</v>
      </c>
      <c r="J370" s="56">
        <v>29129.09</v>
      </c>
      <c r="K370" s="56">
        <v>29146.18</v>
      </c>
      <c r="L370" s="56">
        <v>29185.5</v>
      </c>
      <c r="M370" s="224">
        <f>IF((L371=""),"",MAX(D372:L372))</f>
        <v>41289.03</v>
      </c>
      <c r="N370" s="224">
        <f>IF(L371="","",MIN(D372:L372))</f>
        <v>36320.25</v>
      </c>
      <c r="O370" s="224">
        <f>IF((L372=""),"",AVERAGE(D372:L372))</f>
        <v>40105.296666666669</v>
      </c>
      <c r="P370" s="224">
        <f>IF((L371=""),"",((M370-N370)/(M370+N370))*100)</f>
        <v>6.4023013742686432</v>
      </c>
      <c r="Q370" s="227" t="str">
        <f>IF(L371="","",IF(P372&lt;20,(IF(O370&gt;19000,IF(O370&lt;49000,"Pass","Fail"),"Fail"))))</f>
        <v>Pass</v>
      </c>
      <c r="R370" s="224">
        <v>1428</v>
      </c>
      <c r="S370" s="224"/>
      <c r="T370" s="179"/>
      <c r="U370" s="179">
        <v>19000</v>
      </c>
      <c r="V370" s="179">
        <v>49000</v>
      </c>
      <c r="W370" s="179">
        <v>33000</v>
      </c>
      <c r="X370" s="185">
        <v>44000</v>
      </c>
      <c r="Y370" s="182">
        <v>20</v>
      </c>
    </row>
    <row r="371" spans="1:25" x14ac:dyDescent="0.3">
      <c r="A371" s="175"/>
      <c r="B371" s="225"/>
      <c r="C371" s="71" t="s">
        <v>89</v>
      </c>
      <c r="D371" s="56">
        <v>17080.28</v>
      </c>
      <c r="E371" s="56">
        <v>15834.1</v>
      </c>
      <c r="F371" s="56">
        <v>15622.59</v>
      </c>
      <c r="G371" s="56">
        <v>15377.6</v>
      </c>
      <c r="H371" s="56">
        <v>16075.2</v>
      </c>
      <c r="I371" s="56">
        <v>15644.78</v>
      </c>
      <c r="J371" s="56">
        <v>15517.83</v>
      </c>
      <c r="K371" s="56">
        <v>15472.21</v>
      </c>
      <c r="L371" s="56">
        <v>15472.21</v>
      </c>
      <c r="M371" s="225"/>
      <c r="N371" s="225"/>
      <c r="O371" s="225"/>
      <c r="P371" s="225"/>
      <c r="Q371" s="228"/>
      <c r="R371" s="225"/>
      <c r="S371" s="225"/>
      <c r="T371" s="180"/>
      <c r="U371" s="180"/>
      <c r="V371" s="180"/>
      <c r="W371" s="180"/>
      <c r="X371" s="186"/>
      <c r="Y371" s="183"/>
    </row>
    <row r="372" spans="1:25" ht="26.6" customHeight="1" x14ac:dyDescent="0.3">
      <c r="A372" s="176"/>
      <c r="B372" s="226"/>
      <c r="C372" s="71" t="s">
        <v>123</v>
      </c>
      <c r="D372" s="71">
        <f t="shared" ref="D372:L372" si="120">IF(((D370="")*AND(D371="")),"",(D370-D371)*3)</f>
        <v>36320.25</v>
      </c>
      <c r="E372" s="71">
        <f t="shared" si="120"/>
        <v>39928.11</v>
      </c>
      <c r="F372" s="71">
        <f t="shared" si="120"/>
        <v>40343.64</v>
      </c>
      <c r="G372" s="71">
        <f t="shared" si="120"/>
        <v>41289.03</v>
      </c>
      <c r="H372" s="71">
        <f t="shared" si="120"/>
        <v>39422.58</v>
      </c>
      <c r="I372" s="71">
        <f t="shared" si="120"/>
        <v>40648.499999999993</v>
      </c>
      <c r="J372" s="71">
        <f t="shared" si="120"/>
        <v>40833.78</v>
      </c>
      <c r="K372" s="71">
        <f t="shared" si="120"/>
        <v>41021.910000000003</v>
      </c>
      <c r="L372" s="71">
        <f t="shared" si="120"/>
        <v>41139.870000000003</v>
      </c>
      <c r="M372" s="226"/>
      <c r="N372" s="226"/>
      <c r="O372" s="226"/>
      <c r="P372" s="226"/>
      <c r="Q372" s="229"/>
      <c r="R372" s="226"/>
      <c r="S372" s="226"/>
      <c r="T372" s="181"/>
      <c r="U372" s="181"/>
      <c r="V372" s="181"/>
      <c r="W372" s="181"/>
      <c r="X372" s="187"/>
      <c r="Y372" s="184"/>
    </row>
    <row r="373" spans="1:25" x14ac:dyDescent="0.3">
      <c r="A373" s="174">
        <v>43460</v>
      </c>
      <c r="B373" s="224" t="s">
        <v>124</v>
      </c>
      <c r="C373" s="71" t="s">
        <v>88</v>
      </c>
      <c r="D373" s="56">
        <v>29321</v>
      </c>
      <c r="E373" s="56">
        <v>29260.97</v>
      </c>
      <c r="F373" s="56">
        <v>29262.94</v>
      </c>
      <c r="G373" s="56">
        <v>29242.29</v>
      </c>
      <c r="H373" s="56">
        <v>29286.14</v>
      </c>
      <c r="I373" s="56">
        <v>29306.68</v>
      </c>
      <c r="J373" s="56">
        <v>29249.69</v>
      </c>
      <c r="K373" s="56">
        <v>29239.06</v>
      </c>
      <c r="L373" s="56">
        <v>29287.32</v>
      </c>
      <c r="M373" s="224">
        <f>IF((L374=""),"",MAX(D375:L375))</f>
        <v>41241.69</v>
      </c>
      <c r="N373" s="224">
        <f>IF(L374="","",MIN(D375:L375))</f>
        <v>36401.25</v>
      </c>
      <c r="O373" s="224">
        <f>IF((L375=""),"",AVERAGE(D375:L375))</f>
        <v>40091.41333333333</v>
      </c>
      <c r="P373" s="224">
        <f>IF((L374=""),"",((M373-N373)/(M373+N373))*100)</f>
        <v>6.2342306976010979</v>
      </c>
      <c r="Q373" s="227" t="str">
        <f>IF(L374="","",IF(P375&lt;20,(IF(O373&gt;19000,IF(O373&lt;49000,"Pass","Fail"),"Fail"))))</f>
        <v>Pass</v>
      </c>
      <c r="R373" s="224">
        <v>102</v>
      </c>
      <c r="S373" s="224" t="s">
        <v>146</v>
      </c>
      <c r="T373" s="179"/>
      <c r="U373" s="179">
        <v>19000</v>
      </c>
      <c r="V373" s="179">
        <v>49000</v>
      </c>
      <c r="W373" s="179">
        <v>33000</v>
      </c>
      <c r="X373" s="185">
        <v>44000</v>
      </c>
      <c r="Y373" s="182">
        <v>20</v>
      </c>
    </row>
    <row r="374" spans="1:25" x14ac:dyDescent="0.3">
      <c r="A374" s="175"/>
      <c r="B374" s="225"/>
      <c r="C374" s="71" t="s">
        <v>89</v>
      </c>
      <c r="D374" s="56">
        <v>17187.25</v>
      </c>
      <c r="E374" s="56">
        <v>15917.24</v>
      </c>
      <c r="F374" s="56">
        <v>15798.39</v>
      </c>
      <c r="G374" s="56">
        <v>15495.06</v>
      </c>
      <c r="H374" s="56">
        <v>16165.82</v>
      </c>
      <c r="I374" s="56">
        <v>15811.42</v>
      </c>
      <c r="J374" s="56">
        <v>15596.67</v>
      </c>
      <c r="K374" s="56">
        <v>15590.52</v>
      </c>
      <c r="L374" s="56">
        <v>15619.48</v>
      </c>
      <c r="M374" s="225"/>
      <c r="N374" s="225"/>
      <c r="O374" s="225"/>
      <c r="P374" s="225"/>
      <c r="Q374" s="228"/>
      <c r="R374" s="225"/>
      <c r="S374" s="225"/>
      <c r="T374" s="180"/>
      <c r="U374" s="180"/>
      <c r="V374" s="180"/>
      <c r="W374" s="180"/>
      <c r="X374" s="186"/>
      <c r="Y374" s="183"/>
    </row>
    <row r="375" spans="1:25" ht="26.6" customHeight="1" x14ac:dyDescent="0.3">
      <c r="A375" s="176"/>
      <c r="B375" s="226"/>
      <c r="C375" s="71" t="s">
        <v>123</v>
      </c>
      <c r="D375" s="71">
        <f t="shared" ref="D375:L375" si="121">IF(((D373="")*AND(D374="")),"",(D373-D374)*3)</f>
        <v>36401.25</v>
      </c>
      <c r="E375" s="71">
        <f t="shared" si="121"/>
        <v>40031.19</v>
      </c>
      <c r="F375" s="71">
        <f t="shared" si="121"/>
        <v>40393.649999999994</v>
      </c>
      <c r="G375" s="71">
        <f t="shared" si="121"/>
        <v>41241.69</v>
      </c>
      <c r="H375" s="71">
        <f t="shared" si="121"/>
        <v>39360.959999999999</v>
      </c>
      <c r="I375" s="71">
        <f t="shared" si="121"/>
        <v>40485.78</v>
      </c>
      <c r="J375" s="71">
        <f t="shared" si="121"/>
        <v>40959.06</v>
      </c>
      <c r="K375" s="71">
        <f t="shared" si="121"/>
        <v>40945.620000000003</v>
      </c>
      <c r="L375" s="71">
        <f t="shared" si="121"/>
        <v>41003.520000000004</v>
      </c>
      <c r="M375" s="226"/>
      <c r="N375" s="226"/>
      <c r="O375" s="226"/>
      <c r="P375" s="226"/>
      <c r="Q375" s="229"/>
      <c r="R375" s="226"/>
      <c r="S375" s="226"/>
      <c r="T375" s="181"/>
      <c r="U375" s="181"/>
      <c r="V375" s="181"/>
      <c r="W375" s="181"/>
      <c r="X375" s="187"/>
      <c r="Y375" s="184"/>
    </row>
    <row r="376" spans="1:25" x14ac:dyDescent="0.3">
      <c r="A376" s="174">
        <v>43465</v>
      </c>
      <c r="B376" s="224" t="s">
        <v>124</v>
      </c>
      <c r="C376" s="71" t="s">
        <v>88</v>
      </c>
      <c r="D376" s="56">
        <v>29113.63</v>
      </c>
      <c r="E376" s="56">
        <v>29046.52</v>
      </c>
      <c r="F376" s="56">
        <v>29043.21</v>
      </c>
      <c r="G376" s="56">
        <v>29047.71</v>
      </c>
      <c r="H376" s="56">
        <v>29135.21</v>
      </c>
      <c r="I376" s="56">
        <v>29119.599999999999</v>
      </c>
      <c r="J376" s="56">
        <v>29047.39</v>
      </c>
      <c r="K376" s="56">
        <v>29040.29</v>
      </c>
      <c r="L376" s="56">
        <v>29096.22</v>
      </c>
      <c r="M376" s="224">
        <f>IF((L377=""),"",MAX(D378:L378))</f>
        <v>40883.069999999992</v>
      </c>
      <c r="N376" s="224">
        <f>IF(L377="","",MIN(D378:L378))</f>
        <v>36090.42</v>
      </c>
      <c r="O376" s="224">
        <f>IF((L378=""),"",AVERAGE(D378:L378))</f>
        <v>39813.376666666671</v>
      </c>
      <c r="P376" s="224">
        <f>IF((L377=""),"",((M376-N376)/(M376+N376))*100)</f>
        <v>6.2263644275451124</v>
      </c>
      <c r="Q376" s="227" t="str">
        <f>IF(L377="","",IF(P378&lt;20,(IF(O376&gt;19000,IF(O376&lt;49000,"Pass","Fail"),"Fail"))))</f>
        <v>Pass</v>
      </c>
      <c r="R376" s="224">
        <v>121</v>
      </c>
      <c r="S376" s="224" t="s">
        <v>147</v>
      </c>
      <c r="T376" s="179"/>
      <c r="U376" s="179">
        <v>19000</v>
      </c>
      <c r="V376" s="179">
        <v>49000</v>
      </c>
      <c r="W376" s="179">
        <v>33000</v>
      </c>
      <c r="X376" s="185">
        <v>44000</v>
      </c>
      <c r="Y376" s="182">
        <v>20</v>
      </c>
    </row>
    <row r="377" spans="1:25" x14ac:dyDescent="0.3">
      <c r="A377" s="175"/>
      <c r="B377" s="225"/>
      <c r="C377" s="71" t="s">
        <v>89</v>
      </c>
      <c r="D377" s="56">
        <v>17083.490000000002</v>
      </c>
      <c r="E377" s="56">
        <v>15823.62</v>
      </c>
      <c r="F377" s="56">
        <v>15657.39</v>
      </c>
      <c r="G377" s="56">
        <v>15420.02</v>
      </c>
      <c r="H377" s="56">
        <v>16121.63</v>
      </c>
      <c r="I377" s="56">
        <v>15688.28</v>
      </c>
      <c r="J377" s="56">
        <v>15480.64</v>
      </c>
      <c r="K377" s="56">
        <v>15448.22</v>
      </c>
      <c r="L377" s="56">
        <v>15526.36</v>
      </c>
      <c r="M377" s="225"/>
      <c r="N377" s="225"/>
      <c r="O377" s="225"/>
      <c r="P377" s="225"/>
      <c r="Q377" s="228"/>
      <c r="R377" s="225"/>
      <c r="S377" s="225"/>
      <c r="T377" s="180"/>
      <c r="U377" s="180"/>
      <c r="V377" s="180"/>
      <c r="W377" s="180"/>
      <c r="X377" s="186"/>
      <c r="Y377" s="183"/>
    </row>
    <row r="378" spans="1:25" ht="26.6" customHeight="1" x14ac:dyDescent="0.3">
      <c r="A378" s="176"/>
      <c r="B378" s="226"/>
      <c r="C378" s="71" t="s">
        <v>123</v>
      </c>
      <c r="D378" s="71">
        <f t="shared" ref="D378:L378" si="122">IF(((D376="")*AND(D377="")),"",(D376-D377)*3)</f>
        <v>36090.42</v>
      </c>
      <c r="E378" s="71">
        <f t="shared" si="122"/>
        <v>39668.699999999997</v>
      </c>
      <c r="F378" s="71">
        <f t="shared" si="122"/>
        <v>40157.46</v>
      </c>
      <c r="G378" s="71">
        <f t="shared" si="122"/>
        <v>40883.069999999992</v>
      </c>
      <c r="H378" s="71">
        <f t="shared" si="122"/>
        <v>39040.74</v>
      </c>
      <c r="I378" s="71">
        <f t="shared" si="122"/>
        <v>40293.959999999992</v>
      </c>
      <c r="J378" s="71">
        <f t="shared" si="122"/>
        <v>40700.25</v>
      </c>
      <c r="K378" s="71">
        <f t="shared" si="122"/>
        <v>40776.210000000006</v>
      </c>
      <c r="L378" s="71">
        <f t="shared" si="122"/>
        <v>40709.58</v>
      </c>
      <c r="M378" s="226"/>
      <c r="N378" s="226"/>
      <c r="O378" s="226"/>
      <c r="P378" s="226"/>
      <c r="Q378" s="229"/>
      <c r="R378" s="226"/>
      <c r="S378" s="226"/>
      <c r="T378" s="181"/>
      <c r="U378" s="181"/>
      <c r="V378" s="181"/>
      <c r="W378" s="181"/>
      <c r="X378" s="187"/>
      <c r="Y378" s="184"/>
    </row>
    <row r="379" spans="1:25" x14ac:dyDescent="0.3">
      <c r="A379" s="174"/>
      <c r="B379" s="224" t="s">
        <v>124</v>
      </c>
      <c r="C379" s="71" t="s">
        <v>88</v>
      </c>
      <c r="M379" s="224" t="str">
        <f>IF((L380=""),"",MAX(D381:L381))</f>
        <v/>
      </c>
      <c r="N379" s="224" t="str">
        <f>IF(L380="","",MIN(D381:L381))</f>
        <v/>
      </c>
      <c r="O379" s="224" t="str">
        <f>IF((L381=""),"",AVERAGE(D381:L381))</f>
        <v/>
      </c>
      <c r="P379" s="224" t="str">
        <f>IF((L380=""),"",((M379-N379)/(M379+N379))*100)</f>
        <v/>
      </c>
      <c r="Q379" s="227" t="str">
        <f>IF(L380="","",IF(P381&lt;20,(IF(O379&gt;19000,IF(O379&lt;49000,"Pass","Fail"),"Fail"))))</f>
        <v/>
      </c>
      <c r="R379" s="224"/>
      <c r="S379" s="224"/>
      <c r="T379" s="179"/>
      <c r="U379" s="179">
        <v>19000</v>
      </c>
      <c r="V379" s="179">
        <v>49000</v>
      </c>
      <c r="W379" s="179">
        <v>33000</v>
      </c>
      <c r="X379" s="185">
        <v>44000</v>
      </c>
      <c r="Y379" s="182">
        <v>20</v>
      </c>
    </row>
    <row r="380" spans="1:25" x14ac:dyDescent="0.3">
      <c r="A380" s="175"/>
      <c r="B380" s="225"/>
      <c r="C380" s="71" t="s">
        <v>89</v>
      </c>
      <c r="M380" s="225"/>
      <c r="N380" s="225"/>
      <c r="O380" s="225"/>
      <c r="P380" s="225"/>
      <c r="Q380" s="228"/>
      <c r="R380" s="225"/>
      <c r="S380" s="225"/>
      <c r="T380" s="180"/>
      <c r="U380" s="180"/>
      <c r="V380" s="180"/>
      <c r="W380" s="180"/>
      <c r="X380" s="186"/>
      <c r="Y380" s="183"/>
    </row>
    <row r="381" spans="1:25" ht="30.5" customHeight="1" x14ac:dyDescent="0.3">
      <c r="A381" s="176"/>
      <c r="B381" s="226"/>
      <c r="C381" s="71" t="s">
        <v>123</v>
      </c>
      <c r="D381" s="71" t="str">
        <f t="shared" ref="D381:L381" si="123">IF(((D379="")*AND(D380="")),"",(D379-D380)*3)</f>
        <v/>
      </c>
      <c r="E381" s="71" t="str">
        <f t="shared" si="123"/>
        <v/>
      </c>
      <c r="F381" s="71" t="str">
        <f t="shared" si="123"/>
        <v/>
      </c>
      <c r="G381" s="71" t="str">
        <f t="shared" si="123"/>
        <v/>
      </c>
      <c r="H381" s="71" t="str">
        <f t="shared" si="123"/>
        <v/>
      </c>
      <c r="I381" s="71" t="str">
        <f t="shared" si="123"/>
        <v/>
      </c>
      <c r="J381" s="71" t="str">
        <f t="shared" si="123"/>
        <v/>
      </c>
      <c r="K381" s="71" t="str">
        <f t="shared" si="123"/>
        <v/>
      </c>
      <c r="L381" s="71" t="str">
        <f t="shared" si="123"/>
        <v/>
      </c>
      <c r="M381" s="226"/>
      <c r="N381" s="226"/>
      <c r="O381" s="226"/>
      <c r="P381" s="226"/>
      <c r="Q381" s="229"/>
      <c r="R381" s="226"/>
      <c r="S381" s="226"/>
      <c r="T381" s="181"/>
      <c r="U381" s="181"/>
      <c r="V381" s="181"/>
      <c r="W381" s="181"/>
      <c r="X381" s="187"/>
      <c r="Y381" s="184"/>
    </row>
    <row r="382" spans="1:25" x14ac:dyDescent="0.3">
      <c r="A382" s="174"/>
      <c r="B382" s="224" t="s">
        <v>124</v>
      </c>
      <c r="C382" s="71" t="s">
        <v>88</v>
      </c>
      <c r="M382" s="224" t="str">
        <f>IF((L383=""),"",MAX(D384:L384))</f>
        <v/>
      </c>
      <c r="N382" s="224" t="str">
        <f>IF(L383="","",MIN(D384:L384))</f>
        <v/>
      </c>
      <c r="O382" s="224" t="str">
        <f>IF((L384=""),"",AVERAGE(D384:L384))</f>
        <v/>
      </c>
      <c r="P382" s="224" t="str">
        <f>IF((L383=""),"",((M382-N382)/(M382+N382))*100)</f>
        <v/>
      </c>
      <c r="Q382" s="227" t="str">
        <f>IF(L383="","",IF(P384&lt;20,(IF(O382&gt;19000,IF(O382&lt;49000,"Pass","Fail"),"Fail"))))</f>
        <v/>
      </c>
      <c r="R382" s="224"/>
      <c r="S382" s="224"/>
      <c r="T382" s="179"/>
      <c r="U382" s="179">
        <v>19000</v>
      </c>
      <c r="V382" s="179">
        <v>49000</v>
      </c>
      <c r="W382" s="179">
        <v>33000</v>
      </c>
      <c r="X382" s="179">
        <v>44000</v>
      </c>
      <c r="Y382" s="182">
        <v>20</v>
      </c>
    </row>
    <row r="383" spans="1:25" x14ac:dyDescent="0.3">
      <c r="A383" s="175"/>
      <c r="B383" s="225"/>
      <c r="C383" s="71" t="s">
        <v>89</v>
      </c>
      <c r="M383" s="225"/>
      <c r="N383" s="225"/>
      <c r="O383" s="225"/>
      <c r="P383" s="225"/>
      <c r="Q383" s="228"/>
      <c r="R383" s="225"/>
      <c r="S383" s="225"/>
      <c r="T383" s="180"/>
      <c r="U383" s="180"/>
      <c r="V383" s="180"/>
      <c r="W383" s="180"/>
      <c r="X383" s="180"/>
      <c r="Y383" s="183"/>
    </row>
    <row r="384" spans="1:25" ht="27.7" customHeight="1" x14ac:dyDescent="0.3">
      <c r="A384" s="176"/>
      <c r="B384" s="226"/>
      <c r="C384" s="71" t="s">
        <v>123</v>
      </c>
      <c r="D384" s="71" t="str">
        <f t="shared" ref="D384:L384" si="124">IF(((D382="")*AND(D383="")),"",(D382-D383)*3)</f>
        <v/>
      </c>
      <c r="E384" s="71" t="str">
        <f t="shared" si="124"/>
        <v/>
      </c>
      <c r="F384" s="71" t="str">
        <f t="shared" si="124"/>
        <v/>
      </c>
      <c r="G384" s="71" t="str">
        <f t="shared" si="124"/>
        <v/>
      </c>
      <c r="H384" s="71" t="str">
        <f t="shared" si="124"/>
        <v/>
      </c>
      <c r="I384" s="71" t="str">
        <f t="shared" si="124"/>
        <v/>
      </c>
      <c r="J384" s="71" t="str">
        <f t="shared" si="124"/>
        <v/>
      </c>
      <c r="K384" s="71" t="str">
        <f t="shared" si="124"/>
        <v/>
      </c>
      <c r="L384" s="71" t="str">
        <f t="shared" si="124"/>
        <v/>
      </c>
      <c r="M384" s="226"/>
      <c r="N384" s="226"/>
      <c r="O384" s="226"/>
      <c r="P384" s="226"/>
      <c r="Q384" s="229"/>
      <c r="R384" s="226"/>
      <c r="S384" s="226"/>
      <c r="T384" s="181"/>
      <c r="U384" s="181"/>
      <c r="V384" s="181"/>
      <c r="W384" s="181"/>
      <c r="X384" s="181"/>
      <c r="Y384" s="183"/>
    </row>
    <row r="385" spans="1:25" x14ac:dyDescent="0.3">
      <c r="A385" s="174"/>
      <c r="B385" s="224" t="s">
        <v>124</v>
      </c>
      <c r="C385" s="71" t="s">
        <v>88</v>
      </c>
      <c r="M385" s="224" t="str">
        <f>IF((L386=""),"",MAX(D387:L387))</f>
        <v/>
      </c>
      <c r="N385" s="224" t="str">
        <f>IF(L386="","",MIN(D387:L387))</f>
        <v/>
      </c>
      <c r="O385" s="224" t="str">
        <f>IF((L387=""),"",AVERAGE(D387:L387))</f>
        <v/>
      </c>
      <c r="P385" s="224" t="str">
        <f>IF((L386=""),"",((M385-N385)/(M385+N385))*100)</f>
        <v/>
      </c>
      <c r="Q385" s="227" t="str">
        <f>IF(L386="","",IF(P387&lt;20,(IF(O385&gt;19000,IF(O385&lt;49000,"Pass","Fail"),"Fail"))))</f>
        <v/>
      </c>
      <c r="R385" s="224"/>
      <c r="S385" s="224"/>
      <c r="T385" s="179"/>
      <c r="U385" s="179">
        <v>19000</v>
      </c>
      <c r="V385" s="179">
        <v>49000</v>
      </c>
      <c r="W385" s="179">
        <v>33000</v>
      </c>
      <c r="X385" s="179">
        <v>44000</v>
      </c>
      <c r="Y385" s="182">
        <v>20</v>
      </c>
    </row>
    <row r="386" spans="1:25" x14ac:dyDescent="0.3">
      <c r="A386" s="175"/>
      <c r="B386" s="225"/>
      <c r="C386" s="71" t="s">
        <v>89</v>
      </c>
      <c r="M386" s="225"/>
      <c r="N386" s="225"/>
      <c r="O386" s="225"/>
      <c r="P386" s="225"/>
      <c r="Q386" s="228"/>
      <c r="R386" s="225"/>
      <c r="S386" s="225"/>
      <c r="T386" s="180"/>
      <c r="U386" s="180"/>
      <c r="V386" s="180"/>
      <c r="W386" s="180"/>
      <c r="X386" s="180"/>
      <c r="Y386" s="183"/>
    </row>
    <row r="387" spans="1:25" ht="26.6" customHeight="1" x14ac:dyDescent="0.3">
      <c r="A387" s="176"/>
      <c r="B387" s="226"/>
      <c r="C387" s="71" t="s">
        <v>123</v>
      </c>
      <c r="D387" s="71" t="str">
        <f t="shared" ref="D387:L387" si="125">IF(((D385="")*AND(D386="")),"",(D385-D386)*3)</f>
        <v/>
      </c>
      <c r="E387" s="71" t="str">
        <f t="shared" si="125"/>
        <v/>
      </c>
      <c r="F387" s="71" t="str">
        <f t="shared" si="125"/>
        <v/>
      </c>
      <c r="G387" s="71" t="str">
        <f t="shared" si="125"/>
        <v/>
      </c>
      <c r="H387" s="71" t="str">
        <f t="shared" si="125"/>
        <v/>
      </c>
      <c r="I387" s="71" t="str">
        <f t="shared" si="125"/>
        <v/>
      </c>
      <c r="J387" s="71" t="str">
        <f t="shared" si="125"/>
        <v/>
      </c>
      <c r="K387" s="71" t="str">
        <f t="shared" si="125"/>
        <v/>
      </c>
      <c r="L387" s="71" t="str">
        <f t="shared" si="125"/>
        <v/>
      </c>
      <c r="M387" s="226"/>
      <c r="N387" s="226"/>
      <c r="O387" s="226"/>
      <c r="P387" s="226"/>
      <c r="Q387" s="229"/>
      <c r="R387" s="226"/>
      <c r="S387" s="226"/>
      <c r="T387" s="181"/>
      <c r="U387" s="181"/>
      <c r="V387" s="181"/>
      <c r="W387" s="181"/>
      <c r="X387" s="181"/>
      <c r="Y387" s="183"/>
    </row>
    <row r="388" spans="1:25" x14ac:dyDescent="0.3">
      <c r="A388" s="174"/>
      <c r="B388" s="224" t="s">
        <v>124</v>
      </c>
      <c r="C388" s="71" t="s">
        <v>88</v>
      </c>
      <c r="M388" s="224" t="str">
        <f>IF((L389=""),"",MAX(D390:L390))</f>
        <v/>
      </c>
      <c r="N388" s="224" t="str">
        <f>IF(L389="","",MIN(D390:L390))</f>
        <v/>
      </c>
      <c r="O388" s="224" t="str">
        <f>IF((L390=""),"",AVERAGE(D390:L390))</f>
        <v/>
      </c>
      <c r="P388" s="224" t="str">
        <f>IF((L389=""),"",((M388-N388)/(M388+N388))*100)</f>
        <v/>
      </c>
      <c r="Q388" s="227" t="str">
        <f>IF(L389="","",IF(P390&lt;20,(IF(O388&gt;19000,IF(O388&lt;49000,"Pass","Fail"),"Fail"))))</f>
        <v/>
      </c>
      <c r="R388" s="224"/>
      <c r="S388" s="224"/>
      <c r="T388" s="179"/>
      <c r="U388" s="179">
        <v>19000</v>
      </c>
      <c r="V388" s="179">
        <v>49000</v>
      </c>
      <c r="W388" s="179">
        <v>33000</v>
      </c>
      <c r="X388" s="185">
        <v>44000</v>
      </c>
      <c r="Y388" s="182">
        <v>20</v>
      </c>
    </row>
    <row r="389" spans="1:25" x14ac:dyDescent="0.3">
      <c r="A389" s="175"/>
      <c r="B389" s="225"/>
      <c r="C389" s="71" t="s">
        <v>89</v>
      </c>
      <c r="M389" s="225"/>
      <c r="N389" s="225"/>
      <c r="O389" s="225"/>
      <c r="P389" s="225"/>
      <c r="Q389" s="228"/>
      <c r="R389" s="225"/>
      <c r="S389" s="225"/>
      <c r="T389" s="180"/>
      <c r="U389" s="180"/>
      <c r="V389" s="180"/>
      <c r="W389" s="180"/>
      <c r="X389" s="186"/>
      <c r="Y389" s="183"/>
    </row>
    <row r="390" spans="1:25" ht="26.05" customHeight="1" x14ac:dyDescent="0.3">
      <c r="A390" s="176"/>
      <c r="B390" s="226"/>
      <c r="C390" s="71" t="s">
        <v>123</v>
      </c>
      <c r="D390" s="71" t="str">
        <f t="shared" ref="D390:L390" si="126">IF(((D388="")*AND(D389="")),"",(D388-D389)*3)</f>
        <v/>
      </c>
      <c r="E390" s="71" t="str">
        <f t="shared" si="126"/>
        <v/>
      </c>
      <c r="F390" s="71" t="str">
        <f t="shared" si="126"/>
        <v/>
      </c>
      <c r="G390" s="71" t="str">
        <f t="shared" si="126"/>
        <v/>
      </c>
      <c r="H390" s="71" t="str">
        <f t="shared" si="126"/>
        <v/>
      </c>
      <c r="I390" s="71" t="str">
        <f t="shared" si="126"/>
        <v/>
      </c>
      <c r="J390" s="71" t="str">
        <f t="shared" si="126"/>
        <v/>
      </c>
      <c r="K390" s="71" t="str">
        <f t="shared" si="126"/>
        <v/>
      </c>
      <c r="L390" s="71" t="str">
        <f t="shared" si="126"/>
        <v/>
      </c>
      <c r="M390" s="226"/>
      <c r="N390" s="226"/>
      <c r="O390" s="226"/>
      <c r="P390" s="226"/>
      <c r="Q390" s="229"/>
      <c r="R390" s="226"/>
      <c r="S390" s="226"/>
      <c r="T390" s="181"/>
      <c r="U390" s="181"/>
      <c r="V390" s="181"/>
      <c r="W390" s="181"/>
      <c r="X390" s="187"/>
      <c r="Y390" s="184"/>
    </row>
  </sheetData>
  <mergeCells count="1016">
    <mergeCell ref="Q10:Q12"/>
    <mergeCell ref="R10:R12"/>
    <mergeCell ref="S10:S12"/>
    <mergeCell ref="B10:B12"/>
    <mergeCell ref="M10:M12"/>
    <mergeCell ref="N10:N12"/>
    <mergeCell ref="O10:O12"/>
    <mergeCell ref="P10:P12"/>
    <mergeCell ref="B19:B21"/>
    <mergeCell ref="M19:M21"/>
    <mergeCell ref="N19:N21"/>
    <mergeCell ref="O19:O21"/>
    <mergeCell ref="P19:P21"/>
    <mergeCell ref="Q19:Q21"/>
    <mergeCell ref="R19:R21"/>
    <mergeCell ref="S19:S21"/>
    <mergeCell ref="S16:S18"/>
    <mergeCell ref="B16:B18"/>
    <mergeCell ref="M16:M18"/>
    <mergeCell ref="N16:N18"/>
    <mergeCell ref="O16:O18"/>
    <mergeCell ref="P16:P18"/>
    <mergeCell ref="Q16:Q18"/>
    <mergeCell ref="R16:R18"/>
    <mergeCell ref="R13:R15"/>
    <mergeCell ref="S13:S15"/>
    <mergeCell ref="B13:B15"/>
    <mergeCell ref="M13:M15"/>
    <mergeCell ref="N13:N15"/>
    <mergeCell ref="O13:O15"/>
    <mergeCell ref="P13:P15"/>
    <mergeCell ref="Q13:Q15"/>
    <mergeCell ref="S28:S30"/>
    <mergeCell ref="B28:B30"/>
    <mergeCell ref="M28:M30"/>
    <mergeCell ref="N28:N30"/>
    <mergeCell ref="O28:O30"/>
    <mergeCell ref="P28:P30"/>
    <mergeCell ref="Q28:Q30"/>
    <mergeCell ref="R28:R30"/>
    <mergeCell ref="R25:R27"/>
    <mergeCell ref="S25:S27"/>
    <mergeCell ref="B25:B27"/>
    <mergeCell ref="M25:M27"/>
    <mergeCell ref="N25:N27"/>
    <mergeCell ref="O25:O27"/>
    <mergeCell ref="P25:P27"/>
    <mergeCell ref="Q25:Q27"/>
    <mergeCell ref="Q22:Q24"/>
    <mergeCell ref="R22:R24"/>
    <mergeCell ref="S22:S24"/>
    <mergeCell ref="B22:B24"/>
    <mergeCell ref="M22:M24"/>
    <mergeCell ref="N22:N24"/>
    <mergeCell ref="O22:O24"/>
    <mergeCell ref="P22:P24"/>
    <mergeCell ref="R37:R39"/>
    <mergeCell ref="S37:S39"/>
    <mergeCell ref="B37:B39"/>
    <mergeCell ref="M37:M39"/>
    <mergeCell ref="N37:N39"/>
    <mergeCell ref="O37:O39"/>
    <mergeCell ref="P37:P39"/>
    <mergeCell ref="Q37:Q39"/>
    <mergeCell ref="Q34:Q36"/>
    <mergeCell ref="R34:R36"/>
    <mergeCell ref="S34:S36"/>
    <mergeCell ref="B34:B36"/>
    <mergeCell ref="M34:M36"/>
    <mergeCell ref="N34:N36"/>
    <mergeCell ref="O34:O36"/>
    <mergeCell ref="P34:P36"/>
    <mergeCell ref="B31:B33"/>
    <mergeCell ref="M31:M33"/>
    <mergeCell ref="N31:N33"/>
    <mergeCell ref="O31:O33"/>
    <mergeCell ref="P31:P33"/>
    <mergeCell ref="Q31:Q33"/>
    <mergeCell ref="R31:R33"/>
    <mergeCell ref="S31:S33"/>
    <mergeCell ref="Q46:Q48"/>
    <mergeCell ref="R46:R48"/>
    <mergeCell ref="S46:S48"/>
    <mergeCell ref="B46:B48"/>
    <mergeCell ref="M46:M48"/>
    <mergeCell ref="N46:N48"/>
    <mergeCell ref="O46:O48"/>
    <mergeCell ref="P46:P48"/>
    <mergeCell ref="B43:B45"/>
    <mergeCell ref="M43:M45"/>
    <mergeCell ref="N43:N45"/>
    <mergeCell ref="O43:O45"/>
    <mergeCell ref="P43:P45"/>
    <mergeCell ref="Q43:Q45"/>
    <mergeCell ref="R43:R45"/>
    <mergeCell ref="S43:S45"/>
    <mergeCell ref="S40:S42"/>
    <mergeCell ref="B40:B42"/>
    <mergeCell ref="M40:M42"/>
    <mergeCell ref="N40:N42"/>
    <mergeCell ref="O40:O42"/>
    <mergeCell ref="P40:P42"/>
    <mergeCell ref="Q40:Q42"/>
    <mergeCell ref="R40:R42"/>
    <mergeCell ref="B55:B57"/>
    <mergeCell ref="M55:M57"/>
    <mergeCell ref="N55:N57"/>
    <mergeCell ref="O55:O57"/>
    <mergeCell ref="P55:P57"/>
    <mergeCell ref="Q55:Q57"/>
    <mergeCell ref="R55:R57"/>
    <mergeCell ref="S55:S57"/>
    <mergeCell ref="S52:S54"/>
    <mergeCell ref="B52:B54"/>
    <mergeCell ref="M52:M54"/>
    <mergeCell ref="N52:N54"/>
    <mergeCell ref="O52:O54"/>
    <mergeCell ref="P52:P54"/>
    <mergeCell ref="Q52:Q54"/>
    <mergeCell ref="R52:R54"/>
    <mergeCell ref="R49:R51"/>
    <mergeCell ref="S49:S51"/>
    <mergeCell ref="B49:B51"/>
    <mergeCell ref="M49:M51"/>
    <mergeCell ref="N49:N51"/>
    <mergeCell ref="O49:O51"/>
    <mergeCell ref="P49:P51"/>
    <mergeCell ref="Q49:Q51"/>
    <mergeCell ref="S64:S66"/>
    <mergeCell ref="B64:B66"/>
    <mergeCell ref="M64:M66"/>
    <mergeCell ref="N64:N66"/>
    <mergeCell ref="O64:O66"/>
    <mergeCell ref="P64:P66"/>
    <mergeCell ref="Q64:Q66"/>
    <mergeCell ref="R64:R66"/>
    <mergeCell ref="R61:R63"/>
    <mergeCell ref="S61:S63"/>
    <mergeCell ref="B61:B63"/>
    <mergeCell ref="M61:M63"/>
    <mergeCell ref="N61:N63"/>
    <mergeCell ref="O61:O63"/>
    <mergeCell ref="P61:P63"/>
    <mergeCell ref="Q61:Q63"/>
    <mergeCell ref="Q58:Q60"/>
    <mergeCell ref="R58:R60"/>
    <mergeCell ref="S58:S60"/>
    <mergeCell ref="B58:B60"/>
    <mergeCell ref="M58:M60"/>
    <mergeCell ref="N58:N60"/>
    <mergeCell ref="O58:O60"/>
    <mergeCell ref="P58:P60"/>
    <mergeCell ref="R73:R75"/>
    <mergeCell ref="S73:S75"/>
    <mergeCell ref="B73:B75"/>
    <mergeCell ref="M73:M75"/>
    <mergeCell ref="N73:N75"/>
    <mergeCell ref="O73:O75"/>
    <mergeCell ref="P73:P75"/>
    <mergeCell ref="Q73:Q75"/>
    <mergeCell ref="Q70:Q72"/>
    <mergeCell ref="R70:R72"/>
    <mergeCell ref="S70:S72"/>
    <mergeCell ref="B70:B72"/>
    <mergeCell ref="M70:M72"/>
    <mergeCell ref="N70:N72"/>
    <mergeCell ref="O70:O72"/>
    <mergeCell ref="P70:P72"/>
    <mergeCell ref="B67:B69"/>
    <mergeCell ref="M67:M69"/>
    <mergeCell ref="N67:N69"/>
    <mergeCell ref="O67:O69"/>
    <mergeCell ref="P67:P69"/>
    <mergeCell ref="Q67:Q69"/>
    <mergeCell ref="R67:R69"/>
    <mergeCell ref="S67:S69"/>
    <mergeCell ref="Q82:Q84"/>
    <mergeCell ref="R82:R84"/>
    <mergeCell ref="S82:S84"/>
    <mergeCell ref="B82:B84"/>
    <mergeCell ref="M82:M84"/>
    <mergeCell ref="N82:N84"/>
    <mergeCell ref="O82:O84"/>
    <mergeCell ref="P82:P84"/>
    <mergeCell ref="B79:B81"/>
    <mergeCell ref="M79:M81"/>
    <mergeCell ref="N79:N81"/>
    <mergeCell ref="O79:O81"/>
    <mergeCell ref="P79:P81"/>
    <mergeCell ref="Q79:Q81"/>
    <mergeCell ref="R79:R81"/>
    <mergeCell ref="S79:S81"/>
    <mergeCell ref="S76:S78"/>
    <mergeCell ref="B76:B78"/>
    <mergeCell ref="M76:M78"/>
    <mergeCell ref="N76:N78"/>
    <mergeCell ref="O76:O78"/>
    <mergeCell ref="P76:P78"/>
    <mergeCell ref="Q76:Q78"/>
    <mergeCell ref="R76:R78"/>
    <mergeCell ref="B91:B93"/>
    <mergeCell ref="M91:M93"/>
    <mergeCell ref="N91:N93"/>
    <mergeCell ref="O91:O93"/>
    <mergeCell ref="P91:P93"/>
    <mergeCell ref="Q91:Q93"/>
    <mergeCell ref="R91:R93"/>
    <mergeCell ref="S91:S93"/>
    <mergeCell ref="S88:S90"/>
    <mergeCell ref="B88:B90"/>
    <mergeCell ref="M88:M90"/>
    <mergeCell ref="N88:N90"/>
    <mergeCell ref="O88:O90"/>
    <mergeCell ref="P88:P90"/>
    <mergeCell ref="Q88:Q90"/>
    <mergeCell ref="R88:R90"/>
    <mergeCell ref="R85:R87"/>
    <mergeCell ref="S85:S87"/>
    <mergeCell ref="B85:B87"/>
    <mergeCell ref="M85:M87"/>
    <mergeCell ref="N85:N87"/>
    <mergeCell ref="O85:O87"/>
    <mergeCell ref="P85:P87"/>
    <mergeCell ref="Q85:Q87"/>
    <mergeCell ref="S100:S102"/>
    <mergeCell ref="B100:B102"/>
    <mergeCell ref="M100:M102"/>
    <mergeCell ref="N100:N102"/>
    <mergeCell ref="O100:O102"/>
    <mergeCell ref="P100:P102"/>
    <mergeCell ref="Q100:Q102"/>
    <mergeCell ref="R100:R102"/>
    <mergeCell ref="R97:R99"/>
    <mergeCell ref="S97:S99"/>
    <mergeCell ref="B97:B99"/>
    <mergeCell ref="M97:M99"/>
    <mergeCell ref="N97:N99"/>
    <mergeCell ref="O97:O99"/>
    <mergeCell ref="P97:P99"/>
    <mergeCell ref="Q97:Q99"/>
    <mergeCell ref="Q94:Q96"/>
    <mergeCell ref="R94:R96"/>
    <mergeCell ref="S94:S96"/>
    <mergeCell ref="B94:B96"/>
    <mergeCell ref="M94:M96"/>
    <mergeCell ref="N94:N96"/>
    <mergeCell ref="O94:O96"/>
    <mergeCell ref="P94:P96"/>
    <mergeCell ref="R109:R111"/>
    <mergeCell ref="S109:S111"/>
    <mergeCell ref="B109:B111"/>
    <mergeCell ref="M109:M111"/>
    <mergeCell ref="N109:N111"/>
    <mergeCell ref="O109:O111"/>
    <mergeCell ref="P109:P111"/>
    <mergeCell ref="Q109:Q111"/>
    <mergeCell ref="Q106:Q108"/>
    <mergeCell ref="R106:R108"/>
    <mergeCell ref="S106:S108"/>
    <mergeCell ref="B106:B108"/>
    <mergeCell ref="M106:M108"/>
    <mergeCell ref="N106:N108"/>
    <mergeCell ref="O106:O108"/>
    <mergeCell ref="P106:P108"/>
    <mergeCell ref="B103:B105"/>
    <mergeCell ref="M103:M105"/>
    <mergeCell ref="N103:N105"/>
    <mergeCell ref="O103:O105"/>
    <mergeCell ref="P103:P105"/>
    <mergeCell ref="Q103:Q105"/>
    <mergeCell ref="R103:R105"/>
    <mergeCell ref="S103:S105"/>
    <mergeCell ref="Q118:Q120"/>
    <mergeCell ref="R118:R120"/>
    <mergeCell ref="S118:S120"/>
    <mergeCell ref="B118:B120"/>
    <mergeCell ref="M118:M120"/>
    <mergeCell ref="N118:N120"/>
    <mergeCell ref="O118:O120"/>
    <mergeCell ref="P118:P120"/>
    <mergeCell ref="B115:B117"/>
    <mergeCell ref="M115:M117"/>
    <mergeCell ref="N115:N117"/>
    <mergeCell ref="O115:O117"/>
    <mergeCell ref="P115:P117"/>
    <mergeCell ref="Q115:Q117"/>
    <mergeCell ref="R115:R117"/>
    <mergeCell ref="S115:S117"/>
    <mergeCell ref="S112:S114"/>
    <mergeCell ref="B112:B114"/>
    <mergeCell ref="M112:M114"/>
    <mergeCell ref="N112:N114"/>
    <mergeCell ref="O112:O114"/>
    <mergeCell ref="P112:P114"/>
    <mergeCell ref="Q112:Q114"/>
    <mergeCell ref="R112:R114"/>
    <mergeCell ref="B127:B129"/>
    <mergeCell ref="M127:M129"/>
    <mergeCell ref="N127:N129"/>
    <mergeCell ref="O127:O129"/>
    <mergeCell ref="P127:P129"/>
    <mergeCell ref="Q127:Q129"/>
    <mergeCell ref="R127:R129"/>
    <mergeCell ref="S127:S129"/>
    <mergeCell ref="S124:S126"/>
    <mergeCell ref="B124:B126"/>
    <mergeCell ref="M124:M126"/>
    <mergeCell ref="N124:N126"/>
    <mergeCell ref="O124:O126"/>
    <mergeCell ref="P124:P126"/>
    <mergeCell ref="Q124:Q126"/>
    <mergeCell ref="R124:R126"/>
    <mergeCell ref="R121:R123"/>
    <mergeCell ref="S121:S123"/>
    <mergeCell ref="B121:B123"/>
    <mergeCell ref="M121:M123"/>
    <mergeCell ref="N121:N123"/>
    <mergeCell ref="O121:O123"/>
    <mergeCell ref="P121:P123"/>
    <mergeCell ref="Q121:Q123"/>
    <mergeCell ref="S136:S138"/>
    <mergeCell ref="B136:B138"/>
    <mergeCell ref="M136:M138"/>
    <mergeCell ref="N136:N138"/>
    <mergeCell ref="O136:O138"/>
    <mergeCell ref="P136:P138"/>
    <mergeCell ref="Q136:Q138"/>
    <mergeCell ref="R136:R138"/>
    <mergeCell ref="R133:R135"/>
    <mergeCell ref="S133:S135"/>
    <mergeCell ref="B133:B135"/>
    <mergeCell ref="M133:M135"/>
    <mergeCell ref="N133:N135"/>
    <mergeCell ref="O133:O135"/>
    <mergeCell ref="P133:P135"/>
    <mergeCell ref="Q133:Q135"/>
    <mergeCell ref="Q130:Q132"/>
    <mergeCell ref="R130:R132"/>
    <mergeCell ref="S130:S132"/>
    <mergeCell ref="B130:B132"/>
    <mergeCell ref="M130:M132"/>
    <mergeCell ref="N130:N132"/>
    <mergeCell ref="O130:O132"/>
    <mergeCell ref="P130:P132"/>
    <mergeCell ref="R145:R147"/>
    <mergeCell ref="S145:S147"/>
    <mergeCell ref="B145:B147"/>
    <mergeCell ref="M145:M147"/>
    <mergeCell ref="N145:N147"/>
    <mergeCell ref="O145:O147"/>
    <mergeCell ref="P145:P147"/>
    <mergeCell ref="Q145:Q147"/>
    <mergeCell ref="Q142:Q144"/>
    <mergeCell ref="R142:R144"/>
    <mergeCell ref="S142:S144"/>
    <mergeCell ref="B142:B144"/>
    <mergeCell ref="M142:M144"/>
    <mergeCell ref="N142:N144"/>
    <mergeCell ref="O142:O144"/>
    <mergeCell ref="P142:P144"/>
    <mergeCell ref="B139:B141"/>
    <mergeCell ref="M139:M141"/>
    <mergeCell ref="N139:N141"/>
    <mergeCell ref="O139:O141"/>
    <mergeCell ref="P139:P141"/>
    <mergeCell ref="Q139:Q141"/>
    <mergeCell ref="R139:R141"/>
    <mergeCell ref="S139:S141"/>
    <mergeCell ref="Q154:Q156"/>
    <mergeCell ref="R154:R156"/>
    <mergeCell ref="S154:S156"/>
    <mergeCell ref="B154:B156"/>
    <mergeCell ref="M154:M156"/>
    <mergeCell ref="N154:N156"/>
    <mergeCell ref="O154:O156"/>
    <mergeCell ref="P154:P156"/>
    <mergeCell ref="B151:B153"/>
    <mergeCell ref="M151:M153"/>
    <mergeCell ref="N151:N153"/>
    <mergeCell ref="O151:O153"/>
    <mergeCell ref="P151:P153"/>
    <mergeCell ref="Q151:Q153"/>
    <mergeCell ref="R151:R153"/>
    <mergeCell ref="S151:S153"/>
    <mergeCell ref="S148:S150"/>
    <mergeCell ref="B148:B150"/>
    <mergeCell ref="M148:M150"/>
    <mergeCell ref="N148:N150"/>
    <mergeCell ref="O148:O150"/>
    <mergeCell ref="P148:P150"/>
    <mergeCell ref="Q148:Q150"/>
    <mergeCell ref="R148:R150"/>
    <mergeCell ref="B163:B165"/>
    <mergeCell ref="M163:M165"/>
    <mergeCell ref="N163:N165"/>
    <mergeCell ref="O163:O165"/>
    <mergeCell ref="P163:P165"/>
    <mergeCell ref="Q163:Q165"/>
    <mergeCell ref="R163:R165"/>
    <mergeCell ref="S163:S165"/>
    <mergeCell ref="S160:S162"/>
    <mergeCell ref="B160:B162"/>
    <mergeCell ref="M160:M162"/>
    <mergeCell ref="N160:N162"/>
    <mergeCell ref="O160:O162"/>
    <mergeCell ref="P160:P162"/>
    <mergeCell ref="Q160:Q162"/>
    <mergeCell ref="R160:R162"/>
    <mergeCell ref="R157:R159"/>
    <mergeCell ref="S157:S159"/>
    <mergeCell ref="B157:B159"/>
    <mergeCell ref="M157:M159"/>
    <mergeCell ref="N157:N159"/>
    <mergeCell ref="O157:O159"/>
    <mergeCell ref="P157:P159"/>
    <mergeCell ref="Q157:Q159"/>
    <mergeCell ref="S172:S174"/>
    <mergeCell ref="B172:B174"/>
    <mergeCell ref="M172:M174"/>
    <mergeCell ref="N172:N174"/>
    <mergeCell ref="O172:O174"/>
    <mergeCell ref="P172:P174"/>
    <mergeCell ref="Q172:Q174"/>
    <mergeCell ref="R172:R174"/>
    <mergeCell ref="R169:R171"/>
    <mergeCell ref="S169:S171"/>
    <mergeCell ref="B169:B171"/>
    <mergeCell ref="M169:M171"/>
    <mergeCell ref="N169:N171"/>
    <mergeCell ref="O169:O171"/>
    <mergeCell ref="P169:P171"/>
    <mergeCell ref="Q169:Q171"/>
    <mergeCell ref="Q166:Q168"/>
    <mergeCell ref="R166:R168"/>
    <mergeCell ref="S166:S168"/>
    <mergeCell ref="B166:B168"/>
    <mergeCell ref="M166:M168"/>
    <mergeCell ref="N166:N168"/>
    <mergeCell ref="O166:O168"/>
    <mergeCell ref="P166:P168"/>
    <mergeCell ref="R181:R183"/>
    <mergeCell ref="S181:S183"/>
    <mergeCell ref="B181:B183"/>
    <mergeCell ref="M181:M183"/>
    <mergeCell ref="N181:N183"/>
    <mergeCell ref="O181:O183"/>
    <mergeCell ref="P181:P183"/>
    <mergeCell ref="Q181:Q183"/>
    <mergeCell ref="Q178:Q180"/>
    <mergeCell ref="R178:R180"/>
    <mergeCell ref="S178:S180"/>
    <mergeCell ref="B178:B180"/>
    <mergeCell ref="M178:M180"/>
    <mergeCell ref="N178:N180"/>
    <mergeCell ref="O178:O180"/>
    <mergeCell ref="P178:P180"/>
    <mergeCell ref="B175:B177"/>
    <mergeCell ref="M175:M177"/>
    <mergeCell ref="N175:N177"/>
    <mergeCell ref="O175:O177"/>
    <mergeCell ref="P175:P177"/>
    <mergeCell ref="Q175:Q177"/>
    <mergeCell ref="R175:R177"/>
    <mergeCell ref="S175:S177"/>
    <mergeCell ref="Q190:Q192"/>
    <mergeCell ref="R190:R192"/>
    <mergeCell ref="S190:S192"/>
    <mergeCell ref="B190:B192"/>
    <mergeCell ref="M190:M192"/>
    <mergeCell ref="N190:N192"/>
    <mergeCell ref="O190:O192"/>
    <mergeCell ref="P190:P192"/>
    <mergeCell ref="B187:B189"/>
    <mergeCell ref="M187:M189"/>
    <mergeCell ref="N187:N189"/>
    <mergeCell ref="O187:O189"/>
    <mergeCell ref="P187:P189"/>
    <mergeCell ref="Q187:Q189"/>
    <mergeCell ref="R187:R189"/>
    <mergeCell ref="S187:S189"/>
    <mergeCell ref="S184:S186"/>
    <mergeCell ref="B184:B186"/>
    <mergeCell ref="M184:M186"/>
    <mergeCell ref="N184:N186"/>
    <mergeCell ref="O184:O186"/>
    <mergeCell ref="P184:P186"/>
    <mergeCell ref="Q184:Q186"/>
    <mergeCell ref="R184:R186"/>
    <mergeCell ref="B199:B201"/>
    <mergeCell ref="M199:M201"/>
    <mergeCell ref="N199:N201"/>
    <mergeCell ref="O199:O201"/>
    <mergeCell ref="P199:P201"/>
    <mergeCell ref="Q199:Q201"/>
    <mergeCell ref="R199:R201"/>
    <mergeCell ref="S199:S201"/>
    <mergeCell ref="S196:S198"/>
    <mergeCell ref="B196:B198"/>
    <mergeCell ref="M196:M198"/>
    <mergeCell ref="N196:N198"/>
    <mergeCell ref="O196:O198"/>
    <mergeCell ref="P196:P198"/>
    <mergeCell ref="Q196:Q198"/>
    <mergeCell ref="R196:R198"/>
    <mergeCell ref="R193:R195"/>
    <mergeCell ref="S193:S195"/>
    <mergeCell ref="B193:B195"/>
    <mergeCell ref="M193:M195"/>
    <mergeCell ref="N193:N195"/>
    <mergeCell ref="O193:O195"/>
    <mergeCell ref="P193:P195"/>
    <mergeCell ref="Q193:Q195"/>
    <mergeCell ref="S208:S210"/>
    <mergeCell ref="B208:B210"/>
    <mergeCell ref="M208:M210"/>
    <mergeCell ref="N208:N210"/>
    <mergeCell ref="O208:O210"/>
    <mergeCell ref="P208:P210"/>
    <mergeCell ref="Q208:Q210"/>
    <mergeCell ref="R208:R210"/>
    <mergeCell ref="R205:R207"/>
    <mergeCell ref="S205:S207"/>
    <mergeCell ref="B205:B207"/>
    <mergeCell ref="M205:M207"/>
    <mergeCell ref="N205:N207"/>
    <mergeCell ref="O205:O207"/>
    <mergeCell ref="P205:P207"/>
    <mergeCell ref="Q205:Q207"/>
    <mergeCell ref="Q202:Q204"/>
    <mergeCell ref="R202:R204"/>
    <mergeCell ref="S202:S204"/>
    <mergeCell ref="B202:B204"/>
    <mergeCell ref="M202:M204"/>
    <mergeCell ref="N202:N204"/>
    <mergeCell ref="O202:O204"/>
    <mergeCell ref="P202:P204"/>
    <mergeCell ref="R217:R219"/>
    <mergeCell ref="S217:S219"/>
    <mergeCell ref="B217:B219"/>
    <mergeCell ref="M217:M219"/>
    <mergeCell ref="N217:N219"/>
    <mergeCell ref="O217:O219"/>
    <mergeCell ref="P217:P219"/>
    <mergeCell ref="Q217:Q219"/>
    <mergeCell ref="Q214:Q216"/>
    <mergeCell ref="R214:R216"/>
    <mergeCell ref="S214:S216"/>
    <mergeCell ref="B214:B216"/>
    <mergeCell ref="M214:M216"/>
    <mergeCell ref="N214:N216"/>
    <mergeCell ref="O214:O216"/>
    <mergeCell ref="P214:P216"/>
    <mergeCell ref="B211:B213"/>
    <mergeCell ref="M211:M213"/>
    <mergeCell ref="N211:N213"/>
    <mergeCell ref="O211:O213"/>
    <mergeCell ref="P211:P213"/>
    <mergeCell ref="Q211:Q213"/>
    <mergeCell ref="R211:R213"/>
    <mergeCell ref="S211:S213"/>
    <mergeCell ref="Q226:Q228"/>
    <mergeCell ref="R226:R228"/>
    <mergeCell ref="S226:S228"/>
    <mergeCell ref="B226:B228"/>
    <mergeCell ref="M226:M228"/>
    <mergeCell ref="N226:N228"/>
    <mergeCell ref="O226:O228"/>
    <mergeCell ref="P226:P228"/>
    <mergeCell ref="B223:B225"/>
    <mergeCell ref="M223:M225"/>
    <mergeCell ref="N223:N225"/>
    <mergeCell ref="O223:O225"/>
    <mergeCell ref="P223:P225"/>
    <mergeCell ref="Q223:Q225"/>
    <mergeCell ref="R223:R225"/>
    <mergeCell ref="S223:S225"/>
    <mergeCell ref="S220:S222"/>
    <mergeCell ref="B220:B222"/>
    <mergeCell ref="M220:M222"/>
    <mergeCell ref="N220:N222"/>
    <mergeCell ref="O220:O222"/>
    <mergeCell ref="P220:P222"/>
    <mergeCell ref="Q220:Q222"/>
    <mergeCell ref="R220:R222"/>
    <mergeCell ref="B235:B237"/>
    <mergeCell ref="M235:M237"/>
    <mergeCell ref="N235:N237"/>
    <mergeCell ref="O235:O237"/>
    <mergeCell ref="P235:P237"/>
    <mergeCell ref="Q235:Q237"/>
    <mergeCell ref="R235:R237"/>
    <mergeCell ref="S235:S237"/>
    <mergeCell ref="S232:S234"/>
    <mergeCell ref="B232:B234"/>
    <mergeCell ref="M232:M234"/>
    <mergeCell ref="N232:N234"/>
    <mergeCell ref="O232:O234"/>
    <mergeCell ref="P232:P234"/>
    <mergeCell ref="Q232:Q234"/>
    <mergeCell ref="R232:R234"/>
    <mergeCell ref="R229:R231"/>
    <mergeCell ref="S229:S231"/>
    <mergeCell ref="B229:B231"/>
    <mergeCell ref="M229:M231"/>
    <mergeCell ref="N229:N231"/>
    <mergeCell ref="O229:O231"/>
    <mergeCell ref="P229:P231"/>
    <mergeCell ref="Q229:Q231"/>
    <mergeCell ref="S244:S246"/>
    <mergeCell ref="B244:B246"/>
    <mergeCell ref="M244:M246"/>
    <mergeCell ref="N244:N246"/>
    <mergeCell ref="O244:O246"/>
    <mergeCell ref="P244:P246"/>
    <mergeCell ref="Q244:Q246"/>
    <mergeCell ref="R244:R246"/>
    <mergeCell ref="R241:R243"/>
    <mergeCell ref="S241:S243"/>
    <mergeCell ref="B241:B243"/>
    <mergeCell ref="M241:M243"/>
    <mergeCell ref="N241:N243"/>
    <mergeCell ref="O241:O243"/>
    <mergeCell ref="P241:P243"/>
    <mergeCell ref="Q241:Q243"/>
    <mergeCell ref="Q238:Q240"/>
    <mergeCell ref="R238:R240"/>
    <mergeCell ref="S238:S240"/>
    <mergeCell ref="B238:B240"/>
    <mergeCell ref="M238:M240"/>
    <mergeCell ref="N238:N240"/>
    <mergeCell ref="O238:O240"/>
    <mergeCell ref="P238:P240"/>
    <mergeCell ref="R253:R255"/>
    <mergeCell ref="S253:S255"/>
    <mergeCell ref="B253:B255"/>
    <mergeCell ref="M253:M255"/>
    <mergeCell ref="N253:N255"/>
    <mergeCell ref="O253:O255"/>
    <mergeCell ref="P253:P255"/>
    <mergeCell ref="Q253:Q255"/>
    <mergeCell ref="Q250:Q252"/>
    <mergeCell ref="R250:R252"/>
    <mergeCell ref="S250:S252"/>
    <mergeCell ref="B250:B252"/>
    <mergeCell ref="M250:M252"/>
    <mergeCell ref="N250:N252"/>
    <mergeCell ref="O250:O252"/>
    <mergeCell ref="P250:P252"/>
    <mergeCell ref="B247:B249"/>
    <mergeCell ref="M247:M249"/>
    <mergeCell ref="N247:N249"/>
    <mergeCell ref="O247:O249"/>
    <mergeCell ref="P247:P249"/>
    <mergeCell ref="Q247:Q249"/>
    <mergeCell ref="R247:R249"/>
    <mergeCell ref="S247:S249"/>
    <mergeCell ref="Q262:Q264"/>
    <mergeCell ref="R262:R264"/>
    <mergeCell ref="S262:S264"/>
    <mergeCell ref="B262:B264"/>
    <mergeCell ref="M262:M264"/>
    <mergeCell ref="N262:N264"/>
    <mergeCell ref="O262:O264"/>
    <mergeCell ref="P262:P264"/>
    <mergeCell ref="B259:B261"/>
    <mergeCell ref="M259:M261"/>
    <mergeCell ref="N259:N261"/>
    <mergeCell ref="O259:O261"/>
    <mergeCell ref="P259:P261"/>
    <mergeCell ref="Q259:Q261"/>
    <mergeCell ref="R259:R261"/>
    <mergeCell ref="S259:S261"/>
    <mergeCell ref="S256:S258"/>
    <mergeCell ref="B256:B258"/>
    <mergeCell ref="M256:M258"/>
    <mergeCell ref="N256:N258"/>
    <mergeCell ref="O256:O258"/>
    <mergeCell ref="P256:P258"/>
    <mergeCell ref="Q256:Q258"/>
    <mergeCell ref="R256:R258"/>
    <mergeCell ref="Q271:Q273"/>
    <mergeCell ref="R271:R273"/>
    <mergeCell ref="S271:S273"/>
    <mergeCell ref="B271:B273"/>
    <mergeCell ref="M271:M273"/>
    <mergeCell ref="N271:N273"/>
    <mergeCell ref="O271:O273"/>
    <mergeCell ref="P271:P273"/>
    <mergeCell ref="S268:S270"/>
    <mergeCell ref="B268:B270"/>
    <mergeCell ref="M268:M270"/>
    <mergeCell ref="N268:N270"/>
    <mergeCell ref="O268:O270"/>
    <mergeCell ref="P268:P270"/>
    <mergeCell ref="Q268:Q270"/>
    <mergeCell ref="R268:R270"/>
    <mergeCell ref="R265:R267"/>
    <mergeCell ref="S265:S267"/>
    <mergeCell ref="B265:B267"/>
    <mergeCell ref="M265:M267"/>
    <mergeCell ref="N265:N267"/>
    <mergeCell ref="O265:O267"/>
    <mergeCell ref="P265:P267"/>
    <mergeCell ref="Q265:Q267"/>
    <mergeCell ref="S280:S282"/>
    <mergeCell ref="B280:B282"/>
    <mergeCell ref="M280:M282"/>
    <mergeCell ref="N280:N282"/>
    <mergeCell ref="O280:O282"/>
    <mergeCell ref="P280:P282"/>
    <mergeCell ref="Q280:Q282"/>
    <mergeCell ref="R280:R282"/>
    <mergeCell ref="Q277:Q279"/>
    <mergeCell ref="R277:R279"/>
    <mergeCell ref="S277:S279"/>
    <mergeCell ref="B277:B279"/>
    <mergeCell ref="M277:M279"/>
    <mergeCell ref="N277:N279"/>
    <mergeCell ref="O277:O279"/>
    <mergeCell ref="P277:P279"/>
    <mergeCell ref="S274:S276"/>
    <mergeCell ref="B274:B276"/>
    <mergeCell ref="M274:M276"/>
    <mergeCell ref="N274:N276"/>
    <mergeCell ref="O274:O276"/>
    <mergeCell ref="P274:P276"/>
    <mergeCell ref="Q274:Q276"/>
    <mergeCell ref="R274:R276"/>
    <mergeCell ref="Q289:Q291"/>
    <mergeCell ref="R289:R291"/>
    <mergeCell ref="S289:S291"/>
    <mergeCell ref="B289:B291"/>
    <mergeCell ref="M289:M291"/>
    <mergeCell ref="N289:N291"/>
    <mergeCell ref="O289:O291"/>
    <mergeCell ref="P289:P291"/>
    <mergeCell ref="S286:S288"/>
    <mergeCell ref="B286:B288"/>
    <mergeCell ref="M286:M288"/>
    <mergeCell ref="N286:N288"/>
    <mergeCell ref="O286:O288"/>
    <mergeCell ref="P286:P288"/>
    <mergeCell ref="Q286:Q288"/>
    <mergeCell ref="R286:R288"/>
    <mergeCell ref="Q283:Q285"/>
    <mergeCell ref="R283:R285"/>
    <mergeCell ref="S283:S285"/>
    <mergeCell ref="B283:B285"/>
    <mergeCell ref="M283:M285"/>
    <mergeCell ref="N283:N285"/>
    <mergeCell ref="O283:O285"/>
    <mergeCell ref="P283:P285"/>
    <mergeCell ref="S298:S300"/>
    <mergeCell ref="B298:B300"/>
    <mergeCell ref="M298:M300"/>
    <mergeCell ref="N298:N300"/>
    <mergeCell ref="O298:O300"/>
    <mergeCell ref="P298:P300"/>
    <mergeCell ref="Q298:Q300"/>
    <mergeCell ref="R298:R300"/>
    <mergeCell ref="Q295:Q297"/>
    <mergeCell ref="R295:R297"/>
    <mergeCell ref="S295:S297"/>
    <mergeCell ref="B295:B297"/>
    <mergeCell ref="M295:M297"/>
    <mergeCell ref="N295:N297"/>
    <mergeCell ref="O295:O297"/>
    <mergeCell ref="P295:P297"/>
    <mergeCell ref="S292:S294"/>
    <mergeCell ref="B292:B294"/>
    <mergeCell ref="M292:M294"/>
    <mergeCell ref="N292:N294"/>
    <mergeCell ref="O292:O294"/>
    <mergeCell ref="P292:P294"/>
    <mergeCell ref="Q292:Q294"/>
    <mergeCell ref="R292:R294"/>
    <mergeCell ref="Q307:Q309"/>
    <mergeCell ref="R307:R309"/>
    <mergeCell ref="S307:S309"/>
    <mergeCell ref="B307:B309"/>
    <mergeCell ref="M307:M309"/>
    <mergeCell ref="N307:N309"/>
    <mergeCell ref="O307:O309"/>
    <mergeCell ref="P307:P309"/>
    <mergeCell ref="S304:S306"/>
    <mergeCell ref="B304:B306"/>
    <mergeCell ref="M304:M306"/>
    <mergeCell ref="N304:N306"/>
    <mergeCell ref="O304:O306"/>
    <mergeCell ref="P304:P306"/>
    <mergeCell ref="Q304:Q306"/>
    <mergeCell ref="R304:R306"/>
    <mergeCell ref="Q301:Q303"/>
    <mergeCell ref="R301:R303"/>
    <mergeCell ref="S301:S303"/>
    <mergeCell ref="B301:B303"/>
    <mergeCell ref="M301:M303"/>
    <mergeCell ref="N301:N303"/>
    <mergeCell ref="O301:O303"/>
    <mergeCell ref="P301:P303"/>
    <mergeCell ref="S316:S318"/>
    <mergeCell ref="B316:B318"/>
    <mergeCell ref="M316:M318"/>
    <mergeCell ref="N316:N318"/>
    <mergeCell ref="O316:O318"/>
    <mergeCell ref="P316:P318"/>
    <mergeCell ref="Q316:Q318"/>
    <mergeCell ref="R316:R318"/>
    <mergeCell ref="Q313:Q315"/>
    <mergeCell ref="R313:R315"/>
    <mergeCell ref="S313:S315"/>
    <mergeCell ref="B313:B315"/>
    <mergeCell ref="M313:M315"/>
    <mergeCell ref="N313:N315"/>
    <mergeCell ref="O313:O315"/>
    <mergeCell ref="P313:P315"/>
    <mergeCell ref="S310:S312"/>
    <mergeCell ref="B310:B312"/>
    <mergeCell ref="M310:M312"/>
    <mergeCell ref="N310:N312"/>
    <mergeCell ref="O310:O312"/>
    <mergeCell ref="P310:P312"/>
    <mergeCell ref="Q310:Q312"/>
    <mergeCell ref="R310:R312"/>
    <mergeCell ref="Q325:Q327"/>
    <mergeCell ref="R325:R327"/>
    <mergeCell ref="S325:S327"/>
    <mergeCell ref="B325:B327"/>
    <mergeCell ref="M325:M327"/>
    <mergeCell ref="N325:N327"/>
    <mergeCell ref="O325:O327"/>
    <mergeCell ref="P325:P327"/>
    <mergeCell ref="S322:S324"/>
    <mergeCell ref="B322:B324"/>
    <mergeCell ref="M322:M324"/>
    <mergeCell ref="N322:N324"/>
    <mergeCell ref="O322:O324"/>
    <mergeCell ref="P322:P324"/>
    <mergeCell ref="Q322:Q324"/>
    <mergeCell ref="R322:R324"/>
    <mergeCell ref="Q319:Q321"/>
    <mergeCell ref="R319:R321"/>
    <mergeCell ref="S319:S321"/>
    <mergeCell ref="B319:B321"/>
    <mergeCell ref="M319:M321"/>
    <mergeCell ref="N319:N321"/>
    <mergeCell ref="O319:O321"/>
    <mergeCell ref="P319:P321"/>
    <mergeCell ref="S334:S336"/>
    <mergeCell ref="B334:B336"/>
    <mergeCell ref="M334:M336"/>
    <mergeCell ref="N334:N336"/>
    <mergeCell ref="O334:O336"/>
    <mergeCell ref="P334:P336"/>
    <mergeCell ref="Q334:Q336"/>
    <mergeCell ref="R334:R336"/>
    <mergeCell ref="Q331:Q333"/>
    <mergeCell ref="R331:R333"/>
    <mergeCell ref="S331:S333"/>
    <mergeCell ref="B331:B333"/>
    <mergeCell ref="M331:M333"/>
    <mergeCell ref="N331:N333"/>
    <mergeCell ref="O331:O333"/>
    <mergeCell ref="P331:P333"/>
    <mergeCell ref="S328:S330"/>
    <mergeCell ref="B328:B330"/>
    <mergeCell ref="M328:M330"/>
    <mergeCell ref="N328:N330"/>
    <mergeCell ref="O328:O330"/>
    <mergeCell ref="P328:P330"/>
    <mergeCell ref="Q328:Q330"/>
    <mergeCell ref="R328:R330"/>
    <mergeCell ref="Q343:Q345"/>
    <mergeCell ref="R343:R345"/>
    <mergeCell ref="S343:S345"/>
    <mergeCell ref="B343:B345"/>
    <mergeCell ref="M343:M345"/>
    <mergeCell ref="N343:N345"/>
    <mergeCell ref="O343:O345"/>
    <mergeCell ref="P343:P345"/>
    <mergeCell ref="S340:S342"/>
    <mergeCell ref="B340:B342"/>
    <mergeCell ref="M340:M342"/>
    <mergeCell ref="N340:N342"/>
    <mergeCell ref="O340:O342"/>
    <mergeCell ref="P340:P342"/>
    <mergeCell ref="Q340:Q342"/>
    <mergeCell ref="R340:R342"/>
    <mergeCell ref="Q337:Q339"/>
    <mergeCell ref="R337:R339"/>
    <mergeCell ref="S337:S339"/>
    <mergeCell ref="B337:B339"/>
    <mergeCell ref="M337:M339"/>
    <mergeCell ref="N337:N339"/>
    <mergeCell ref="O337:O339"/>
    <mergeCell ref="P337:P339"/>
    <mergeCell ref="B352:B354"/>
    <mergeCell ref="M352:M354"/>
    <mergeCell ref="N352:N354"/>
    <mergeCell ref="O352:O354"/>
    <mergeCell ref="P352:P354"/>
    <mergeCell ref="Q352:Q354"/>
    <mergeCell ref="R352:R354"/>
    <mergeCell ref="S352:S354"/>
    <mergeCell ref="Q349:Q351"/>
    <mergeCell ref="R349:R351"/>
    <mergeCell ref="S349:S351"/>
    <mergeCell ref="B349:B351"/>
    <mergeCell ref="M349:M351"/>
    <mergeCell ref="N349:N351"/>
    <mergeCell ref="O349:O351"/>
    <mergeCell ref="P349:P351"/>
    <mergeCell ref="S346:S348"/>
    <mergeCell ref="B346:B348"/>
    <mergeCell ref="M346:M348"/>
    <mergeCell ref="N346:N348"/>
    <mergeCell ref="O346:O348"/>
    <mergeCell ref="P346:P348"/>
    <mergeCell ref="Q346:Q348"/>
    <mergeCell ref="R346:R348"/>
    <mergeCell ref="Q361:Q363"/>
    <mergeCell ref="R361:R363"/>
    <mergeCell ref="S361:S363"/>
    <mergeCell ref="B361:B363"/>
    <mergeCell ref="M361:M363"/>
    <mergeCell ref="N361:N363"/>
    <mergeCell ref="O361:O363"/>
    <mergeCell ref="P361:P363"/>
    <mergeCell ref="S358:S360"/>
    <mergeCell ref="B358:B360"/>
    <mergeCell ref="M358:M360"/>
    <mergeCell ref="N358:N360"/>
    <mergeCell ref="O358:O360"/>
    <mergeCell ref="P358:P360"/>
    <mergeCell ref="Q358:Q360"/>
    <mergeCell ref="R358:R360"/>
    <mergeCell ref="Q355:Q357"/>
    <mergeCell ref="R355:R357"/>
    <mergeCell ref="S355:S357"/>
    <mergeCell ref="B355:B357"/>
    <mergeCell ref="M355:M357"/>
    <mergeCell ref="N355:N357"/>
    <mergeCell ref="O355:O357"/>
    <mergeCell ref="P355:P357"/>
    <mergeCell ref="S370:S372"/>
    <mergeCell ref="B370:B372"/>
    <mergeCell ref="M370:M372"/>
    <mergeCell ref="N370:N372"/>
    <mergeCell ref="O370:O372"/>
    <mergeCell ref="P370:P372"/>
    <mergeCell ref="Q370:Q372"/>
    <mergeCell ref="R370:R372"/>
    <mergeCell ref="Q367:Q369"/>
    <mergeCell ref="R367:R369"/>
    <mergeCell ref="S367:S369"/>
    <mergeCell ref="B367:B369"/>
    <mergeCell ref="M367:M369"/>
    <mergeCell ref="N367:N369"/>
    <mergeCell ref="O367:O369"/>
    <mergeCell ref="P367:P369"/>
    <mergeCell ref="S364:S366"/>
    <mergeCell ref="B364:B366"/>
    <mergeCell ref="M364:M366"/>
    <mergeCell ref="N364:N366"/>
    <mergeCell ref="O364:O366"/>
    <mergeCell ref="P364:P366"/>
    <mergeCell ref="Q364:Q366"/>
    <mergeCell ref="R364:R366"/>
    <mergeCell ref="Q379:Q381"/>
    <mergeCell ref="R379:R381"/>
    <mergeCell ref="S379:S381"/>
    <mergeCell ref="B379:B381"/>
    <mergeCell ref="M379:M381"/>
    <mergeCell ref="N379:N381"/>
    <mergeCell ref="O379:O381"/>
    <mergeCell ref="P379:P381"/>
    <mergeCell ref="S376:S378"/>
    <mergeCell ref="B376:B378"/>
    <mergeCell ref="M376:M378"/>
    <mergeCell ref="N376:N378"/>
    <mergeCell ref="O376:O378"/>
    <mergeCell ref="P376:P378"/>
    <mergeCell ref="Q376:Q378"/>
    <mergeCell ref="R376:R378"/>
    <mergeCell ref="Q373:Q375"/>
    <mergeCell ref="R373:R375"/>
    <mergeCell ref="S373:S375"/>
    <mergeCell ref="B373:B375"/>
    <mergeCell ref="M373:M375"/>
    <mergeCell ref="N373:N375"/>
    <mergeCell ref="O373:O375"/>
    <mergeCell ref="P373:P375"/>
    <mergeCell ref="S388:S390"/>
    <mergeCell ref="B388:B390"/>
    <mergeCell ref="M388:M390"/>
    <mergeCell ref="N388:N390"/>
    <mergeCell ref="O388:O390"/>
    <mergeCell ref="P388:P390"/>
    <mergeCell ref="Q388:Q390"/>
    <mergeCell ref="R388:R390"/>
    <mergeCell ref="Q385:Q387"/>
    <mergeCell ref="R385:R387"/>
    <mergeCell ref="S385:S387"/>
    <mergeCell ref="B385:B387"/>
    <mergeCell ref="M385:M387"/>
    <mergeCell ref="N385:N387"/>
    <mergeCell ref="O385:O387"/>
    <mergeCell ref="P385:P387"/>
    <mergeCell ref="S382:S384"/>
    <mergeCell ref="B382:B384"/>
    <mergeCell ref="M382:M384"/>
    <mergeCell ref="N382:N384"/>
    <mergeCell ref="O382:O384"/>
    <mergeCell ref="P382:P384"/>
    <mergeCell ref="Q382:Q384"/>
    <mergeCell ref="R382:R384"/>
  </mergeCells>
  <conditionalFormatting sqref="K4">
    <cfRule type="cellIs" dxfId="72" priority="27" stopIfTrue="1" operator="between">
      <formula>19000</formula>
      <formula>49000</formula>
    </cfRule>
  </conditionalFormatting>
  <conditionalFormatting sqref="Q10:Q96">
    <cfRule type="cellIs" dxfId="71" priority="25" stopIfTrue="1" operator="equal">
      <formula>"Fail"</formula>
    </cfRule>
    <cfRule type="cellIs" dxfId="70" priority="26" stopIfTrue="1" operator="equal">
      <formula>"Pass"</formula>
    </cfRule>
  </conditionalFormatting>
  <conditionalFormatting sqref="Q382:Q384">
    <cfRule type="cellIs" dxfId="69" priority="17" stopIfTrue="1" operator="equal">
      <formula>"Fail"</formula>
    </cfRule>
    <cfRule type="cellIs" dxfId="68" priority="18" stopIfTrue="1" operator="equal">
      <formula>"Pass"</formula>
    </cfRule>
  </conditionalFormatting>
  <conditionalFormatting sqref="Q385:Q387">
    <cfRule type="cellIs" dxfId="67" priority="15" stopIfTrue="1" operator="equal">
      <formula>"Fail"</formula>
    </cfRule>
    <cfRule type="cellIs" dxfId="66" priority="16" stopIfTrue="1" operator="equal">
      <formula>"Pass"</formula>
    </cfRule>
  </conditionalFormatting>
  <conditionalFormatting sqref="Q388:Q390">
    <cfRule type="cellIs" dxfId="65" priority="13" stopIfTrue="1" operator="equal">
      <formula>"Fail"</formula>
    </cfRule>
    <cfRule type="cellIs" dxfId="64" priority="14" stopIfTrue="1" operator="equal">
      <formula>"Pass"</formula>
    </cfRule>
  </conditionalFormatting>
  <conditionalFormatting sqref="Q379:Q381">
    <cfRule type="cellIs" dxfId="63" priority="9" stopIfTrue="1" operator="equal">
      <formula>"Fail"</formula>
    </cfRule>
    <cfRule type="cellIs" dxfId="62" priority="10" stopIfTrue="1" operator="equal">
      <formula>"Pass"</formula>
    </cfRule>
  </conditionalFormatting>
  <conditionalFormatting sqref="Q97:Q378">
    <cfRule type="cellIs" dxfId="61" priority="1" stopIfTrue="1" operator="equal">
      <formula>"Fail"</formula>
    </cfRule>
    <cfRule type="cellIs" dxfId="60" priority="2" stopIfTrue="1" operator="equal">
      <formula>"Pass"</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58E6F-DF38-4676-A5B5-E8A0AC7F5A15}">
  <sheetPr codeName="Sheet7"/>
  <dimension ref="A1"/>
  <sheetViews>
    <sheetView workbookViewId="0"/>
  </sheetViews>
  <sheetFormatPr defaultRowHeight="16.100000000000001" x14ac:dyDescent="0.3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4928D-2DE6-4170-9477-58AC1DB475EC}">
  <sheetPr codeName="Sheet8"/>
  <dimension ref="A1"/>
  <sheetViews>
    <sheetView workbookViewId="0"/>
  </sheetViews>
  <sheetFormatPr defaultRowHeight="16.100000000000001"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6BE407-A17D-4B9A-8215-0BF1DFD4DA9C}">
  <sheetPr codeName="Sheet9"/>
  <dimension ref="A1"/>
  <sheetViews>
    <sheetView workbookViewId="0">
      <selection activeCell="J19" sqref="J19"/>
    </sheetView>
  </sheetViews>
  <sheetFormatPr defaultRowHeight="16.100000000000001"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tabSelected="1" workbookViewId="0">
      <selection activeCell="G6" sqref="G6"/>
    </sheetView>
  </sheetViews>
  <sheetFormatPr defaultColWidth="11" defaultRowHeight="16.100000000000001" x14ac:dyDescent="0.35"/>
  <sheetData/>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utton1_Click">
                <anchor moveWithCells="1" sizeWithCells="1">
                  <from>
                    <xdr:col>3</xdr:col>
                    <xdr:colOff>668215</xdr:colOff>
                    <xdr:row>3</xdr:row>
                    <xdr:rowOff>42203</xdr:rowOff>
                  </from>
                  <to>
                    <xdr:col>5</xdr:col>
                    <xdr:colOff>745588</xdr:colOff>
                    <xdr:row>6</xdr:row>
                    <xdr:rowOff>189914</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BEF2CD-FA1F-428C-A593-D6BCB362E51C}">
  <sheetPr codeName="Sheet10"/>
  <dimension ref="A1:V504"/>
  <sheetViews>
    <sheetView workbookViewId="0">
      <selection activeCell="F13" sqref="F13"/>
    </sheetView>
  </sheetViews>
  <sheetFormatPr defaultRowHeight="13.3" x14ac:dyDescent="0.3"/>
  <cols>
    <col min="1" max="1" width="23.36328125" style="56" customWidth="1"/>
    <col min="2" max="2" width="11.54296875" style="56" customWidth="1"/>
    <col min="3" max="3" width="8.7265625" style="56"/>
    <col min="4" max="12" width="9.54296875" style="56" bestFit="1" customWidth="1"/>
    <col min="13" max="15" width="9.453125" style="56" bestFit="1" customWidth="1"/>
    <col min="16" max="17" width="8.90625" style="56" bestFit="1" customWidth="1"/>
    <col min="18" max="18" width="9.453125" style="56" bestFit="1" customWidth="1"/>
    <col min="19" max="19" width="8.90625" style="56" bestFit="1" customWidth="1"/>
    <col min="20" max="20" width="8.7265625" style="56"/>
    <col min="21" max="21" width="8.90625" style="56" bestFit="1" customWidth="1"/>
    <col min="22" max="22" width="19.90625" style="56" customWidth="1"/>
    <col min="23" max="256" width="8.7265625" style="56"/>
    <col min="257" max="257" width="23.36328125" style="56" customWidth="1"/>
    <col min="258" max="258" width="11.54296875" style="56" customWidth="1"/>
    <col min="259" max="277" width="8.7265625" style="56"/>
    <col min="278" max="278" width="19.90625" style="56" customWidth="1"/>
    <col min="279" max="512" width="8.7265625" style="56"/>
    <col min="513" max="513" width="23.36328125" style="56" customWidth="1"/>
    <col min="514" max="514" width="11.54296875" style="56" customWidth="1"/>
    <col min="515" max="533" width="8.7265625" style="56"/>
    <col min="534" max="534" width="19.90625" style="56" customWidth="1"/>
    <col min="535" max="768" width="8.7265625" style="56"/>
    <col min="769" max="769" width="23.36328125" style="56" customWidth="1"/>
    <col min="770" max="770" width="11.54296875" style="56" customWidth="1"/>
    <col min="771" max="789" width="8.7265625" style="56"/>
    <col min="790" max="790" width="19.90625" style="56" customWidth="1"/>
    <col min="791" max="1024" width="8.7265625" style="56"/>
    <col min="1025" max="1025" width="23.36328125" style="56" customWidth="1"/>
    <col min="1026" max="1026" width="11.54296875" style="56" customWidth="1"/>
    <col min="1027" max="1045" width="8.7265625" style="56"/>
    <col min="1046" max="1046" width="19.90625" style="56" customWidth="1"/>
    <col min="1047" max="1280" width="8.7265625" style="56"/>
    <col min="1281" max="1281" width="23.36328125" style="56" customWidth="1"/>
    <col min="1282" max="1282" width="11.54296875" style="56" customWidth="1"/>
    <col min="1283" max="1301" width="8.7265625" style="56"/>
    <col min="1302" max="1302" width="19.90625" style="56" customWidth="1"/>
    <col min="1303" max="1536" width="8.7265625" style="56"/>
    <col min="1537" max="1537" width="23.36328125" style="56" customWidth="1"/>
    <col min="1538" max="1538" width="11.54296875" style="56" customWidth="1"/>
    <col min="1539" max="1557" width="8.7265625" style="56"/>
    <col min="1558" max="1558" width="19.90625" style="56" customWidth="1"/>
    <col min="1559" max="1792" width="8.7265625" style="56"/>
    <col min="1793" max="1793" width="23.36328125" style="56" customWidth="1"/>
    <col min="1794" max="1794" width="11.54296875" style="56" customWidth="1"/>
    <col min="1795" max="1813" width="8.7265625" style="56"/>
    <col min="1814" max="1814" width="19.90625" style="56" customWidth="1"/>
    <col min="1815" max="2048" width="8.7265625" style="56"/>
    <col min="2049" max="2049" width="23.36328125" style="56" customWidth="1"/>
    <col min="2050" max="2050" width="11.54296875" style="56" customWidth="1"/>
    <col min="2051" max="2069" width="8.7265625" style="56"/>
    <col min="2070" max="2070" width="19.90625" style="56" customWidth="1"/>
    <col min="2071" max="2304" width="8.7265625" style="56"/>
    <col min="2305" max="2305" width="23.36328125" style="56" customWidth="1"/>
    <col min="2306" max="2306" width="11.54296875" style="56" customWidth="1"/>
    <col min="2307" max="2325" width="8.7265625" style="56"/>
    <col min="2326" max="2326" width="19.90625" style="56" customWidth="1"/>
    <col min="2327" max="2560" width="8.7265625" style="56"/>
    <col min="2561" max="2561" width="23.36328125" style="56" customWidth="1"/>
    <col min="2562" max="2562" width="11.54296875" style="56" customWidth="1"/>
    <col min="2563" max="2581" width="8.7265625" style="56"/>
    <col min="2582" max="2582" width="19.90625" style="56" customWidth="1"/>
    <col min="2583" max="2816" width="8.7265625" style="56"/>
    <col min="2817" max="2817" width="23.36328125" style="56" customWidth="1"/>
    <col min="2818" max="2818" width="11.54296875" style="56" customWidth="1"/>
    <col min="2819" max="2837" width="8.7265625" style="56"/>
    <col min="2838" max="2838" width="19.90625" style="56" customWidth="1"/>
    <col min="2839" max="3072" width="8.7265625" style="56"/>
    <col min="3073" max="3073" width="23.36328125" style="56" customWidth="1"/>
    <col min="3074" max="3074" width="11.54296875" style="56" customWidth="1"/>
    <col min="3075" max="3093" width="8.7265625" style="56"/>
    <col min="3094" max="3094" width="19.90625" style="56" customWidth="1"/>
    <col min="3095" max="3328" width="8.7265625" style="56"/>
    <col min="3329" max="3329" width="23.36328125" style="56" customWidth="1"/>
    <col min="3330" max="3330" width="11.54296875" style="56" customWidth="1"/>
    <col min="3331" max="3349" width="8.7265625" style="56"/>
    <col min="3350" max="3350" width="19.90625" style="56" customWidth="1"/>
    <col min="3351" max="3584" width="8.7265625" style="56"/>
    <col min="3585" max="3585" width="23.36328125" style="56" customWidth="1"/>
    <col min="3586" max="3586" width="11.54296875" style="56" customWidth="1"/>
    <col min="3587" max="3605" width="8.7265625" style="56"/>
    <col min="3606" max="3606" width="19.90625" style="56" customWidth="1"/>
    <col min="3607" max="3840" width="8.7265625" style="56"/>
    <col min="3841" max="3841" width="23.36328125" style="56" customWidth="1"/>
    <col min="3842" max="3842" width="11.54296875" style="56" customWidth="1"/>
    <col min="3843" max="3861" width="8.7265625" style="56"/>
    <col min="3862" max="3862" width="19.90625" style="56" customWidth="1"/>
    <col min="3863" max="4096" width="8.7265625" style="56"/>
    <col min="4097" max="4097" width="23.36328125" style="56" customWidth="1"/>
    <col min="4098" max="4098" width="11.54296875" style="56" customWidth="1"/>
    <col min="4099" max="4117" width="8.7265625" style="56"/>
    <col min="4118" max="4118" width="19.90625" style="56" customWidth="1"/>
    <col min="4119" max="4352" width="8.7265625" style="56"/>
    <col min="4353" max="4353" width="23.36328125" style="56" customWidth="1"/>
    <col min="4354" max="4354" width="11.54296875" style="56" customWidth="1"/>
    <col min="4355" max="4373" width="8.7265625" style="56"/>
    <col min="4374" max="4374" width="19.90625" style="56" customWidth="1"/>
    <col min="4375" max="4608" width="8.7265625" style="56"/>
    <col min="4609" max="4609" width="23.36328125" style="56" customWidth="1"/>
    <col min="4610" max="4610" width="11.54296875" style="56" customWidth="1"/>
    <col min="4611" max="4629" width="8.7265625" style="56"/>
    <col min="4630" max="4630" width="19.90625" style="56" customWidth="1"/>
    <col min="4631" max="4864" width="8.7265625" style="56"/>
    <col min="4865" max="4865" width="23.36328125" style="56" customWidth="1"/>
    <col min="4866" max="4866" width="11.54296875" style="56" customWidth="1"/>
    <col min="4867" max="4885" width="8.7265625" style="56"/>
    <col min="4886" max="4886" width="19.90625" style="56" customWidth="1"/>
    <col min="4887" max="5120" width="8.7265625" style="56"/>
    <col min="5121" max="5121" width="23.36328125" style="56" customWidth="1"/>
    <col min="5122" max="5122" width="11.54296875" style="56" customWidth="1"/>
    <col min="5123" max="5141" width="8.7265625" style="56"/>
    <col min="5142" max="5142" width="19.90625" style="56" customWidth="1"/>
    <col min="5143" max="5376" width="8.7265625" style="56"/>
    <col min="5377" max="5377" width="23.36328125" style="56" customWidth="1"/>
    <col min="5378" max="5378" width="11.54296875" style="56" customWidth="1"/>
    <col min="5379" max="5397" width="8.7265625" style="56"/>
    <col min="5398" max="5398" width="19.90625" style="56" customWidth="1"/>
    <col min="5399" max="5632" width="8.7265625" style="56"/>
    <col min="5633" max="5633" width="23.36328125" style="56" customWidth="1"/>
    <col min="5634" max="5634" width="11.54296875" style="56" customWidth="1"/>
    <col min="5635" max="5653" width="8.7265625" style="56"/>
    <col min="5654" max="5654" width="19.90625" style="56" customWidth="1"/>
    <col min="5655" max="5888" width="8.7265625" style="56"/>
    <col min="5889" max="5889" width="23.36328125" style="56" customWidth="1"/>
    <col min="5890" max="5890" width="11.54296875" style="56" customWidth="1"/>
    <col min="5891" max="5909" width="8.7265625" style="56"/>
    <col min="5910" max="5910" width="19.90625" style="56" customWidth="1"/>
    <col min="5911" max="6144" width="8.7265625" style="56"/>
    <col min="6145" max="6145" width="23.36328125" style="56" customWidth="1"/>
    <col min="6146" max="6146" width="11.54296875" style="56" customWidth="1"/>
    <col min="6147" max="6165" width="8.7265625" style="56"/>
    <col min="6166" max="6166" width="19.90625" style="56" customWidth="1"/>
    <col min="6167" max="6400" width="8.7265625" style="56"/>
    <col min="6401" max="6401" width="23.36328125" style="56" customWidth="1"/>
    <col min="6402" max="6402" width="11.54296875" style="56" customWidth="1"/>
    <col min="6403" max="6421" width="8.7265625" style="56"/>
    <col min="6422" max="6422" width="19.90625" style="56" customWidth="1"/>
    <col min="6423" max="6656" width="8.7265625" style="56"/>
    <col min="6657" max="6657" width="23.36328125" style="56" customWidth="1"/>
    <col min="6658" max="6658" width="11.54296875" style="56" customWidth="1"/>
    <col min="6659" max="6677" width="8.7265625" style="56"/>
    <col min="6678" max="6678" width="19.90625" style="56" customWidth="1"/>
    <col min="6679" max="6912" width="8.7265625" style="56"/>
    <col min="6913" max="6913" width="23.36328125" style="56" customWidth="1"/>
    <col min="6914" max="6914" width="11.54296875" style="56" customWidth="1"/>
    <col min="6915" max="6933" width="8.7265625" style="56"/>
    <col min="6934" max="6934" width="19.90625" style="56" customWidth="1"/>
    <col min="6935" max="7168" width="8.7265625" style="56"/>
    <col min="7169" max="7169" width="23.36328125" style="56" customWidth="1"/>
    <col min="7170" max="7170" width="11.54296875" style="56" customWidth="1"/>
    <col min="7171" max="7189" width="8.7265625" style="56"/>
    <col min="7190" max="7190" width="19.90625" style="56" customWidth="1"/>
    <col min="7191" max="7424" width="8.7265625" style="56"/>
    <col min="7425" max="7425" width="23.36328125" style="56" customWidth="1"/>
    <col min="7426" max="7426" width="11.54296875" style="56" customWidth="1"/>
    <col min="7427" max="7445" width="8.7265625" style="56"/>
    <col min="7446" max="7446" width="19.90625" style="56" customWidth="1"/>
    <col min="7447" max="7680" width="8.7265625" style="56"/>
    <col min="7681" max="7681" width="23.36328125" style="56" customWidth="1"/>
    <col min="7682" max="7682" width="11.54296875" style="56" customWidth="1"/>
    <col min="7683" max="7701" width="8.7265625" style="56"/>
    <col min="7702" max="7702" width="19.90625" style="56" customWidth="1"/>
    <col min="7703" max="7936" width="8.7265625" style="56"/>
    <col min="7937" max="7937" width="23.36328125" style="56" customWidth="1"/>
    <col min="7938" max="7938" width="11.54296875" style="56" customWidth="1"/>
    <col min="7939" max="7957" width="8.7265625" style="56"/>
    <col min="7958" max="7958" width="19.90625" style="56" customWidth="1"/>
    <col min="7959" max="8192" width="8.7265625" style="56"/>
    <col min="8193" max="8193" width="23.36328125" style="56" customWidth="1"/>
    <col min="8194" max="8194" width="11.54296875" style="56" customWidth="1"/>
    <col min="8195" max="8213" width="8.7265625" style="56"/>
    <col min="8214" max="8214" width="19.90625" style="56" customWidth="1"/>
    <col min="8215" max="8448" width="8.7265625" style="56"/>
    <col min="8449" max="8449" width="23.36328125" style="56" customWidth="1"/>
    <col min="8450" max="8450" width="11.54296875" style="56" customWidth="1"/>
    <col min="8451" max="8469" width="8.7265625" style="56"/>
    <col min="8470" max="8470" width="19.90625" style="56" customWidth="1"/>
    <col min="8471" max="8704" width="8.7265625" style="56"/>
    <col min="8705" max="8705" width="23.36328125" style="56" customWidth="1"/>
    <col min="8706" max="8706" width="11.54296875" style="56" customWidth="1"/>
    <col min="8707" max="8725" width="8.7265625" style="56"/>
    <col min="8726" max="8726" width="19.90625" style="56" customWidth="1"/>
    <col min="8727" max="8960" width="8.7265625" style="56"/>
    <col min="8961" max="8961" width="23.36328125" style="56" customWidth="1"/>
    <col min="8962" max="8962" width="11.54296875" style="56" customWidth="1"/>
    <col min="8963" max="8981" width="8.7265625" style="56"/>
    <col min="8982" max="8982" width="19.90625" style="56" customWidth="1"/>
    <col min="8983" max="9216" width="8.7265625" style="56"/>
    <col min="9217" max="9217" width="23.36328125" style="56" customWidth="1"/>
    <col min="9218" max="9218" width="11.54296875" style="56" customWidth="1"/>
    <col min="9219" max="9237" width="8.7265625" style="56"/>
    <col min="9238" max="9238" width="19.90625" style="56" customWidth="1"/>
    <col min="9239" max="9472" width="8.7265625" style="56"/>
    <col min="9473" max="9473" width="23.36328125" style="56" customWidth="1"/>
    <col min="9474" max="9474" width="11.54296875" style="56" customWidth="1"/>
    <col min="9475" max="9493" width="8.7265625" style="56"/>
    <col min="9494" max="9494" width="19.90625" style="56" customWidth="1"/>
    <col min="9495" max="9728" width="8.7265625" style="56"/>
    <col min="9729" max="9729" width="23.36328125" style="56" customWidth="1"/>
    <col min="9730" max="9730" width="11.54296875" style="56" customWidth="1"/>
    <col min="9731" max="9749" width="8.7265625" style="56"/>
    <col min="9750" max="9750" width="19.90625" style="56" customWidth="1"/>
    <col min="9751" max="9984" width="8.7265625" style="56"/>
    <col min="9985" max="9985" width="23.36328125" style="56" customWidth="1"/>
    <col min="9986" max="9986" width="11.54296875" style="56" customWidth="1"/>
    <col min="9987" max="10005" width="8.7265625" style="56"/>
    <col min="10006" max="10006" width="19.90625" style="56" customWidth="1"/>
    <col min="10007" max="10240" width="8.7265625" style="56"/>
    <col min="10241" max="10241" width="23.36328125" style="56" customWidth="1"/>
    <col min="10242" max="10242" width="11.54296875" style="56" customWidth="1"/>
    <col min="10243" max="10261" width="8.7265625" style="56"/>
    <col min="10262" max="10262" width="19.90625" style="56" customWidth="1"/>
    <col min="10263" max="10496" width="8.7265625" style="56"/>
    <col min="10497" max="10497" width="23.36328125" style="56" customWidth="1"/>
    <col min="10498" max="10498" width="11.54296875" style="56" customWidth="1"/>
    <col min="10499" max="10517" width="8.7265625" style="56"/>
    <col min="10518" max="10518" width="19.90625" style="56" customWidth="1"/>
    <col min="10519" max="10752" width="8.7265625" style="56"/>
    <col min="10753" max="10753" width="23.36328125" style="56" customWidth="1"/>
    <col min="10754" max="10754" width="11.54296875" style="56" customWidth="1"/>
    <col min="10755" max="10773" width="8.7265625" style="56"/>
    <col min="10774" max="10774" width="19.90625" style="56" customWidth="1"/>
    <col min="10775" max="11008" width="8.7265625" style="56"/>
    <col min="11009" max="11009" width="23.36328125" style="56" customWidth="1"/>
    <col min="11010" max="11010" width="11.54296875" style="56" customWidth="1"/>
    <col min="11011" max="11029" width="8.7265625" style="56"/>
    <col min="11030" max="11030" width="19.90625" style="56" customWidth="1"/>
    <col min="11031" max="11264" width="8.7265625" style="56"/>
    <col min="11265" max="11265" width="23.36328125" style="56" customWidth="1"/>
    <col min="11266" max="11266" width="11.54296875" style="56" customWidth="1"/>
    <col min="11267" max="11285" width="8.7265625" style="56"/>
    <col min="11286" max="11286" width="19.90625" style="56" customWidth="1"/>
    <col min="11287" max="11520" width="8.7265625" style="56"/>
    <col min="11521" max="11521" width="23.36328125" style="56" customWidth="1"/>
    <col min="11522" max="11522" width="11.54296875" style="56" customWidth="1"/>
    <col min="11523" max="11541" width="8.7265625" style="56"/>
    <col min="11542" max="11542" width="19.90625" style="56" customWidth="1"/>
    <col min="11543" max="11776" width="8.7265625" style="56"/>
    <col min="11777" max="11777" width="23.36328125" style="56" customWidth="1"/>
    <col min="11778" max="11778" width="11.54296875" style="56" customWidth="1"/>
    <col min="11779" max="11797" width="8.7265625" style="56"/>
    <col min="11798" max="11798" width="19.90625" style="56" customWidth="1"/>
    <col min="11799" max="12032" width="8.7265625" style="56"/>
    <col min="12033" max="12033" width="23.36328125" style="56" customWidth="1"/>
    <col min="12034" max="12034" width="11.54296875" style="56" customWidth="1"/>
    <col min="12035" max="12053" width="8.7265625" style="56"/>
    <col min="12054" max="12054" width="19.90625" style="56" customWidth="1"/>
    <col min="12055" max="12288" width="8.7265625" style="56"/>
    <col min="12289" max="12289" width="23.36328125" style="56" customWidth="1"/>
    <col min="12290" max="12290" width="11.54296875" style="56" customWidth="1"/>
    <col min="12291" max="12309" width="8.7265625" style="56"/>
    <col min="12310" max="12310" width="19.90625" style="56" customWidth="1"/>
    <col min="12311" max="12544" width="8.7265625" style="56"/>
    <col min="12545" max="12545" width="23.36328125" style="56" customWidth="1"/>
    <col min="12546" max="12546" width="11.54296875" style="56" customWidth="1"/>
    <col min="12547" max="12565" width="8.7265625" style="56"/>
    <col min="12566" max="12566" width="19.90625" style="56" customWidth="1"/>
    <col min="12567" max="12800" width="8.7265625" style="56"/>
    <col min="12801" max="12801" width="23.36328125" style="56" customWidth="1"/>
    <col min="12802" max="12802" width="11.54296875" style="56" customWidth="1"/>
    <col min="12803" max="12821" width="8.7265625" style="56"/>
    <col min="12822" max="12822" width="19.90625" style="56" customWidth="1"/>
    <col min="12823" max="13056" width="8.7265625" style="56"/>
    <col min="13057" max="13057" width="23.36328125" style="56" customWidth="1"/>
    <col min="13058" max="13058" width="11.54296875" style="56" customWidth="1"/>
    <col min="13059" max="13077" width="8.7265625" style="56"/>
    <col min="13078" max="13078" width="19.90625" style="56" customWidth="1"/>
    <col min="13079" max="13312" width="8.7265625" style="56"/>
    <col min="13313" max="13313" width="23.36328125" style="56" customWidth="1"/>
    <col min="13314" max="13314" width="11.54296875" style="56" customWidth="1"/>
    <col min="13315" max="13333" width="8.7265625" style="56"/>
    <col min="13334" max="13334" width="19.90625" style="56" customWidth="1"/>
    <col min="13335" max="13568" width="8.7265625" style="56"/>
    <col min="13569" max="13569" width="23.36328125" style="56" customWidth="1"/>
    <col min="13570" max="13570" width="11.54296875" style="56" customWidth="1"/>
    <col min="13571" max="13589" width="8.7265625" style="56"/>
    <col min="13590" max="13590" width="19.90625" style="56" customWidth="1"/>
    <col min="13591" max="13824" width="8.7265625" style="56"/>
    <col min="13825" max="13825" width="23.36328125" style="56" customWidth="1"/>
    <col min="13826" max="13826" width="11.54296875" style="56" customWidth="1"/>
    <col min="13827" max="13845" width="8.7265625" style="56"/>
    <col min="13846" max="13846" width="19.90625" style="56" customWidth="1"/>
    <col min="13847" max="14080" width="8.7265625" style="56"/>
    <col min="14081" max="14081" width="23.36328125" style="56" customWidth="1"/>
    <col min="14082" max="14082" width="11.54296875" style="56" customWidth="1"/>
    <col min="14083" max="14101" width="8.7265625" style="56"/>
    <col min="14102" max="14102" width="19.90625" style="56" customWidth="1"/>
    <col min="14103" max="14336" width="8.7265625" style="56"/>
    <col min="14337" max="14337" width="23.36328125" style="56" customWidth="1"/>
    <col min="14338" max="14338" width="11.54296875" style="56" customWidth="1"/>
    <col min="14339" max="14357" width="8.7265625" style="56"/>
    <col min="14358" max="14358" width="19.90625" style="56" customWidth="1"/>
    <col min="14359" max="14592" width="8.7265625" style="56"/>
    <col min="14593" max="14593" width="23.36328125" style="56" customWidth="1"/>
    <col min="14594" max="14594" width="11.54296875" style="56" customWidth="1"/>
    <col min="14595" max="14613" width="8.7265625" style="56"/>
    <col min="14614" max="14614" width="19.90625" style="56" customWidth="1"/>
    <col min="14615" max="14848" width="8.7265625" style="56"/>
    <col min="14849" max="14849" width="23.36328125" style="56" customWidth="1"/>
    <col min="14850" max="14850" width="11.54296875" style="56" customWidth="1"/>
    <col min="14851" max="14869" width="8.7265625" style="56"/>
    <col min="14870" max="14870" width="19.90625" style="56" customWidth="1"/>
    <col min="14871" max="15104" width="8.7265625" style="56"/>
    <col min="15105" max="15105" width="23.36328125" style="56" customWidth="1"/>
    <col min="15106" max="15106" width="11.54296875" style="56" customWidth="1"/>
    <col min="15107" max="15125" width="8.7265625" style="56"/>
    <col min="15126" max="15126" width="19.90625" style="56" customWidth="1"/>
    <col min="15127" max="15360" width="8.7265625" style="56"/>
    <col min="15361" max="15361" width="23.36328125" style="56" customWidth="1"/>
    <col min="15362" max="15362" width="11.54296875" style="56" customWidth="1"/>
    <col min="15363" max="15381" width="8.7265625" style="56"/>
    <col min="15382" max="15382" width="19.90625" style="56" customWidth="1"/>
    <col min="15383" max="15616" width="8.7265625" style="56"/>
    <col min="15617" max="15617" width="23.36328125" style="56" customWidth="1"/>
    <col min="15618" max="15618" width="11.54296875" style="56" customWidth="1"/>
    <col min="15619" max="15637" width="8.7265625" style="56"/>
    <col min="15638" max="15638" width="19.90625" style="56" customWidth="1"/>
    <col min="15639" max="15872" width="8.7265625" style="56"/>
    <col min="15873" max="15873" width="23.36328125" style="56" customWidth="1"/>
    <col min="15874" max="15874" width="11.54296875" style="56" customWidth="1"/>
    <col min="15875" max="15893" width="8.7265625" style="56"/>
    <col min="15894" max="15894" width="19.90625" style="56" customWidth="1"/>
    <col min="15895" max="16128" width="8.7265625" style="56"/>
    <col min="16129" max="16129" width="23.36328125" style="56" customWidth="1"/>
    <col min="16130" max="16130" width="11.54296875" style="56" customWidth="1"/>
    <col min="16131" max="16149" width="8.7265625" style="56"/>
    <col min="16150" max="16150" width="19.90625" style="56" customWidth="1"/>
    <col min="16151" max="16384" width="8.7265625" style="56"/>
  </cols>
  <sheetData>
    <row r="1" spans="1:22" x14ac:dyDescent="0.3">
      <c r="A1" s="113" t="s">
        <v>11</v>
      </c>
      <c r="B1" s="113"/>
      <c r="C1" s="114"/>
      <c r="D1" s="114"/>
      <c r="E1" s="114"/>
      <c r="F1" s="114"/>
      <c r="G1" s="114"/>
      <c r="H1" s="114"/>
      <c r="I1" s="114"/>
      <c r="J1" s="114"/>
      <c r="K1" s="114"/>
      <c r="L1" s="48"/>
      <c r="M1" s="46"/>
      <c r="N1" s="46"/>
      <c r="O1" s="46"/>
      <c r="P1" s="46"/>
      <c r="Q1" s="46"/>
      <c r="R1" s="46"/>
      <c r="S1" s="46"/>
      <c r="T1" s="46"/>
      <c r="U1" s="46"/>
      <c r="V1" s="48"/>
    </row>
    <row r="2" spans="1:22" x14ac:dyDescent="0.3">
      <c r="A2" s="113" t="s">
        <v>76</v>
      </c>
      <c r="B2" s="113"/>
      <c r="C2" s="50"/>
      <c r="D2" s="64"/>
      <c r="E2" s="114"/>
      <c r="F2" s="114"/>
      <c r="G2" s="114"/>
      <c r="H2" s="114"/>
      <c r="I2" s="52"/>
      <c r="J2" s="50"/>
      <c r="K2" s="116" t="s">
        <v>77</v>
      </c>
      <c r="L2" s="117"/>
      <c r="M2" s="64"/>
      <c r="N2" s="50"/>
      <c r="O2" s="114"/>
      <c r="P2" s="114"/>
      <c r="Q2" s="114"/>
      <c r="R2" s="114"/>
      <c r="S2" s="114"/>
      <c r="T2" s="52"/>
      <c r="U2" s="50"/>
      <c r="V2" s="54"/>
    </row>
    <row r="3" spans="1:22" x14ac:dyDescent="0.3">
      <c r="A3" s="119" t="s">
        <v>149</v>
      </c>
      <c r="B3" s="119"/>
      <c r="C3" s="58"/>
      <c r="D3" s="58"/>
      <c r="E3" s="52"/>
      <c r="F3" s="52"/>
      <c r="G3" s="52"/>
      <c r="H3" s="52" t="s">
        <v>150</v>
      </c>
      <c r="I3" s="52"/>
      <c r="J3" s="52"/>
      <c r="K3" s="52"/>
      <c r="L3" s="120"/>
      <c r="M3" s="58"/>
      <c r="N3" s="58"/>
      <c r="O3" s="52"/>
      <c r="P3" s="52"/>
      <c r="Q3" s="52"/>
      <c r="R3" s="52"/>
      <c r="S3" s="52"/>
      <c r="T3" s="52"/>
      <c r="U3" s="52"/>
      <c r="V3" s="60"/>
    </row>
    <row r="4" spans="1:22" x14ac:dyDescent="0.3">
      <c r="A4" s="113" t="s">
        <v>151</v>
      </c>
      <c r="B4" s="113"/>
      <c r="C4" s="64"/>
      <c r="D4" s="64"/>
      <c r="E4" s="52"/>
      <c r="F4" s="52"/>
      <c r="G4" s="52"/>
      <c r="H4" s="52"/>
      <c r="I4" s="52"/>
      <c r="J4" s="52"/>
      <c r="K4" s="52"/>
      <c r="L4" s="117"/>
      <c r="M4" s="64"/>
      <c r="N4" s="64"/>
      <c r="O4" s="52"/>
      <c r="P4" s="52"/>
      <c r="Q4" s="52"/>
      <c r="R4" s="52"/>
      <c r="S4" s="52"/>
      <c r="T4" s="52"/>
      <c r="U4" s="52"/>
      <c r="V4" s="60"/>
    </row>
    <row r="5" spans="1:22" x14ac:dyDescent="0.3">
      <c r="A5" s="113" t="s">
        <v>152</v>
      </c>
      <c r="B5" s="113"/>
      <c r="C5" s="58"/>
      <c r="D5" s="64"/>
      <c r="E5" s="52"/>
      <c r="F5" s="52"/>
      <c r="G5" s="52" t="s">
        <v>208</v>
      </c>
      <c r="H5" s="52"/>
      <c r="I5" s="52"/>
      <c r="J5" s="52"/>
      <c r="K5" s="52"/>
      <c r="L5" s="122"/>
      <c r="M5" s="123"/>
      <c r="N5" s="64"/>
      <c r="O5" s="52"/>
      <c r="P5" s="52"/>
      <c r="Q5" s="52"/>
      <c r="R5" s="52"/>
      <c r="S5" s="52"/>
      <c r="T5" s="52"/>
      <c r="U5" s="52"/>
      <c r="V5" s="60"/>
    </row>
    <row r="6" spans="1:22" x14ac:dyDescent="0.3">
      <c r="A6" s="113" t="s">
        <v>153</v>
      </c>
      <c r="B6" s="113"/>
      <c r="C6" s="64"/>
      <c r="D6" s="64"/>
      <c r="E6" s="52"/>
      <c r="F6" s="52"/>
      <c r="G6" s="52"/>
      <c r="H6" s="52"/>
      <c r="I6" s="52"/>
      <c r="J6" s="52"/>
      <c r="K6" s="52"/>
      <c r="L6" s="117"/>
      <c r="M6" s="64"/>
      <c r="N6" s="64"/>
      <c r="O6" s="52"/>
      <c r="P6" s="52"/>
      <c r="Q6" s="52"/>
      <c r="R6" s="124"/>
      <c r="S6" s="124"/>
      <c r="T6" s="124"/>
      <c r="U6" s="125"/>
      <c r="V6" s="126"/>
    </row>
    <row r="7" spans="1:22" ht="13.85" thickBot="1" x14ac:dyDescent="0.35">
      <c r="A7" s="127"/>
      <c r="B7" s="127"/>
      <c r="C7" s="64"/>
      <c r="D7" s="64"/>
      <c r="E7" s="52"/>
      <c r="F7" s="52"/>
      <c r="G7" s="52"/>
      <c r="H7" s="52"/>
      <c r="I7" s="52"/>
      <c r="J7" s="52"/>
      <c r="K7" s="52"/>
      <c r="L7" s="117"/>
      <c r="M7" s="64"/>
      <c r="N7" s="64"/>
      <c r="O7" s="52"/>
      <c r="P7" s="52"/>
      <c r="Q7" s="52"/>
      <c r="R7" s="52"/>
      <c r="S7" s="52"/>
      <c r="T7" s="52"/>
      <c r="U7" s="52"/>
      <c r="V7" s="60"/>
    </row>
    <row r="8" spans="1:22" ht="26.6" x14ac:dyDescent="0.3">
      <c r="A8" s="197" t="s">
        <v>108</v>
      </c>
      <c r="B8" s="198" t="s">
        <v>209</v>
      </c>
      <c r="C8" s="199"/>
      <c r="D8" s="249" t="s">
        <v>110</v>
      </c>
      <c r="E8" s="250"/>
      <c r="F8" s="250"/>
      <c r="G8" s="250"/>
      <c r="H8" s="250"/>
      <c r="I8" s="250"/>
      <c r="J8" s="250"/>
      <c r="K8" s="250"/>
      <c r="L8" s="251"/>
      <c r="M8" s="200" t="s">
        <v>111</v>
      </c>
      <c r="N8" s="200" t="s">
        <v>112</v>
      </c>
      <c r="O8" s="201" t="s">
        <v>113</v>
      </c>
      <c r="P8" s="201" t="s">
        <v>114</v>
      </c>
      <c r="Q8" s="201" t="s">
        <v>44</v>
      </c>
      <c r="R8" s="201" t="s">
        <v>115</v>
      </c>
      <c r="S8" s="201" t="s">
        <v>116</v>
      </c>
      <c r="T8" s="202" t="s">
        <v>29</v>
      </c>
      <c r="U8" s="201" t="s">
        <v>117</v>
      </c>
      <c r="V8" s="203" t="s">
        <v>31</v>
      </c>
    </row>
    <row r="9" spans="1:22" ht="13.85" thickBot="1" x14ac:dyDescent="0.35">
      <c r="A9" s="204"/>
      <c r="B9" s="205"/>
      <c r="C9" s="206" t="s">
        <v>121</v>
      </c>
      <c r="D9" s="207">
        <v>1</v>
      </c>
      <c r="E9" s="207">
        <v>2</v>
      </c>
      <c r="F9" s="207">
        <v>3</v>
      </c>
      <c r="G9" s="207">
        <v>4</v>
      </c>
      <c r="H9" s="207">
        <v>5</v>
      </c>
      <c r="I9" s="207">
        <v>6</v>
      </c>
      <c r="J9" s="207">
        <v>7</v>
      </c>
      <c r="K9" s="207">
        <v>8</v>
      </c>
      <c r="L9" s="207">
        <v>9</v>
      </c>
      <c r="M9" s="207"/>
      <c r="N9" s="207"/>
      <c r="O9" s="207"/>
      <c r="P9" s="207"/>
      <c r="Q9" s="207"/>
      <c r="R9" s="207"/>
      <c r="S9" s="207"/>
      <c r="T9" s="208"/>
      <c r="U9" s="207"/>
      <c r="V9" s="209"/>
    </row>
    <row r="10" spans="1:22" x14ac:dyDescent="0.3">
      <c r="A10" s="239">
        <v>42572</v>
      </c>
      <c r="B10" s="248" t="s">
        <v>122</v>
      </c>
      <c r="C10" s="135" t="s">
        <v>88</v>
      </c>
      <c r="D10" s="79">
        <v>7227.23</v>
      </c>
      <c r="E10" s="79">
        <v>6982.69</v>
      </c>
      <c r="F10" s="79">
        <v>6913.31</v>
      </c>
      <c r="G10" s="79">
        <v>6994.12</v>
      </c>
      <c r="H10" s="79">
        <v>7271.31</v>
      </c>
      <c r="I10" s="79">
        <v>7308.09</v>
      </c>
      <c r="J10" s="79">
        <v>7002.55</v>
      </c>
      <c r="K10" s="79">
        <v>7006.22</v>
      </c>
      <c r="L10" s="79">
        <v>7283.6</v>
      </c>
      <c r="M10" s="234">
        <f>IF((L11=""),"",MAX(D12:L12))</f>
        <v>970.02857142857124</v>
      </c>
      <c r="N10" s="234">
        <f>IF(L11="","",MIN(D12:L12))</f>
        <v>724.97999999999956</v>
      </c>
      <c r="O10" s="234">
        <f>IF((L12=""),"",AVERAGE(D12:L12))</f>
        <v>864.99142857142874</v>
      </c>
      <c r="P10" s="233">
        <v>800</v>
      </c>
      <c r="Q10" s="233">
        <v>1000</v>
      </c>
      <c r="R10" s="234">
        <f>IF((L11=""),"",((M10-N10)/(M10+N10))*100)</f>
        <v>14.45706974933125</v>
      </c>
      <c r="S10" s="234">
        <v>20</v>
      </c>
      <c r="T10" s="242" t="str">
        <f>IF(L11="","",IF(R11&lt;20,(IF(O10&gt;800,IF(O10&lt;1000,"Pass","Fail"),"Fail"))))</f>
        <v>Pass</v>
      </c>
      <c r="U10" s="234">
        <v>102</v>
      </c>
      <c r="V10" s="228"/>
    </row>
    <row r="11" spans="1:22" x14ac:dyDescent="0.3">
      <c r="A11" s="240"/>
      <c r="B11" s="240"/>
      <c r="C11" s="71" t="s">
        <v>89</v>
      </c>
      <c r="D11" s="70">
        <v>6381.42</v>
      </c>
      <c r="E11" s="70">
        <v>5910.83</v>
      </c>
      <c r="F11" s="70">
        <v>5798.28</v>
      </c>
      <c r="G11" s="70">
        <v>5862.42</v>
      </c>
      <c r="H11" s="70">
        <v>6325.15</v>
      </c>
      <c r="I11" s="70">
        <v>6455.91</v>
      </c>
      <c r="J11" s="70">
        <v>5923.16</v>
      </c>
      <c r="K11" s="70">
        <v>5886.1</v>
      </c>
      <c r="L11" s="70">
        <v>6363.44</v>
      </c>
      <c r="M11" s="234"/>
      <c r="N11" s="234"/>
      <c r="O11" s="234"/>
      <c r="P11" s="234"/>
      <c r="Q11" s="234"/>
      <c r="R11" s="234"/>
      <c r="S11" s="234"/>
      <c r="T11" s="242"/>
      <c r="U11" s="234"/>
      <c r="V11" s="228"/>
    </row>
    <row r="12" spans="1:22" ht="40.450000000000003" thickBot="1" x14ac:dyDescent="0.35">
      <c r="A12" s="241"/>
      <c r="B12" s="241"/>
      <c r="C12" s="71" t="s">
        <v>123</v>
      </c>
      <c r="D12" s="196">
        <f>IF(((D10="")*AND(D11="")),"",(D10-D11)*60/70)</f>
        <v>724.97999999999956</v>
      </c>
      <c r="E12" s="196">
        <f t="shared" ref="E12:L12" si="0">IF(((E10="")*AND(E11="")),"",(E10-E11)*60/70)</f>
        <v>918.73714285714254</v>
      </c>
      <c r="F12" s="196">
        <f t="shared" si="0"/>
        <v>955.74000000000069</v>
      </c>
      <c r="G12" s="196">
        <f t="shared" si="0"/>
        <v>970.02857142857124</v>
      </c>
      <c r="H12" s="196">
        <f t="shared" si="0"/>
        <v>810.99428571428643</v>
      </c>
      <c r="I12" s="196">
        <f t="shared" si="0"/>
        <v>730.44000000000028</v>
      </c>
      <c r="J12" s="196">
        <f t="shared" si="0"/>
        <v>925.1914285714289</v>
      </c>
      <c r="K12" s="196">
        <f t="shared" si="0"/>
        <v>960.10285714285715</v>
      </c>
      <c r="L12" s="196">
        <f t="shared" si="0"/>
        <v>788.7085714285721</v>
      </c>
      <c r="M12" s="235"/>
      <c r="N12" s="235"/>
      <c r="O12" s="235"/>
      <c r="P12" s="235"/>
      <c r="Q12" s="235"/>
      <c r="R12" s="235"/>
      <c r="S12" s="235"/>
      <c r="T12" s="243"/>
      <c r="U12" s="235"/>
      <c r="V12" s="229"/>
    </row>
    <row r="13" spans="1:22" x14ac:dyDescent="0.3">
      <c r="A13" s="239">
        <v>42577</v>
      </c>
      <c r="B13" s="248" t="s">
        <v>122</v>
      </c>
      <c r="C13" s="71" t="s">
        <v>88</v>
      </c>
      <c r="D13" s="56">
        <v>7213.31</v>
      </c>
      <c r="E13" s="56">
        <v>7038.29</v>
      </c>
      <c r="F13" s="56">
        <v>6973.86</v>
      </c>
      <c r="G13" s="56">
        <v>6976.64</v>
      </c>
      <c r="H13" s="56">
        <v>7072.99</v>
      </c>
      <c r="I13" s="56">
        <v>7194.09</v>
      </c>
      <c r="J13" s="56">
        <v>7025.58</v>
      </c>
      <c r="K13" s="56">
        <v>6992.4</v>
      </c>
      <c r="L13" s="56">
        <v>7114.4</v>
      </c>
      <c r="M13" s="232">
        <f>IF((L14=""),"",MAX(D15:L15))</f>
        <v>1049.1085714285716</v>
      </c>
      <c r="N13" s="232">
        <f>IF(L14="","",MIN(D15:L15))</f>
        <v>798.42857142857144</v>
      </c>
      <c r="O13" s="232">
        <f>IF((L15=""),"",AVERAGE(D15:L15))</f>
        <v>944.5638095238096</v>
      </c>
      <c r="P13" s="233">
        <v>800</v>
      </c>
      <c r="Q13" s="233">
        <v>1000</v>
      </c>
      <c r="R13" s="232">
        <f>IF((L14=""),"",((M13-N13)/(M13+N13))*100)</f>
        <v>13.568333441585564</v>
      </c>
      <c r="S13" s="233">
        <v>20</v>
      </c>
      <c r="T13" s="242" t="str">
        <f>IF(L14="","",IF(R14&lt;20,(IF(O13&gt;800,IF(O13&lt;1000,"Pass","Fail"),"Fail"))))</f>
        <v>Pass</v>
      </c>
      <c r="U13" s="232">
        <v>1400</v>
      </c>
      <c r="V13" s="237"/>
    </row>
    <row r="14" spans="1:22" x14ac:dyDescent="0.3">
      <c r="A14" s="240"/>
      <c r="B14" s="240"/>
      <c r="C14" s="71" t="s">
        <v>89</v>
      </c>
      <c r="D14" s="56">
        <v>6281.81</v>
      </c>
      <c r="E14" s="56">
        <v>5882.79</v>
      </c>
      <c r="F14" s="56">
        <v>5781.51</v>
      </c>
      <c r="G14" s="56">
        <v>5752.68</v>
      </c>
      <c r="H14" s="56">
        <v>6016.36</v>
      </c>
      <c r="I14" s="56">
        <v>6242.45</v>
      </c>
      <c r="J14" s="56">
        <v>5857.9</v>
      </c>
      <c r="K14" s="56">
        <v>5782.7</v>
      </c>
      <c r="L14" s="56">
        <v>6085.44</v>
      </c>
      <c r="M14" s="232"/>
      <c r="N14" s="232"/>
      <c r="O14" s="232"/>
      <c r="P14" s="234"/>
      <c r="Q14" s="234"/>
      <c r="R14" s="232"/>
      <c r="S14" s="234"/>
      <c r="T14" s="242"/>
      <c r="U14" s="232"/>
      <c r="V14" s="237"/>
    </row>
    <row r="15" spans="1:22" ht="40.450000000000003" thickBot="1" x14ac:dyDescent="0.35">
      <c r="A15" s="241"/>
      <c r="B15" s="241"/>
      <c r="C15" s="71" t="s">
        <v>123</v>
      </c>
      <c r="D15" s="38">
        <f>IF(((D13="")*AND(D14="")),"",(D13-D14)*60/70)</f>
        <v>798.42857142857144</v>
      </c>
      <c r="E15" s="38">
        <f>IF(((E13="")*AND(E14="")),"",(E13-E14)*60/70)</f>
        <v>990.42857142857144</v>
      </c>
      <c r="F15" s="38">
        <f t="shared" ref="F15:L15" si="1">IF(((F13="")*AND(F14="")),"",(F13-F14)*60/70)</f>
        <v>1022.0142857142853</v>
      </c>
      <c r="G15" s="38">
        <f t="shared" si="1"/>
        <v>1049.1085714285716</v>
      </c>
      <c r="H15" s="38">
        <f t="shared" si="1"/>
        <v>905.68285714285719</v>
      </c>
      <c r="I15" s="38">
        <f t="shared" si="1"/>
        <v>815.6914285714289</v>
      </c>
      <c r="J15" s="38">
        <f t="shared" si="1"/>
        <v>1000.8685714285717</v>
      </c>
      <c r="K15" s="38">
        <f t="shared" si="1"/>
        <v>1036.8857142857141</v>
      </c>
      <c r="L15" s="38">
        <f t="shared" si="1"/>
        <v>881.9657142857144</v>
      </c>
      <c r="M15" s="232"/>
      <c r="N15" s="232"/>
      <c r="O15" s="232"/>
      <c r="P15" s="235"/>
      <c r="Q15" s="235"/>
      <c r="R15" s="232"/>
      <c r="S15" s="235"/>
      <c r="T15" s="243"/>
      <c r="U15" s="232"/>
      <c r="V15" s="237"/>
    </row>
    <row r="16" spans="1:22" x14ac:dyDescent="0.3">
      <c r="A16" s="238">
        <v>42584</v>
      </c>
      <c r="B16" s="248" t="s">
        <v>122</v>
      </c>
      <c r="C16" s="71" t="s">
        <v>88</v>
      </c>
      <c r="D16" s="56">
        <v>6298.2</v>
      </c>
      <c r="E16" s="56">
        <v>5900.59</v>
      </c>
      <c r="F16" s="56">
        <v>5800.47</v>
      </c>
      <c r="G16" s="56">
        <v>5770.06</v>
      </c>
      <c r="H16" s="56">
        <v>6034.08</v>
      </c>
      <c r="I16" s="56">
        <v>6262.3</v>
      </c>
      <c r="J16" s="56">
        <v>5875.71</v>
      </c>
      <c r="K16" s="56">
        <v>5801.02</v>
      </c>
      <c r="L16" s="56">
        <v>6101.92</v>
      </c>
      <c r="M16" s="232">
        <f>IF((L17=""),"",MAX(D18:L18))</f>
        <v>1051.9971428571434</v>
      </c>
      <c r="N16" s="232">
        <f>IF(L17="","",MIN(D18:L18))</f>
        <v>819.92571428571421</v>
      </c>
      <c r="O16" s="232">
        <f>IF((L18=""),"",AVERAGE(D18:L18))</f>
        <v>955.9000000000002</v>
      </c>
      <c r="P16" s="233">
        <v>800</v>
      </c>
      <c r="Q16" s="233">
        <v>1000</v>
      </c>
      <c r="R16" s="232">
        <f>IF((L17=""),"",((M16-N16)/(M16+N16))*100)</f>
        <v>12.397488907509958</v>
      </c>
      <c r="S16" s="233">
        <v>20</v>
      </c>
      <c r="T16" s="242" t="str">
        <f>IF(L17="","",IF(R17&lt;20,(IF(O16&gt;800,IF(O16&lt;1000,"Pass","Fail"),"Fail"))))</f>
        <v>Pass</v>
      </c>
      <c r="U16" s="232">
        <v>1400</v>
      </c>
      <c r="V16" s="237"/>
    </row>
    <row r="17" spans="1:22" x14ac:dyDescent="0.3">
      <c r="A17" s="238"/>
      <c r="B17" s="240"/>
      <c r="C17" s="71" t="s">
        <v>89</v>
      </c>
      <c r="D17" s="56">
        <v>5341.62</v>
      </c>
      <c r="E17" s="56">
        <v>4746.1099999999997</v>
      </c>
      <c r="F17" s="56">
        <v>4605.8900000000003</v>
      </c>
      <c r="G17" s="56">
        <v>4542.7299999999996</v>
      </c>
      <c r="H17" s="56">
        <v>4947.13</v>
      </c>
      <c r="I17" s="56">
        <v>5281.89</v>
      </c>
      <c r="J17" s="56">
        <v>4706.21</v>
      </c>
      <c r="K17" s="56">
        <v>4587.24</v>
      </c>
      <c r="L17" s="56">
        <v>5048.58</v>
      </c>
      <c r="M17" s="232"/>
      <c r="N17" s="232"/>
      <c r="O17" s="232"/>
      <c r="P17" s="234"/>
      <c r="Q17" s="234"/>
      <c r="R17" s="232"/>
      <c r="S17" s="234"/>
      <c r="T17" s="242"/>
      <c r="U17" s="232"/>
      <c r="V17" s="237"/>
    </row>
    <row r="18" spans="1:22" ht="40.450000000000003" thickBot="1" x14ac:dyDescent="0.35">
      <c r="A18" s="238"/>
      <c r="B18" s="241"/>
      <c r="C18" s="71" t="s">
        <v>123</v>
      </c>
      <c r="D18" s="38">
        <f t="shared" ref="D18:L18" si="2">IF(((D16="")*AND(D17="")),"",(D16-D17)*60/70)</f>
        <v>819.92571428571421</v>
      </c>
      <c r="E18" s="38">
        <f t="shared" si="2"/>
        <v>989.55428571428615</v>
      </c>
      <c r="F18" s="38">
        <f t="shared" si="2"/>
        <v>1023.9257142857141</v>
      </c>
      <c r="G18" s="38">
        <f t="shared" si="2"/>
        <v>1051.9971428571434</v>
      </c>
      <c r="H18" s="38">
        <f t="shared" si="2"/>
        <v>931.67142857142835</v>
      </c>
      <c r="I18" s="38">
        <f t="shared" si="2"/>
        <v>840.35142857142841</v>
      </c>
      <c r="J18" s="38">
        <f t="shared" si="2"/>
        <v>1002.4285714285714</v>
      </c>
      <c r="K18" s="38">
        <f t="shared" si="2"/>
        <v>1040.3828571428578</v>
      </c>
      <c r="L18" s="38">
        <f t="shared" si="2"/>
        <v>902.86285714285725</v>
      </c>
      <c r="M18" s="232"/>
      <c r="N18" s="232"/>
      <c r="O18" s="232"/>
      <c r="P18" s="235"/>
      <c r="Q18" s="235"/>
      <c r="R18" s="232"/>
      <c r="S18" s="235"/>
      <c r="T18" s="243"/>
      <c r="U18" s="232"/>
      <c r="V18" s="237"/>
    </row>
    <row r="19" spans="1:22" x14ac:dyDescent="0.3">
      <c r="A19" s="238">
        <v>42586</v>
      </c>
      <c r="B19" s="248" t="s">
        <v>122</v>
      </c>
      <c r="C19" s="71" t="s">
        <v>88</v>
      </c>
      <c r="D19" s="56">
        <v>5352.32</v>
      </c>
      <c r="E19" s="56">
        <v>4756.6000000000004</v>
      </c>
      <c r="F19" s="56">
        <v>4616.83</v>
      </c>
      <c r="G19" s="56">
        <v>4551.22</v>
      </c>
      <c r="H19" s="56">
        <v>4953.99</v>
      </c>
      <c r="I19" s="56">
        <v>5289.94</v>
      </c>
      <c r="J19" s="56">
        <v>4715.46</v>
      </c>
      <c r="K19" s="56">
        <v>4596.7</v>
      </c>
      <c r="L19" s="56">
        <v>5057.42</v>
      </c>
      <c r="M19" s="232">
        <f>IF((L20=""),"",MAX(D21:L21))</f>
        <v>993.64285714285757</v>
      </c>
      <c r="N19" s="232">
        <f>IF(L20="","",MIN(D21:L21))</f>
        <v>739.16571428571399</v>
      </c>
      <c r="O19" s="232">
        <f>IF((L21=""),"",AVERAGE(D21:L21))</f>
        <v>883.50285714285701</v>
      </c>
      <c r="P19" s="233">
        <v>800</v>
      </c>
      <c r="Q19" s="233">
        <v>1000</v>
      </c>
      <c r="R19" s="232">
        <f>IF((L20=""),"",((M19-N19)/(M19+N19))*100)</f>
        <v>14.685819717947615</v>
      </c>
      <c r="S19" s="233">
        <v>20</v>
      </c>
      <c r="T19" s="242" t="str">
        <f>IF(L20="","",IF(R20&lt;20,(IF(O19&gt;800,IF(O19&lt;1000,"Pass","Fail"),"Fail"))))</f>
        <v>Pass</v>
      </c>
      <c r="U19" s="232">
        <v>1400</v>
      </c>
      <c r="V19" s="247" t="s">
        <v>210</v>
      </c>
    </row>
    <row r="20" spans="1:22" x14ac:dyDescent="0.3">
      <c r="A20" s="238"/>
      <c r="B20" s="240"/>
      <c r="C20" s="71" t="s">
        <v>89</v>
      </c>
      <c r="D20" s="56">
        <v>4489.96</v>
      </c>
      <c r="E20" s="56">
        <v>3665.89</v>
      </c>
      <c r="F20" s="56">
        <v>3478.38</v>
      </c>
      <c r="G20" s="56">
        <v>3391.97</v>
      </c>
      <c r="H20" s="56">
        <v>3992.53</v>
      </c>
      <c r="I20" s="56">
        <v>4421.7299999999996</v>
      </c>
      <c r="J20" s="56">
        <v>3615.87</v>
      </c>
      <c r="K20" s="56">
        <v>3445.24</v>
      </c>
      <c r="L20" s="56">
        <v>4112.13</v>
      </c>
      <c r="M20" s="232"/>
      <c r="N20" s="232"/>
      <c r="O20" s="232"/>
      <c r="P20" s="234"/>
      <c r="Q20" s="234"/>
      <c r="R20" s="232"/>
      <c r="S20" s="234"/>
      <c r="T20" s="242"/>
      <c r="U20" s="232"/>
      <c r="V20" s="237"/>
    </row>
    <row r="21" spans="1:22" ht="40.450000000000003" thickBot="1" x14ac:dyDescent="0.35">
      <c r="A21" s="238"/>
      <c r="B21" s="241"/>
      <c r="C21" s="71" t="s">
        <v>123</v>
      </c>
      <c r="D21" s="38">
        <f t="shared" ref="D21:L21" si="3">IF(((D19="")*AND(D20="")),"",(D19-D20)*60/70)</f>
        <v>739.16571428571399</v>
      </c>
      <c r="E21" s="38">
        <f t="shared" si="3"/>
        <v>934.89428571428607</v>
      </c>
      <c r="F21" s="38">
        <f t="shared" si="3"/>
        <v>975.81428571428546</v>
      </c>
      <c r="G21" s="38">
        <f t="shared" si="3"/>
        <v>993.64285714285757</v>
      </c>
      <c r="H21" s="38">
        <f t="shared" si="3"/>
        <v>824.10857142857105</v>
      </c>
      <c r="I21" s="38">
        <f t="shared" si="3"/>
        <v>744.18000000000006</v>
      </c>
      <c r="J21" s="38">
        <f t="shared" si="3"/>
        <v>942.50571428571436</v>
      </c>
      <c r="K21" s="38">
        <f t="shared" si="3"/>
        <v>986.9657142857144</v>
      </c>
      <c r="L21" s="38">
        <f t="shared" si="3"/>
        <v>810.24857142857138</v>
      </c>
      <c r="M21" s="232"/>
      <c r="N21" s="232"/>
      <c r="O21" s="232"/>
      <c r="P21" s="235"/>
      <c r="Q21" s="235"/>
      <c r="R21" s="232"/>
      <c r="S21" s="235"/>
      <c r="T21" s="243"/>
      <c r="U21" s="232"/>
      <c r="V21" s="237"/>
    </row>
    <row r="22" spans="1:22" x14ac:dyDescent="0.3">
      <c r="A22" s="238">
        <v>42586</v>
      </c>
      <c r="B22" s="248" t="s">
        <v>122</v>
      </c>
      <c r="C22" s="71" t="s">
        <v>88</v>
      </c>
      <c r="D22" s="56">
        <v>4489.96</v>
      </c>
      <c r="E22" s="56">
        <v>3665.89</v>
      </c>
      <c r="F22" s="56">
        <v>3478.38</v>
      </c>
      <c r="G22" s="56">
        <v>3391.97</v>
      </c>
      <c r="H22" s="56">
        <v>3992.53</v>
      </c>
      <c r="I22" s="56">
        <v>4421.7299999999996</v>
      </c>
      <c r="J22" s="56">
        <v>3615.87</v>
      </c>
      <c r="K22" s="56">
        <v>3445.24</v>
      </c>
      <c r="L22" s="56">
        <v>4112.13</v>
      </c>
      <c r="M22" s="232">
        <f>IF((L23=""),"",MAX(D24:L24))</f>
        <v>1048.5257142857142</v>
      </c>
      <c r="N22" s="232">
        <f>IF(L23="","",MIN(D24:L24))</f>
        <v>846.53142857142848</v>
      </c>
      <c r="O22" s="232">
        <f>IF((L24=""),"",AVERAGE(D24:L24))</f>
        <v>964.62571428571437</v>
      </c>
      <c r="P22" s="233">
        <v>800</v>
      </c>
      <c r="Q22" s="233">
        <v>1000</v>
      </c>
      <c r="R22" s="232">
        <f>IF((L23=""),"",((M22-N22)/(M22+N22))*100)</f>
        <v>10.659007643945907</v>
      </c>
      <c r="S22" s="233">
        <v>20</v>
      </c>
      <c r="T22" s="242" t="str">
        <f>IF(L23="","",IF(R23&lt;20,(IF(O22&gt;800,IF(O22&lt;1000,"Pass","Fail"),"Fail"))))</f>
        <v>Pass</v>
      </c>
      <c r="U22" s="232"/>
      <c r="V22" s="247" t="s">
        <v>211</v>
      </c>
    </row>
    <row r="23" spans="1:22" x14ac:dyDescent="0.3">
      <c r="A23" s="238"/>
      <c r="B23" s="240"/>
      <c r="C23" s="71" t="s">
        <v>89</v>
      </c>
      <c r="D23" s="56">
        <v>3502.34</v>
      </c>
      <c r="E23" s="56">
        <v>2507.48</v>
      </c>
      <c r="F23" s="56">
        <v>2298.7399999999998</v>
      </c>
      <c r="G23" s="56">
        <v>2168.69</v>
      </c>
      <c r="H23" s="56">
        <v>2874.57</v>
      </c>
      <c r="I23" s="56">
        <v>3418.55</v>
      </c>
      <c r="J23" s="56">
        <v>2445.5300000000002</v>
      </c>
      <c r="K23" s="56">
        <v>2239.09</v>
      </c>
      <c r="L23" s="56">
        <v>3030.14</v>
      </c>
      <c r="M23" s="232"/>
      <c r="N23" s="232"/>
      <c r="O23" s="232"/>
      <c r="P23" s="234"/>
      <c r="Q23" s="234"/>
      <c r="R23" s="232"/>
      <c r="S23" s="234"/>
      <c r="T23" s="242"/>
      <c r="U23" s="232"/>
      <c r="V23" s="237"/>
    </row>
    <row r="24" spans="1:22" ht="39.9" x14ac:dyDescent="0.3">
      <c r="A24" s="238"/>
      <c r="B24" s="241"/>
      <c r="C24" s="71" t="s">
        <v>123</v>
      </c>
      <c r="D24" s="38">
        <f t="shared" ref="D24:L24" si="4">IF(((D22="")*AND(D23="")),"",(D22-D23)*60/70)</f>
        <v>846.53142857142848</v>
      </c>
      <c r="E24" s="38">
        <f t="shared" si="4"/>
        <v>992.92285714285697</v>
      </c>
      <c r="F24" s="38">
        <f t="shared" si="4"/>
        <v>1011.1200000000003</v>
      </c>
      <c r="G24" s="38">
        <f t="shared" si="4"/>
        <v>1048.5257142857142</v>
      </c>
      <c r="H24" s="38">
        <f t="shared" si="4"/>
        <v>958.25142857142862</v>
      </c>
      <c r="I24" s="38">
        <f t="shared" si="4"/>
        <v>859.86857142857082</v>
      </c>
      <c r="J24" s="38">
        <f t="shared" si="4"/>
        <v>1003.1485714285711</v>
      </c>
      <c r="K24" s="38">
        <f t="shared" si="4"/>
        <v>1033.8428571428567</v>
      </c>
      <c r="L24" s="38">
        <f t="shared" si="4"/>
        <v>927.42000000000019</v>
      </c>
      <c r="M24" s="232"/>
      <c r="N24" s="232"/>
      <c r="O24" s="232"/>
      <c r="P24" s="235"/>
      <c r="Q24" s="235"/>
      <c r="R24" s="232"/>
      <c r="S24" s="235"/>
      <c r="T24" s="243"/>
      <c r="U24" s="232"/>
      <c r="V24" s="237"/>
    </row>
    <row r="25" spans="1:22" x14ac:dyDescent="0.3">
      <c r="A25" s="238"/>
      <c r="B25" s="239"/>
      <c r="C25" s="71" t="s">
        <v>88</v>
      </c>
      <c r="D25" s="56">
        <v>6402.01</v>
      </c>
      <c r="E25" s="56">
        <v>5938.39</v>
      </c>
      <c r="F25" s="56">
        <v>5830.11</v>
      </c>
      <c r="G25" s="56">
        <v>5891.61</v>
      </c>
      <c r="H25" s="56">
        <v>6349.73</v>
      </c>
      <c r="I25" s="56">
        <v>6476.92</v>
      </c>
      <c r="J25" s="56">
        <v>5951.3</v>
      </c>
      <c r="K25" s="56">
        <v>5915.13</v>
      </c>
      <c r="L25" s="56">
        <v>6388.56</v>
      </c>
      <c r="M25" s="232">
        <f>IF((L26=""),"",MAX(D27:L27))</f>
        <v>1054.68</v>
      </c>
      <c r="N25" s="232">
        <f>IF(L26="","",MIN(D27:L27))</f>
        <v>840.55714285714328</v>
      </c>
      <c r="O25" s="232">
        <f>IF((L27=""),"",AVERAGE(D27:L27))</f>
        <v>966.84190476190508</v>
      </c>
      <c r="P25" s="233">
        <v>800</v>
      </c>
      <c r="Q25" s="233">
        <v>1000</v>
      </c>
      <c r="R25" s="232">
        <f>IF((L26=""),"",((M25-N25)/(M25+N25))*100)</f>
        <v>11.297945375851928</v>
      </c>
      <c r="S25" s="233">
        <v>20</v>
      </c>
      <c r="T25" s="242" t="str">
        <f>IF(L26="","",IF(R26&lt;20,(IF(O25&gt;800,IF(O25&lt;1000,"Pass","Fail"),"Fail"))))</f>
        <v>Pass</v>
      </c>
      <c r="U25" s="232"/>
      <c r="V25" s="247" t="s">
        <v>212</v>
      </c>
    </row>
    <row r="26" spans="1:22" x14ac:dyDescent="0.3">
      <c r="A26" s="238"/>
      <c r="B26" s="240"/>
      <c r="C26" s="71" t="s">
        <v>89</v>
      </c>
      <c r="D26" s="56">
        <v>5421.36</v>
      </c>
      <c r="E26" s="56">
        <v>4781.96</v>
      </c>
      <c r="F26" s="56">
        <v>4636.7700000000004</v>
      </c>
      <c r="G26" s="56">
        <v>4661.1499999999996</v>
      </c>
      <c r="H26" s="56">
        <v>5230.58</v>
      </c>
      <c r="I26" s="56">
        <v>5473.36</v>
      </c>
      <c r="J26" s="56">
        <v>4782.9399999999996</v>
      </c>
      <c r="K26" s="56">
        <v>4698.7299999999996</v>
      </c>
      <c r="L26" s="56">
        <v>5305.07</v>
      </c>
      <c r="M26" s="232"/>
      <c r="N26" s="232"/>
      <c r="O26" s="232"/>
      <c r="P26" s="234"/>
      <c r="Q26" s="234"/>
      <c r="R26" s="232"/>
      <c r="S26" s="234"/>
      <c r="T26" s="242"/>
      <c r="U26" s="232"/>
      <c r="V26" s="237"/>
    </row>
    <row r="27" spans="1:22" ht="39.9" x14ac:dyDescent="0.3">
      <c r="A27" s="238"/>
      <c r="B27" s="241"/>
      <c r="C27" s="71" t="s">
        <v>123</v>
      </c>
      <c r="D27" s="38">
        <f t="shared" ref="D27:L27" si="5">IF(((D25="")*AND(D26="")),"",(D25-D26)*60/70)</f>
        <v>840.55714285714328</v>
      </c>
      <c r="E27" s="38">
        <f t="shared" si="5"/>
        <v>991.2257142857145</v>
      </c>
      <c r="F27" s="38">
        <f t="shared" si="5"/>
        <v>1022.8628571428565</v>
      </c>
      <c r="G27" s="38">
        <f t="shared" si="5"/>
        <v>1054.68</v>
      </c>
      <c r="H27" s="38">
        <f t="shared" si="5"/>
        <v>959.27142857142815</v>
      </c>
      <c r="I27" s="38">
        <f t="shared" si="5"/>
        <v>860.19428571428602</v>
      </c>
      <c r="J27" s="38">
        <f t="shared" si="5"/>
        <v>1001.4514285714291</v>
      </c>
      <c r="K27" s="38">
        <f t="shared" si="5"/>
        <v>1042.6285714285718</v>
      </c>
      <c r="L27" s="38">
        <f t="shared" si="5"/>
        <v>928.70571428571486</v>
      </c>
      <c r="M27" s="232"/>
      <c r="N27" s="232"/>
      <c r="O27" s="232"/>
      <c r="P27" s="235"/>
      <c r="Q27" s="235"/>
      <c r="R27" s="232"/>
      <c r="S27" s="235"/>
      <c r="T27" s="243"/>
      <c r="U27" s="232"/>
      <c r="V27" s="237"/>
    </row>
    <row r="28" spans="1:22" x14ac:dyDescent="0.3">
      <c r="A28" s="238">
        <v>42587</v>
      </c>
      <c r="B28" s="239" t="s">
        <v>124</v>
      </c>
      <c r="C28" s="71" t="s">
        <v>88</v>
      </c>
      <c r="D28" s="56">
        <v>5309.38</v>
      </c>
      <c r="E28" s="56">
        <v>4776.6000000000004</v>
      </c>
      <c r="F28" s="56">
        <v>4643.24</v>
      </c>
      <c r="G28" s="56">
        <v>4670.0600000000004</v>
      </c>
      <c r="H28" s="56">
        <v>5217.93</v>
      </c>
      <c r="I28" s="56">
        <v>5353.4</v>
      </c>
      <c r="J28" s="56">
        <v>4773.45</v>
      </c>
      <c r="K28" s="56">
        <v>4709.9399999999996</v>
      </c>
      <c r="L28" s="56">
        <v>5304.19</v>
      </c>
      <c r="M28" s="232">
        <f>IF((L29=""),"",MAX(D30:L30))</f>
        <v>1081.8514285714289</v>
      </c>
      <c r="N28" s="232">
        <f>IF(L29="","",MIN(D30:L30))</f>
        <v>888.56571428571419</v>
      </c>
      <c r="O28" s="232">
        <f>IF((L30=""),"",AVERAGE(D30:L30))</f>
        <v>992.95047619047625</v>
      </c>
      <c r="P28" s="233">
        <v>800</v>
      </c>
      <c r="Q28" s="233">
        <v>1000</v>
      </c>
      <c r="R28" s="232">
        <f>IF((L29=""),"",((M28-N28)/(M28+N28))*100)</f>
        <v>9.809380464760201</v>
      </c>
      <c r="S28" s="233">
        <v>20</v>
      </c>
      <c r="T28" s="242" t="str">
        <f>IF(L29="","",IF(R29&lt;20,(IF(O28&gt;800,IF(O28&lt;1000,"Pass","Fail"),"Fail"))))</f>
        <v>Pass</v>
      </c>
      <c r="U28" s="232">
        <v>1400</v>
      </c>
      <c r="V28" s="237"/>
    </row>
    <row r="29" spans="1:22" x14ac:dyDescent="0.3">
      <c r="A29" s="238"/>
      <c r="B29" s="240"/>
      <c r="C29" s="71" t="s">
        <v>89</v>
      </c>
      <c r="D29" s="56">
        <v>4272.72</v>
      </c>
      <c r="E29" s="56">
        <v>3594.62</v>
      </c>
      <c r="F29" s="56">
        <v>3419.34</v>
      </c>
      <c r="G29" s="56">
        <v>3407.9</v>
      </c>
      <c r="H29" s="56">
        <v>4089.14</v>
      </c>
      <c r="I29" s="56">
        <v>4288.16</v>
      </c>
      <c r="J29" s="56">
        <v>3574.53</v>
      </c>
      <c r="K29" s="56">
        <v>3464.31</v>
      </c>
      <c r="L29" s="56">
        <v>4221.49</v>
      </c>
      <c r="M29" s="232"/>
      <c r="N29" s="232"/>
      <c r="O29" s="232"/>
      <c r="P29" s="234"/>
      <c r="Q29" s="234"/>
      <c r="R29" s="232"/>
      <c r="S29" s="234"/>
      <c r="T29" s="242"/>
      <c r="U29" s="232"/>
      <c r="V29" s="237"/>
    </row>
    <row r="30" spans="1:22" ht="39.9" x14ac:dyDescent="0.3">
      <c r="A30" s="238"/>
      <c r="B30" s="241"/>
      <c r="C30" s="71" t="s">
        <v>123</v>
      </c>
      <c r="D30" s="38">
        <f t="shared" ref="D30:L30" si="6">IF(((D28="")*AND(D29="")),"",(D28-D29)*60/70)</f>
        <v>888.56571428571419</v>
      </c>
      <c r="E30" s="38">
        <f t="shared" si="6"/>
        <v>1013.1257142857147</v>
      </c>
      <c r="F30" s="38">
        <f t="shared" si="6"/>
        <v>1049.0571428571425</v>
      </c>
      <c r="G30" s="38">
        <f t="shared" si="6"/>
        <v>1081.8514285714289</v>
      </c>
      <c r="H30" s="38">
        <f t="shared" si="6"/>
        <v>967.53428571428606</v>
      </c>
      <c r="I30" s="38">
        <f t="shared" si="6"/>
        <v>913.06285714285696</v>
      </c>
      <c r="J30" s="38">
        <f t="shared" si="6"/>
        <v>1027.6457142857141</v>
      </c>
      <c r="K30" s="38">
        <f t="shared" si="6"/>
        <v>1067.6828571428568</v>
      </c>
      <c r="L30" s="38">
        <f t="shared" si="6"/>
        <v>928.02857142857124</v>
      </c>
      <c r="M30" s="232"/>
      <c r="N30" s="232"/>
      <c r="O30" s="232"/>
      <c r="P30" s="235"/>
      <c r="Q30" s="235"/>
      <c r="R30" s="232"/>
      <c r="S30" s="235"/>
      <c r="T30" s="243"/>
      <c r="U30" s="232"/>
      <c r="V30" s="237"/>
    </row>
    <row r="31" spans="1:22" x14ac:dyDescent="0.3">
      <c r="A31" s="238">
        <v>42590</v>
      </c>
      <c r="B31" s="239" t="s">
        <v>124</v>
      </c>
      <c r="C31" s="71" t="s">
        <v>88</v>
      </c>
      <c r="D31" s="56">
        <v>4285.46</v>
      </c>
      <c r="E31" s="56">
        <v>3612.14</v>
      </c>
      <c r="F31" s="56">
        <v>3439.07</v>
      </c>
      <c r="G31" s="56">
        <v>3426.26</v>
      </c>
      <c r="H31" s="56">
        <v>4098.9799999999996</v>
      </c>
      <c r="I31" s="56">
        <v>4302.25</v>
      </c>
      <c r="J31" s="56">
        <v>3592.14</v>
      </c>
      <c r="K31" s="56">
        <v>3484.55</v>
      </c>
      <c r="L31" s="56">
        <v>4230.67</v>
      </c>
      <c r="M31" s="232">
        <f>IF((L32=""),"",MAX(D33:L33))</f>
        <v>1051.2342857142858</v>
      </c>
      <c r="N31" s="232">
        <f>IF(L32="","",MIN(D33:L33))</f>
        <v>882.49714285714276</v>
      </c>
      <c r="O31" s="232">
        <f>IF((L33=""),"",AVERAGE(D33:L33))</f>
        <v>974.86857142857161</v>
      </c>
      <c r="P31" s="233">
        <v>800</v>
      </c>
      <c r="Q31" s="233">
        <v>1000</v>
      </c>
      <c r="R31" s="232">
        <f>IF((L32=""),"",((M31-N31)/(M31+N31))*100)</f>
        <v>8.7259864717511437</v>
      </c>
      <c r="S31" s="233">
        <v>20</v>
      </c>
      <c r="T31" s="242" t="str">
        <f>IF(L32="","",IF(R32&lt;20,(IF(O31&gt;800,IF(O31&lt;1000,"Pass","Fail"),"Fail"))))</f>
        <v>Pass</v>
      </c>
      <c r="U31" s="232">
        <v>1428</v>
      </c>
      <c r="V31" s="237"/>
    </row>
    <row r="32" spans="1:22" x14ac:dyDescent="0.3">
      <c r="A32" s="238"/>
      <c r="B32" s="240"/>
      <c r="C32" s="71" t="s">
        <v>89</v>
      </c>
      <c r="D32" s="56">
        <v>3255.88</v>
      </c>
      <c r="E32" s="56">
        <v>2452.9</v>
      </c>
      <c r="F32" s="56">
        <v>2249.1999999999998</v>
      </c>
      <c r="G32" s="56">
        <v>2199.8200000000002</v>
      </c>
      <c r="H32" s="56">
        <v>2983.16</v>
      </c>
      <c r="I32" s="56">
        <v>3248.8</v>
      </c>
      <c r="J32" s="56">
        <v>2417.59</v>
      </c>
      <c r="K32" s="56">
        <v>2271.5500000000002</v>
      </c>
      <c r="L32" s="56">
        <v>3156.5</v>
      </c>
      <c r="M32" s="232"/>
      <c r="N32" s="232"/>
      <c r="O32" s="232"/>
      <c r="P32" s="234"/>
      <c r="Q32" s="234"/>
      <c r="R32" s="232"/>
      <c r="S32" s="234"/>
      <c r="T32" s="242"/>
      <c r="U32" s="232"/>
      <c r="V32" s="237"/>
    </row>
    <row r="33" spans="1:22" ht="39.9" x14ac:dyDescent="0.3">
      <c r="A33" s="238"/>
      <c r="B33" s="241"/>
      <c r="C33" s="71" t="s">
        <v>123</v>
      </c>
      <c r="D33" s="38">
        <f t="shared" ref="D33:L33" si="7">IF(((D31="")*AND(D32="")),"",(D31-D32)*60/70)</f>
        <v>882.49714285714276</v>
      </c>
      <c r="E33" s="38">
        <f t="shared" si="7"/>
        <v>993.63428571428562</v>
      </c>
      <c r="F33" s="38">
        <f t="shared" si="7"/>
        <v>1019.8885714285718</v>
      </c>
      <c r="G33" s="38">
        <f t="shared" si="7"/>
        <v>1051.2342857142858</v>
      </c>
      <c r="H33" s="38">
        <f t="shared" si="7"/>
        <v>956.41714285714261</v>
      </c>
      <c r="I33" s="38">
        <f t="shared" si="7"/>
        <v>902.95714285714268</v>
      </c>
      <c r="J33" s="38">
        <f t="shared" si="7"/>
        <v>1006.7571428571426</v>
      </c>
      <c r="K33" s="38">
        <f t="shared" si="7"/>
        <v>1039.7142857142858</v>
      </c>
      <c r="L33" s="38">
        <f t="shared" si="7"/>
        <v>920.7171428571429</v>
      </c>
      <c r="M33" s="232"/>
      <c r="N33" s="232"/>
      <c r="O33" s="232"/>
      <c r="P33" s="235"/>
      <c r="Q33" s="235"/>
      <c r="R33" s="232"/>
      <c r="S33" s="235"/>
      <c r="T33" s="243"/>
      <c r="U33" s="232"/>
      <c r="V33" s="237"/>
    </row>
    <row r="34" spans="1:22" x14ac:dyDescent="0.3">
      <c r="A34" s="238">
        <v>42594</v>
      </c>
      <c r="B34" s="239" t="s">
        <v>124</v>
      </c>
      <c r="C34" s="71" t="s">
        <v>88</v>
      </c>
      <c r="D34" s="56">
        <v>3265.98</v>
      </c>
      <c r="E34" s="56">
        <v>2457.63</v>
      </c>
      <c r="F34" s="56">
        <v>2252.75</v>
      </c>
      <c r="G34" s="56">
        <v>2202.73</v>
      </c>
      <c r="H34" s="56">
        <v>2986.56</v>
      </c>
      <c r="I34" s="56">
        <v>3252.7</v>
      </c>
      <c r="J34" s="56">
        <v>2424.71</v>
      </c>
      <c r="K34" s="56">
        <v>2276.6</v>
      </c>
      <c r="L34" s="56">
        <v>3171.72</v>
      </c>
      <c r="M34" s="232">
        <f>IF((L35=""),"",MAX(D36:L36))</f>
        <v>1078.6114285714286</v>
      </c>
      <c r="N34" s="232">
        <f>IF(L35="","",MIN(D36:L36))</f>
        <v>889.86</v>
      </c>
      <c r="O34" s="232">
        <f>IF((L36=""),"",AVERAGE(D36:L36))</f>
        <v>989.80095238095237</v>
      </c>
      <c r="P34" s="233">
        <v>800</v>
      </c>
      <c r="Q34" s="233">
        <v>1000</v>
      </c>
      <c r="R34" s="232">
        <f>IF((L35=""),"",((M34-N34)/(M34+N34))*100)</f>
        <v>9.5887309224706652</v>
      </c>
      <c r="S34" s="233">
        <v>20</v>
      </c>
      <c r="T34" s="242" t="str">
        <f>IF(L35="","",IF(R35&lt;20,(IF(O34&gt;800,IF(O34&lt;1000,"Pass","Fail"),"Fail"))))</f>
        <v>Pass</v>
      </c>
      <c r="U34" s="232">
        <v>1428</v>
      </c>
      <c r="V34" s="237"/>
    </row>
    <row r="35" spans="1:22" x14ac:dyDescent="0.3">
      <c r="A35" s="238"/>
      <c r="B35" s="240"/>
      <c r="C35" s="71" t="s">
        <v>89</v>
      </c>
      <c r="D35" s="56">
        <v>2227.81</v>
      </c>
      <c r="E35" s="56">
        <v>1315.68</v>
      </c>
      <c r="F35" s="56">
        <v>1027.79</v>
      </c>
      <c r="G35" s="56">
        <v>944.35</v>
      </c>
      <c r="H35" s="56">
        <v>1848.22</v>
      </c>
      <c r="I35" s="56">
        <v>2186.88</v>
      </c>
      <c r="J35" s="56">
        <v>1237.67</v>
      </c>
      <c r="K35" s="56">
        <v>1030.1099999999999</v>
      </c>
      <c r="L35" s="56">
        <v>2079.96</v>
      </c>
      <c r="M35" s="232"/>
      <c r="N35" s="232"/>
      <c r="O35" s="232"/>
      <c r="P35" s="234"/>
      <c r="Q35" s="234"/>
      <c r="R35" s="232"/>
      <c r="S35" s="234"/>
      <c r="T35" s="242"/>
      <c r="U35" s="232"/>
      <c r="V35" s="237"/>
    </row>
    <row r="36" spans="1:22" ht="39.9" x14ac:dyDescent="0.3">
      <c r="A36" s="238"/>
      <c r="B36" s="241"/>
      <c r="C36" s="71" t="s">
        <v>123</v>
      </c>
      <c r="D36" s="38">
        <f t="shared" ref="D36:L36" si="8">IF(((D34="")*AND(D35="")),"",(D34-D35)*60/70)</f>
        <v>889.86</v>
      </c>
      <c r="E36" s="38">
        <f t="shared" si="8"/>
        <v>978.81428571428569</v>
      </c>
      <c r="F36" s="38">
        <f t="shared" si="8"/>
        <v>1049.9657142857143</v>
      </c>
      <c r="G36" s="38">
        <f t="shared" si="8"/>
        <v>1078.6114285714286</v>
      </c>
      <c r="H36" s="38">
        <f t="shared" si="8"/>
        <v>975.71999999999991</v>
      </c>
      <c r="I36" s="38">
        <f t="shared" si="8"/>
        <v>913.55999999999972</v>
      </c>
      <c r="J36" s="38">
        <f t="shared" si="8"/>
        <v>1017.462857142857</v>
      </c>
      <c r="K36" s="38">
        <f t="shared" si="8"/>
        <v>1068.4199999999998</v>
      </c>
      <c r="L36" s="38">
        <f t="shared" si="8"/>
        <v>935.79428571428548</v>
      </c>
      <c r="M36" s="232"/>
      <c r="N36" s="232"/>
      <c r="O36" s="232"/>
      <c r="P36" s="235"/>
      <c r="Q36" s="235"/>
      <c r="R36" s="232"/>
      <c r="S36" s="235"/>
      <c r="T36" s="243"/>
      <c r="U36" s="232"/>
      <c r="V36" s="237"/>
    </row>
    <row r="37" spans="1:22" x14ac:dyDescent="0.3">
      <c r="A37" s="238">
        <v>42615</v>
      </c>
      <c r="B37" s="239" t="s">
        <v>124</v>
      </c>
      <c r="C37" s="71" t="s">
        <v>88</v>
      </c>
      <c r="D37" s="56">
        <v>7196.34</v>
      </c>
      <c r="E37" s="56">
        <v>6955.36</v>
      </c>
      <c r="F37" s="56">
        <v>6882.32</v>
      </c>
      <c r="G37" s="56">
        <v>6966.39</v>
      </c>
      <c r="H37" s="56">
        <v>7215.53</v>
      </c>
      <c r="I37" s="56">
        <v>7175.31</v>
      </c>
      <c r="J37" s="56">
        <v>6939.5</v>
      </c>
      <c r="K37" s="56">
        <v>6970.36</v>
      </c>
      <c r="L37" s="56">
        <v>7238.22</v>
      </c>
      <c r="M37" s="232">
        <f>IF((L38=""),"",MAX(D39:L39))</f>
        <v>1049.5971428571436</v>
      </c>
      <c r="N37" s="232">
        <f>IF(L38="","",MIN(D39:L39))</f>
        <v>857.61428571428587</v>
      </c>
      <c r="O37" s="232">
        <f>IF((L39=""),"",AVERAGE(D39:L39))</f>
        <v>962.97904761904772</v>
      </c>
      <c r="P37" s="233">
        <v>800</v>
      </c>
      <c r="Q37" s="233">
        <v>1000</v>
      </c>
      <c r="R37" s="232">
        <f>IF((L38=""),"",((M37-N37)/(M37+N37))*100)</f>
        <v>10.066154924766774</v>
      </c>
      <c r="S37" s="233">
        <v>20</v>
      </c>
      <c r="T37" s="242" t="str">
        <f>IF(L38="","",IF(R38&lt;20,(IF(O37&gt;800,IF(O37&lt;1000,"Pass","Fail"),"Fail"))))</f>
        <v>Pass</v>
      </c>
      <c r="U37" s="232">
        <v>1335</v>
      </c>
      <c r="V37" s="237"/>
    </row>
    <row r="38" spans="1:22" x14ac:dyDescent="0.3">
      <c r="A38" s="238"/>
      <c r="B38" s="240"/>
      <c r="C38" s="71" t="s">
        <v>89</v>
      </c>
      <c r="D38" s="56">
        <v>6195.79</v>
      </c>
      <c r="E38" s="56">
        <v>5803.09</v>
      </c>
      <c r="F38" s="56">
        <v>5700.82</v>
      </c>
      <c r="G38" s="56">
        <v>5741.86</v>
      </c>
      <c r="H38" s="56">
        <v>6123.56</v>
      </c>
      <c r="I38" s="56">
        <v>6142.64</v>
      </c>
      <c r="J38" s="56">
        <v>5774.96</v>
      </c>
      <c r="K38" s="56">
        <v>5758.41</v>
      </c>
      <c r="L38" s="56">
        <v>6186.92</v>
      </c>
      <c r="M38" s="232"/>
      <c r="N38" s="232"/>
      <c r="O38" s="232"/>
      <c r="P38" s="234"/>
      <c r="Q38" s="234"/>
      <c r="R38" s="232"/>
      <c r="S38" s="234"/>
      <c r="T38" s="242"/>
      <c r="U38" s="232"/>
      <c r="V38" s="237"/>
    </row>
    <row r="39" spans="1:22" ht="39.9" x14ac:dyDescent="0.3">
      <c r="A39" s="238"/>
      <c r="B39" s="241"/>
      <c r="C39" s="71" t="s">
        <v>123</v>
      </c>
      <c r="D39" s="38">
        <f t="shared" ref="D39:L39" si="9">IF(((D37="")*AND(D38="")),"",(D37-D38)*60/70)</f>
        <v>857.61428571428587</v>
      </c>
      <c r="E39" s="38">
        <f t="shared" si="9"/>
        <v>987.65999999999951</v>
      </c>
      <c r="F39" s="38">
        <f t="shared" si="9"/>
        <v>1012.7142857142857</v>
      </c>
      <c r="G39" s="38">
        <f t="shared" si="9"/>
        <v>1049.5971428571436</v>
      </c>
      <c r="H39" s="38">
        <f t="shared" si="9"/>
        <v>935.9742857142852</v>
      </c>
      <c r="I39" s="38">
        <f t="shared" si="9"/>
        <v>885.14571428571435</v>
      </c>
      <c r="J39" s="38">
        <f t="shared" si="9"/>
        <v>998.17714285714283</v>
      </c>
      <c r="K39" s="38">
        <f t="shared" si="9"/>
        <v>1038.8142857142855</v>
      </c>
      <c r="L39" s="38">
        <f t="shared" si="9"/>
        <v>901.11428571428587</v>
      </c>
      <c r="M39" s="232"/>
      <c r="N39" s="232"/>
      <c r="O39" s="232"/>
      <c r="P39" s="235"/>
      <c r="Q39" s="235"/>
      <c r="R39" s="232"/>
      <c r="S39" s="235"/>
      <c r="T39" s="243"/>
      <c r="U39" s="232"/>
      <c r="V39" s="237"/>
    </row>
    <row r="40" spans="1:22" x14ac:dyDescent="0.3">
      <c r="A40" s="238">
        <v>42618</v>
      </c>
      <c r="B40" s="239" t="s">
        <v>124</v>
      </c>
      <c r="C40" s="71" t="s">
        <v>88</v>
      </c>
      <c r="D40" s="56">
        <v>6206.94</v>
      </c>
      <c r="E40" s="56">
        <v>5818.61</v>
      </c>
      <c r="F40" s="56">
        <v>5718.12</v>
      </c>
      <c r="G40" s="56">
        <v>5755.87</v>
      </c>
      <c r="H40" s="56">
        <v>6132.9</v>
      </c>
      <c r="I40" s="56">
        <v>6155.7</v>
      </c>
      <c r="J40" s="56">
        <v>5789.89</v>
      </c>
      <c r="K40" s="56">
        <v>5774.14</v>
      </c>
      <c r="L40" s="56">
        <v>6194.08</v>
      </c>
      <c r="M40" s="232">
        <f>IF((L41=""),"",MAX(D42:L42))</f>
        <v>1057.1485714285716</v>
      </c>
      <c r="N40" s="232">
        <f>IF(L41="","",MIN(D42:L42))</f>
        <v>884.13428571428551</v>
      </c>
      <c r="O40" s="232">
        <f>IF((L42=""),"",AVERAGE(D42:L42))</f>
        <v>977.15809523809526</v>
      </c>
      <c r="P40" s="233">
        <v>800</v>
      </c>
      <c r="Q40" s="233">
        <v>1000</v>
      </c>
      <c r="R40" s="232">
        <f>IF((L41=""),"",((M40-N40)/(M40+N40))*100)</f>
        <v>8.9123686987544506</v>
      </c>
      <c r="S40" s="233">
        <v>20</v>
      </c>
      <c r="T40" s="242" t="str">
        <f>IF(L41="","",IF(R41&lt;20,(IF(O40&gt;800,IF(O40&lt;1000,"Pass","Fail"),"Fail"))))</f>
        <v>Pass</v>
      </c>
      <c r="U40" s="232">
        <v>1428</v>
      </c>
      <c r="V40" s="237"/>
    </row>
    <row r="41" spans="1:22" x14ac:dyDescent="0.3">
      <c r="A41" s="238"/>
      <c r="B41" s="240"/>
      <c r="C41" s="71" t="s">
        <v>89</v>
      </c>
      <c r="D41" s="56">
        <v>5175.45</v>
      </c>
      <c r="E41" s="56">
        <v>4658.1499999999996</v>
      </c>
      <c r="F41" s="56">
        <v>4528.58</v>
      </c>
      <c r="G41" s="56">
        <v>4522.53</v>
      </c>
      <c r="H41" s="56">
        <v>5008.84</v>
      </c>
      <c r="I41" s="56">
        <v>5099.1899999999996</v>
      </c>
      <c r="J41" s="56">
        <v>4615.1400000000003</v>
      </c>
      <c r="K41" s="56">
        <v>4555.01</v>
      </c>
      <c r="L41" s="56">
        <v>5123.2</v>
      </c>
      <c r="M41" s="232"/>
      <c r="N41" s="232"/>
      <c r="O41" s="232"/>
      <c r="P41" s="234"/>
      <c r="Q41" s="234"/>
      <c r="R41" s="232"/>
      <c r="S41" s="234"/>
      <c r="T41" s="242"/>
      <c r="U41" s="232"/>
      <c r="V41" s="237"/>
    </row>
    <row r="42" spans="1:22" ht="39.9" x14ac:dyDescent="0.3">
      <c r="A42" s="238"/>
      <c r="B42" s="241"/>
      <c r="C42" s="71" t="s">
        <v>123</v>
      </c>
      <c r="D42" s="38">
        <f t="shared" ref="D42:L42" si="10">IF(((D40="")*AND(D41="")),"",(D40-D41)*60/70)</f>
        <v>884.13428571428551</v>
      </c>
      <c r="E42" s="38">
        <f t="shared" si="10"/>
        <v>994.68000000000006</v>
      </c>
      <c r="F42" s="38">
        <f t="shared" si="10"/>
        <v>1019.6057142857142</v>
      </c>
      <c r="G42" s="38">
        <f t="shared" si="10"/>
        <v>1057.1485714285716</v>
      </c>
      <c r="H42" s="38">
        <f t="shared" si="10"/>
        <v>963.47999999999968</v>
      </c>
      <c r="I42" s="38">
        <f t="shared" si="10"/>
        <v>905.58000000000015</v>
      </c>
      <c r="J42" s="38">
        <f t="shared" si="10"/>
        <v>1006.9285714285714</v>
      </c>
      <c r="K42" s="38">
        <f t="shared" si="10"/>
        <v>1044.9685714285715</v>
      </c>
      <c r="L42" s="38">
        <f t="shared" si="10"/>
        <v>917.89714285714285</v>
      </c>
      <c r="M42" s="232"/>
      <c r="N42" s="232"/>
      <c r="O42" s="232"/>
      <c r="P42" s="235"/>
      <c r="Q42" s="235"/>
      <c r="R42" s="232"/>
      <c r="S42" s="235"/>
      <c r="T42" s="243"/>
      <c r="U42" s="232"/>
      <c r="V42" s="237"/>
    </row>
    <row r="43" spans="1:22" x14ac:dyDescent="0.3">
      <c r="A43" s="238">
        <v>42621</v>
      </c>
      <c r="B43" s="239" t="s">
        <v>124</v>
      </c>
      <c r="C43" s="71" t="s">
        <v>88</v>
      </c>
      <c r="D43" s="56">
        <v>7192.11</v>
      </c>
      <c r="E43" s="56">
        <v>6953.22</v>
      </c>
      <c r="F43" s="56">
        <v>6886.11</v>
      </c>
      <c r="G43" s="56">
        <v>6974.54</v>
      </c>
      <c r="H43" s="56">
        <v>7255.02</v>
      </c>
      <c r="I43" s="56">
        <v>7171.36</v>
      </c>
      <c r="J43" s="56">
        <v>6960.32</v>
      </c>
      <c r="K43" s="56">
        <v>6967.08</v>
      </c>
      <c r="L43" s="56">
        <v>7246.18</v>
      </c>
      <c r="M43" s="232">
        <f>IF((L44=""),"",MAX(D45:L45))</f>
        <v>1075.9971428571428</v>
      </c>
      <c r="N43" s="232">
        <f>IF(L44="","",MIN(D45:L45))</f>
        <v>886.16571428571399</v>
      </c>
      <c r="O43" s="232">
        <f>IF((L45=""),"",AVERAGE(D45:L45))</f>
        <v>991.9914285714284</v>
      </c>
      <c r="P43" s="233">
        <v>800</v>
      </c>
      <c r="Q43" s="233">
        <v>1000</v>
      </c>
      <c r="R43" s="232">
        <f>IF((L44=""),"",((M43-N43)/(M43+N43))*100)</f>
        <v>9.6746010597635088</v>
      </c>
      <c r="S43" s="233">
        <v>20</v>
      </c>
      <c r="T43" s="242" t="str">
        <f>IF(L44="","",IF(R44&lt;20,(IF(O43&gt;800,IF(O43&lt;1000,"Pass","Fail"),"Fail"))))</f>
        <v>Pass</v>
      </c>
      <c r="U43" s="232">
        <v>1428</v>
      </c>
      <c r="V43" s="237"/>
    </row>
    <row r="44" spans="1:22" x14ac:dyDescent="0.3">
      <c r="A44" s="238"/>
      <c r="B44" s="240"/>
      <c r="C44" s="71" t="s">
        <v>89</v>
      </c>
      <c r="D44" s="56">
        <v>6158.25</v>
      </c>
      <c r="E44" s="56">
        <v>5771.82</v>
      </c>
      <c r="F44" s="56">
        <v>5674.79</v>
      </c>
      <c r="G44" s="56">
        <v>5719.21</v>
      </c>
      <c r="H44" s="56">
        <v>6122.93</v>
      </c>
      <c r="I44" s="56">
        <v>6112.54</v>
      </c>
      <c r="J44" s="56">
        <v>5765.09</v>
      </c>
      <c r="K44" s="56">
        <v>5724.26</v>
      </c>
      <c r="L44" s="56">
        <v>6141.14</v>
      </c>
      <c r="M44" s="232"/>
      <c r="N44" s="232"/>
      <c r="O44" s="232"/>
      <c r="P44" s="234"/>
      <c r="Q44" s="234"/>
      <c r="R44" s="232"/>
      <c r="S44" s="234"/>
      <c r="T44" s="242"/>
      <c r="U44" s="232"/>
      <c r="V44" s="237"/>
    </row>
    <row r="45" spans="1:22" ht="39.9" x14ac:dyDescent="0.3">
      <c r="A45" s="238"/>
      <c r="B45" s="241"/>
      <c r="C45" s="71" t="s">
        <v>123</v>
      </c>
      <c r="D45" s="38">
        <f t="shared" ref="D45:L45" si="11">IF(((D43="")*AND(D44="")),"",(D43-D44)*60/70)</f>
        <v>886.16571428571399</v>
      </c>
      <c r="E45" s="38">
        <f t="shared" si="11"/>
        <v>1012.6285714285718</v>
      </c>
      <c r="F45" s="38">
        <f t="shared" si="11"/>
        <v>1038.2742857142855</v>
      </c>
      <c r="G45" s="38">
        <f t="shared" si="11"/>
        <v>1075.9971428571428</v>
      </c>
      <c r="H45" s="38">
        <f t="shared" si="11"/>
        <v>970.36285714285725</v>
      </c>
      <c r="I45" s="38">
        <f t="shared" si="11"/>
        <v>907.55999999999972</v>
      </c>
      <c r="J45" s="38">
        <f t="shared" si="11"/>
        <v>1024.4828571428568</v>
      </c>
      <c r="K45" s="38">
        <f t="shared" si="11"/>
        <v>1065.2742857142855</v>
      </c>
      <c r="L45" s="38">
        <f t="shared" si="11"/>
        <v>947.17714285714283</v>
      </c>
      <c r="M45" s="232"/>
      <c r="N45" s="232"/>
      <c r="O45" s="232"/>
      <c r="P45" s="235"/>
      <c r="Q45" s="235"/>
      <c r="R45" s="232"/>
      <c r="S45" s="235"/>
      <c r="T45" s="243"/>
      <c r="U45" s="232"/>
      <c r="V45" s="237"/>
    </row>
    <row r="46" spans="1:22" x14ac:dyDescent="0.3">
      <c r="A46" s="238">
        <v>42625</v>
      </c>
      <c r="B46" s="239" t="s">
        <v>124</v>
      </c>
      <c r="C46" s="71" t="s">
        <v>88</v>
      </c>
      <c r="D46" s="56">
        <v>6177.5</v>
      </c>
      <c r="E46" s="56">
        <v>5796.88</v>
      </c>
      <c r="F46" s="56">
        <v>5699.11</v>
      </c>
      <c r="G46" s="56">
        <v>5742.25</v>
      </c>
      <c r="H46" s="56">
        <v>6140.54</v>
      </c>
      <c r="I46" s="56">
        <v>6132.66</v>
      </c>
      <c r="J46" s="56">
        <v>5790.86</v>
      </c>
      <c r="K46" s="56">
        <v>5750.11</v>
      </c>
      <c r="L46" s="56">
        <v>6157.39</v>
      </c>
      <c r="M46" s="232">
        <f>IF((L47=""),"",MAX(D48:L48))</f>
        <v>1067.9228571428571</v>
      </c>
      <c r="N46" s="232">
        <f>IF(L47="","",MIN(D48:L48))</f>
        <v>892.69714285714247</v>
      </c>
      <c r="O46" s="232">
        <f>IF((L48=""),"",AVERAGE(D48:L48))</f>
        <v>987.64190476190458</v>
      </c>
      <c r="P46" s="233">
        <v>800</v>
      </c>
      <c r="Q46" s="233">
        <v>1000</v>
      </c>
      <c r="R46" s="232">
        <f>IF((L47=""),"",((M46-N46)/(M46+N46))*100)</f>
        <v>8.9372603709905363</v>
      </c>
      <c r="S46" s="233">
        <v>20</v>
      </c>
      <c r="T46" s="242" t="str">
        <f>IF(L47="","",IF(R47&lt;20,(IF(O46&gt;800,IF(O46&lt;1000,"Pass","Fail"),"Fail"))))</f>
        <v>Pass</v>
      </c>
      <c r="U46" s="232">
        <v>1400</v>
      </c>
      <c r="V46" s="237"/>
    </row>
    <row r="47" spans="1:22" x14ac:dyDescent="0.3">
      <c r="A47" s="238"/>
      <c r="B47" s="240"/>
      <c r="C47" s="71" t="s">
        <v>89</v>
      </c>
      <c r="D47" s="56">
        <v>5136.0200000000004</v>
      </c>
      <c r="E47" s="56">
        <v>4625.49</v>
      </c>
      <c r="F47" s="56">
        <v>4499.45</v>
      </c>
      <c r="G47" s="56">
        <v>4496.34</v>
      </c>
      <c r="H47" s="56">
        <v>5005.1000000000004</v>
      </c>
      <c r="I47" s="56">
        <v>5072.3900000000003</v>
      </c>
      <c r="J47" s="56">
        <v>4604.04</v>
      </c>
      <c r="K47" s="56">
        <v>4516.42</v>
      </c>
      <c r="L47" s="56">
        <v>5061.8100000000004</v>
      </c>
      <c r="M47" s="232"/>
      <c r="N47" s="232"/>
      <c r="O47" s="232"/>
      <c r="P47" s="234"/>
      <c r="Q47" s="234"/>
      <c r="R47" s="232"/>
      <c r="S47" s="234"/>
      <c r="T47" s="242"/>
      <c r="U47" s="232"/>
      <c r="V47" s="237"/>
    </row>
    <row r="48" spans="1:22" ht="39.9" x14ac:dyDescent="0.3">
      <c r="A48" s="238"/>
      <c r="B48" s="241"/>
      <c r="C48" s="71" t="s">
        <v>123</v>
      </c>
      <c r="D48" s="38">
        <f t="shared" ref="D48:L48" si="12">IF(((D46="")*AND(D47="")),"",(D46-D47)*60/70)</f>
        <v>892.69714285714247</v>
      </c>
      <c r="E48" s="38">
        <f t="shared" si="12"/>
        <v>1004.0485714285718</v>
      </c>
      <c r="F48" s="38">
        <f t="shared" si="12"/>
        <v>1028.28</v>
      </c>
      <c r="G48" s="38">
        <f t="shared" si="12"/>
        <v>1067.9228571428571</v>
      </c>
      <c r="H48" s="38">
        <f t="shared" si="12"/>
        <v>973.23428571428542</v>
      </c>
      <c r="I48" s="38">
        <f t="shared" si="12"/>
        <v>908.80285714285674</v>
      </c>
      <c r="J48" s="38">
        <f t="shared" si="12"/>
        <v>1017.2742857142855</v>
      </c>
      <c r="K48" s="38">
        <f t="shared" si="12"/>
        <v>1057.4485714285711</v>
      </c>
      <c r="L48" s="38">
        <f t="shared" si="12"/>
        <v>939.06857142857132</v>
      </c>
      <c r="M48" s="232"/>
      <c r="N48" s="232"/>
      <c r="O48" s="232"/>
      <c r="P48" s="235"/>
      <c r="Q48" s="235"/>
      <c r="R48" s="232"/>
      <c r="S48" s="235"/>
      <c r="T48" s="243"/>
      <c r="U48" s="232"/>
      <c r="V48" s="237"/>
    </row>
    <row r="49" spans="1:22" x14ac:dyDescent="0.3">
      <c r="A49" s="238">
        <v>42628</v>
      </c>
      <c r="B49" s="239" t="s">
        <v>124</v>
      </c>
      <c r="C49" s="71" t="s">
        <v>88</v>
      </c>
      <c r="D49" s="56">
        <v>5159.24</v>
      </c>
      <c r="E49" s="56">
        <v>4644.6899999999996</v>
      </c>
      <c r="F49" s="56">
        <v>4517.33</v>
      </c>
      <c r="G49" s="56">
        <v>4512.8500000000004</v>
      </c>
      <c r="H49" s="56">
        <v>5025.59</v>
      </c>
      <c r="I49" s="56">
        <v>5091.67</v>
      </c>
      <c r="J49" s="56">
        <v>4621.42</v>
      </c>
      <c r="K49" s="56">
        <v>4535.2</v>
      </c>
      <c r="L49" s="56">
        <v>5085.34</v>
      </c>
      <c r="M49" s="232">
        <f>IF((L50=""),"",MAX(D51:L51))</f>
        <v>1064.2028571428573</v>
      </c>
      <c r="N49" s="232">
        <f>IF(L50="","",MIN(D51:L51))</f>
        <v>868.2085714285713</v>
      </c>
      <c r="O49" s="232">
        <f>IF((L51=""),"",AVERAGE(D51:L51))</f>
        <v>974.61619047619047</v>
      </c>
      <c r="P49" s="233">
        <v>800</v>
      </c>
      <c r="Q49" s="233">
        <v>1000</v>
      </c>
      <c r="R49" s="232">
        <f>IF((L50=""),"",((M49-N49)/(M49+N49))*100)</f>
        <v>10.142471878215833</v>
      </c>
      <c r="S49" s="233">
        <v>20</v>
      </c>
      <c r="T49" s="242" t="str">
        <f>IF(L50="","",IF(R50&lt;20,(IF(O49&gt;800,IF(O49&lt;1000,"Pass","Fail"),"Fail"))))</f>
        <v>Pass</v>
      </c>
      <c r="U49" s="232">
        <v>1428</v>
      </c>
      <c r="V49" s="237"/>
    </row>
    <row r="50" spans="1:22" x14ac:dyDescent="0.3">
      <c r="A50" s="238"/>
      <c r="B50" s="240"/>
      <c r="C50" s="71" t="s">
        <v>89</v>
      </c>
      <c r="D50" s="56">
        <v>4146.33</v>
      </c>
      <c r="E50" s="56">
        <v>3472.82</v>
      </c>
      <c r="F50" s="56">
        <v>3319.65</v>
      </c>
      <c r="G50" s="56">
        <v>3271.28</v>
      </c>
      <c r="H50" s="56">
        <v>3921.71</v>
      </c>
      <c r="I50" s="56">
        <v>4062.05</v>
      </c>
      <c r="J50" s="56">
        <v>3439.79</v>
      </c>
      <c r="K50" s="56">
        <v>3306.13</v>
      </c>
      <c r="L50" s="56">
        <v>4020.1</v>
      </c>
      <c r="M50" s="232"/>
      <c r="N50" s="232"/>
      <c r="O50" s="232"/>
      <c r="P50" s="234"/>
      <c r="Q50" s="234"/>
      <c r="R50" s="232"/>
      <c r="S50" s="234"/>
      <c r="T50" s="242"/>
      <c r="U50" s="232"/>
      <c r="V50" s="237"/>
    </row>
    <row r="51" spans="1:22" ht="39.9" x14ac:dyDescent="0.3">
      <c r="A51" s="238"/>
      <c r="B51" s="241"/>
      <c r="C51" s="71" t="s">
        <v>123</v>
      </c>
      <c r="D51" s="38">
        <f t="shared" ref="D51:L51" si="13">IF(((D49="")*AND(D50="")),"",(D49-D50)*60/70)</f>
        <v>868.2085714285713</v>
      </c>
      <c r="E51" s="38">
        <f t="shared" si="13"/>
        <v>1004.4599999999996</v>
      </c>
      <c r="F51" s="38">
        <f t="shared" si="13"/>
        <v>1026.5828571428569</v>
      </c>
      <c r="G51" s="38">
        <f t="shared" si="13"/>
        <v>1064.2028571428573</v>
      </c>
      <c r="H51" s="38">
        <f t="shared" si="13"/>
        <v>946.18285714285719</v>
      </c>
      <c r="I51" s="38">
        <f t="shared" si="13"/>
        <v>882.53142857142848</v>
      </c>
      <c r="J51" s="38">
        <f t="shared" si="13"/>
        <v>1012.8257142857143</v>
      </c>
      <c r="K51" s="38">
        <f t="shared" si="13"/>
        <v>1053.4885714285713</v>
      </c>
      <c r="L51" s="38">
        <f t="shared" si="13"/>
        <v>913.06285714285741</v>
      </c>
      <c r="M51" s="232"/>
      <c r="N51" s="232"/>
      <c r="O51" s="232"/>
      <c r="P51" s="235"/>
      <c r="Q51" s="235"/>
      <c r="R51" s="232"/>
      <c r="S51" s="235"/>
      <c r="T51" s="243"/>
      <c r="U51" s="232"/>
      <c r="V51" s="237"/>
    </row>
    <row r="52" spans="1:22" x14ac:dyDescent="0.3">
      <c r="A52" s="238">
        <v>42631</v>
      </c>
      <c r="B52" s="239" t="s">
        <v>124</v>
      </c>
      <c r="C52" s="71" t="s">
        <v>88</v>
      </c>
      <c r="D52" s="56">
        <v>4160.04</v>
      </c>
      <c r="E52" s="56">
        <v>3497.46</v>
      </c>
      <c r="F52" s="56">
        <v>3342.18</v>
      </c>
      <c r="G52" s="56">
        <v>3291.86</v>
      </c>
      <c r="H52" s="56">
        <v>3936.73</v>
      </c>
      <c r="I52" s="56">
        <v>4077.83</v>
      </c>
      <c r="J52" s="56">
        <v>3462.27</v>
      </c>
      <c r="K52" s="56">
        <v>3326.86</v>
      </c>
      <c r="L52" s="56">
        <v>4032.67</v>
      </c>
      <c r="M52" s="232">
        <f>IF((L53=""),"",MAX(D54:L54))</f>
        <v>1052.22</v>
      </c>
      <c r="N52" s="232">
        <f>IF(L53="","",MIN(D54:L54))</f>
        <v>880.44857142857143</v>
      </c>
      <c r="O52" s="232">
        <f>IF((L54=""),"",AVERAGE(D54:L54))</f>
        <v>971.8228571428574</v>
      </c>
      <c r="P52" s="233">
        <v>800</v>
      </c>
      <c r="Q52" s="233">
        <v>1000</v>
      </c>
      <c r="R52" s="232">
        <f>IF((L53=""),"",((M52-N52)/(M52+N52))*100)</f>
        <v>8.8877850610702627</v>
      </c>
      <c r="S52" s="233">
        <v>20</v>
      </c>
      <c r="T52" s="242" t="str">
        <f>IF(L53="","",IF(R53&lt;20,(IF(O52&gt;800,IF(O52&lt;1000,"Pass","Fail"),"Fail"))))</f>
        <v>Pass</v>
      </c>
      <c r="U52" s="232">
        <v>64</v>
      </c>
      <c r="V52" s="237"/>
    </row>
    <row r="53" spans="1:22" x14ac:dyDescent="0.3">
      <c r="A53" s="238"/>
      <c r="B53" s="240"/>
      <c r="C53" s="71" t="s">
        <v>89</v>
      </c>
      <c r="D53" s="56">
        <v>3132.85</v>
      </c>
      <c r="E53" s="56">
        <v>2345.06</v>
      </c>
      <c r="F53" s="56">
        <v>2162.6</v>
      </c>
      <c r="G53" s="56">
        <v>2064.27</v>
      </c>
      <c r="H53" s="56">
        <v>2811.69</v>
      </c>
      <c r="I53" s="56">
        <v>3013.91</v>
      </c>
      <c r="J53" s="56">
        <v>2295.17</v>
      </c>
      <c r="K53" s="56">
        <v>2115.7399999999998</v>
      </c>
      <c r="L53" s="56">
        <v>2982.47</v>
      </c>
      <c r="M53" s="232"/>
      <c r="N53" s="232"/>
      <c r="O53" s="232"/>
      <c r="P53" s="234"/>
      <c r="Q53" s="234"/>
      <c r="R53" s="232"/>
      <c r="S53" s="234"/>
      <c r="T53" s="242"/>
      <c r="U53" s="232"/>
      <c r="V53" s="237"/>
    </row>
    <row r="54" spans="1:22" ht="39.9" x14ac:dyDescent="0.3">
      <c r="A54" s="238"/>
      <c r="B54" s="241"/>
      <c r="C54" s="71" t="s">
        <v>123</v>
      </c>
      <c r="D54" s="38">
        <f t="shared" ref="D54:L54" si="14">IF(((D52="")*AND(D53="")),"",(D52-D53)*60/70)</f>
        <v>880.44857142857143</v>
      </c>
      <c r="E54" s="38">
        <f t="shared" si="14"/>
        <v>987.7714285714286</v>
      </c>
      <c r="F54" s="38">
        <f t="shared" si="14"/>
        <v>1011.0685714285713</v>
      </c>
      <c r="G54" s="38">
        <f t="shared" si="14"/>
        <v>1052.22</v>
      </c>
      <c r="H54" s="38">
        <f t="shared" si="14"/>
        <v>964.31999999999994</v>
      </c>
      <c r="I54" s="38">
        <f t="shared" si="14"/>
        <v>911.93142857142868</v>
      </c>
      <c r="J54" s="38">
        <f t="shared" si="14"/>
        <v>1000.3714285714286</v>
      </c>
      <c r="K54" s="38">
        <f t="shared" si="14"/>
        <v>1038.1028571428576</v>
      </c>
      <c r="L54" s="38">
        <f t="shared" si="14"/>
        <v>900.17142857142881</v>
      </c>
      <c r="M54" s="232"/>
      <c r="N54" s="232"/>
      <c r="O54" s="232"/>
      <c r="P54" s="235"/>
      <c r="Q54" s="235"/>
      <c r="R54" s="232"/>
      <c r="S54" s="235"/>
      <c r="T54" s="243"/>
      <c r="U54" s="232"/>
      <c r="V54" s="237"/>
    </row>
    <row r="55" spans="1:22" x14ac:dyDescent="0.3">
      <c r="A55" s="238">
        <v>42634</v>
      </c>
      <c r="B55" s="239" t="s">
        <v>124</v>
      </c>
      <c r="C55" s="71" t="s">
        <v>88</v>
      </c>
      <c r="D55" s="56">
        <v>3152.51</v>
      </c>
      <c r="E55" s="56">
        <v>2358.46</v>
      </c>
      <c r="F55" s="56">
        <v>2171.37</v>
      </c>
      <c r="G55" s="56">
        <v>2073.63</v>
      </c>
      <c r="H55" s="56">
        <v>2829.07</v>
      </c>
      <c r="I55" s="56">
        <v>3046.93</v>
      </c>
      <c r="J55" s="56">
        <v>2309.1799999999998</v>
      </c>
      <c r="K55" s="56">
        <v>2122.7800000000002</v>
      </c>
      <c r="L55" s="56">
        <v>2967.44</v>
      </c>
      <c r="M55" s="232">
        <f>IF((L56=""),"",MAX(D57:L57))</f>
        <v>1056.0857142857144</v>
      </c>
      <c r="N55" s="232">
        <f>IF(L56="","",MIN(D57:L57))</f>
        <v>870.97714285714324</v>
      </c>
      <c r="O55" s="232">
        <f>IF((L57=""),"",AVERAGE(D57:L57))</f>
        <v>970.12190476190494</v>
      </c>
      <c r="P55" s="233">
        <v>800</v>
      </c>
      <c r="Q55" s="233">
        <v>1000</v>
      </c>
      <c r="R55" s="232">
        <f>IF((L56=""),"",((M55-N55)/(M55+N55))*100)</f>
        <v>9.6057360424153853</v>
      </c>
      <c r="S55" s="233">
        <v>20</v>
      </c>
      <c r="T55" s="242" t="str">
        <f>IF(L56="","",IF(R56&lt;20,(IF(O55&gt;800,IF(O55&lt;1000,"Pass","Fail"),"Fail"))))</f>
        <v>Pass</v>
      </c>
      <c r="U55" s="232">
        <v>1400</v>
      </c>
      <c r="V55" s="237"/>
    </row>
    <row r="56" spans="1:22" x14ac:dyDescent="0.3">
      <c r="A56" s="238"/>
      <c r="B56" s="240"/>
      <c r="C56" s="71" t="s">
        <v>89</v>
      </c>
      <c r="D56" s="56">
        <v>2136.37</v>
      </c>
      <c r="E56" s="56">
        <v>1195.99</v>
      </c>
      <c r="F56" s="56">
        <v>981.75</v>
      </c>
      <c r="G56" s="56">
        <v>841.53</v>
      </c>
      <c r="H56" s="56">
        <v>1729.7</v>
      </c>
      <c r="I56" s="56">
        <v>2008.26</v>
      </c>
      <c r="J56" s="56">
        <v>1129.96</v>
      </c>
      <c r="K56" s="56">
        <v>902.29</v>
      </c>
      <c r="L56" s="56">
        <v>1919.24</v>
      </c>
      <c r="M56" s="232"/>
      <c r="N56" s="232"/>
      <c r="O56" s="232"/>
      <c r="P56" s="234"/>
      <c r="Q56" s="234"/>
      <c r="R56" s="232"/>
      <c r="S56" s="234"/>
      <c r="T56" s="242"/>
      <c r="U56" s="232"/>
      <c r="V56" s="237"/>
    </row>
    <row r="57" spans="1:22" ht="39.9" x14ac:dyDescent="0.3">
      <c r="A57" s="238"/>
      <c r="B57" s="241"/>
      <c r="C57" s="71" t="s">
        <v>123</v>
      </c>
      <c r="D57" s="38">
        <f t="shared" ref="D57:L57" si="15">IF(((D55="")*AND(D56="")),"",(D55-D56)*60/70)</f>
        <v>870.97714285714324</v>
      </c>
      <c r="E57" s="38">
        <f t="shared" si="15"/>
        <v>996.4028571428571</v>
      </c>
      <c r="F57" s="38">
        <f t="shared" si="15"/>
        <v>1019.6742857142857</v>
      </c>
      <c r="G57" s="38">
        <f t="shared" si="15"/>
        <v>1056.0857142857144</v>
      </c>
      <c r="H57" s="38">
        <f t="shared" si="15"/>
        <v>942.31714285714304</v>
      </c>
      <c r="I57" s="38">
        <f t="shared" si="15"/>
        <v>890.28857142857123</v>
      </c>
      <c r="J57" s="38">
        <f t="shared" si="15"/>
        <v>1010.7599999999998</v>
      </c>
      <c r="K57" s="38">
        <f t="shared" si="15"/>
        <v>1046.1342857142859</v>
      </c>
      <c r="L57" s="38">
        <f t="shared" si="15"/>
        <v>898.45714285714291</v>
      </c>
      <c r="M57" s="232"/>
      <c r="N57" s="232"/>
      <c r="O57" s="232"/>
      <c r="P57" s="235"/>
      <c r="Q57" s="235"/>
      <c r="R57" s="232"/>
      <c r="S57" s="235"/>
      <c r="T57" s="243"/>
      <c r="U57" s="232"/>
      <c r="V57" s="237"/>
    </row>
    <row r="58" spans="1:22" x14ac:dyDescent="0.3">
      <c r="A58" s="238">
        <v>42657</v>
      </c>
      <c r="B58" s="239" t="s">
        <v>124</v>
      </c>
      <c r="C58" s="71" t="s">
        <v>88</v>
      </c>
      <c r="D58" s="56">
        <v>11856.88</v>
      </c>
      <c r="E58" s="56">
        <v>11589.72</v>
      </c>
      <c r="F58" s="56">
        <v>11514.57</v>
      </c>
      <c r="G58" s="56">
        <v>11617.14</v>
      </c>
      <c r="H58" s="56">
        <v>11881.55</v>
      </c>
      <c r="I58" s="56">
        <v>11456.02</v>
      </c>
      <c r="J58" s="56">
        <v>11576.08</v>
      </c>
      <c r="K58" s="56">
        <v>11579.49</v>
      </c>
      <c r="L58" s="56">
        <v>11493.31</v>
      </c>
      <c r="M58" s="232">
        <f>IF((L59=""),"",MAX(D60:L60))</f>
        <v>1048.0800000000002</v>
      </c>
      <c r="N58" s="232">
        <f>IF(L59="","",MIN(D60:L60))</f>
        <v>852.74571428571346</v>
      </c>
      <c r="O58" s="232">
        <f>IF((L60=""),"",AVERAGE(D60:L60))</f>
        <v>962.03809523809525</v>
      </c>
      <c r="P58" s="233">
        <v>800</v>
      </c>
      <c r="Q58" s="233">
        <v>1000</v>
      </c>
      <c r="R58" s="232">
        <f>IF((L59=""),"",((M58-N58)/(M58+N58))*100)</f>
        <v>10.276285944905201</v>
      </c>
      <c r="S58" s="233">
        <v>20</v>
      </c>
      <c r="T58" s="242" t="str">
        <f>IF(L59="","",IF(R59&lt;20,(IF(O58&gt;800,IF(O58&lt;1000,"Pass","Fail"),"Fail"))))</f>
        <v>Pass</v>
      </c>
      <c r="U58" s="232">
        <v>1335</v>
      </c>
      <c r="V58" s="237"/>
    </row>
    <row r="59" spans="1:22" x14ac:dyDescent="0.3">
      <c r="A59" s="238"/>
      <c r="B59" s="240"/>
      <c r="C59" s="71" t="s">
        <v>89</v>
      </c>
      <c r="D59" s="56">
        <v>10862.01</v>
      </c>
      <c r="E59" s="56">
        <v>10425.709999999999</v>
      </c>
      <c r="F59" s="56">
        <v>10333.719999999999</v>
      </c>
      <c r="G59" s="56">
        <v>10394.379999999999</v>
      </c>
      <c r="H59" s="56">
        <v>10812.43</v>
      </c>
      <c r="I59" s="56">
        <v>10429.17</v>
      </c>
      <c r="J59" s="56">
        <v>10408.33</v>
      </c>
      <c r="K59" s="56">
        <v>10362.549999999999</v>
      </c>
      <c r="L59" s="56">
        <v>10435.06</v>
      </c>
      <c r="M59" s="232"/>
      <c r="N59" s="232"/>
      <c r="O59" s="232"/>
      <c r="P59" s="234"/>
      <c r="Q59" s="234"/>
      <c r="R59" s="232"/>
      <c r="S59" s="234"/>
      <c r="T59" s="242"/>
      <c r="U59" s="232"/>
      <c r="V59" s="237"/>
    </row>
    <row r="60" spans="1:22" ht="39.9" x14ac:dyDescent="0.3">
      <c r="A60" s="238"/>
      <c r="B60" s="241"/>
      <c r="C60" s="71" t="s">
        <v>123</v>
      </c>
      <c r="D60" s="38">
        <f t="shared" ref="D60:L60" si="16">IF(((D58="")*AND(D59="")),"",(D58-D59)*60/70)</f>
        <v>852.74571428571346</v>
      </c>
      <c r="E60" s="38">
        <f t="shared" si="16"/>
        <v>997.72285714285726</v>
      </c>
      <c r="F60" s="38">
        <f t="shared" si="16"/>
        <v>1012.1571428571433</v>
      </c>
      <c r="G60" s="38">
        <f t="shared" si="16"/>
        <v>1048.0800000000002</v>
      </c>
      <c r="H60" s="38">
        <f t="shared" si="16"/>
        <v>916.38857142857057</v>
      </c>
      <c r="I60" s="38">
        <f t="shared" si="16"/>
        <v>880.15714285714319</v>
      </c>
      <c r="J60" s="38">
        <f t="shared" si="16"/>
        <v>1000.9285714285714</v>
      </c>
      <c r="K60" s="38">
        <f t="shared" si="16"/>
        <v>1043.0914285714289</v>
      </c>
      <c r="L60" s="38">
        <f t="shared" si="16"/>
        <v>907.07142857142856</v>
      </c>
      <c r="M60" s="232"/>
      <c r="N60" s="232"/>
      <c r="O60" s="232"/>
      <c r="P60" s="235"/>
      <c r="Q60" s="235"/>
      <c r="R60" s="232"/>
      <c r="S60" s="235"/>
      <c r="T60" s="243"/>
      <c r="U60" s="232"/>
      <c r="V60" s="237"/>
    </row>
    <row r="61" spans="1:22" x14ac:dyDescent="0.3">
      <c r="A61" s="238">
        <v>42660</v>
      </c>
      <c r="B61" s="239" t="s">
        <v>124</v>
      </c>
      <c r="C61" s="71" t="s">
        <v>88</v>
      </c>
      <c r="D61" s="56">
        <v>10877.57</v>
      </c>
      <c r="E61" s="56">
        <v>10444.280000000001</v>
      </c>
      <c r="F61" s="56">
        <v>10352.379999999999</v>
      </c>
      <c r="G61" s="56">
        <v>10416.35</v>
      </c>
      <c r="H61" s="56">
        <v>10829.94</v>
      </c>
      <c r="I61" s="56">
        <v>10444.370000000001</v>
      </c>
      <c r="J61" s="56">
        <v>10429.34</v>
      </c>
      <c r="K61" s="56">
        <v>10378.25</v>
      </c>
      <c r="L61" s="56">
        <v>10452.76</v>
      </c>
      <c r="M61" s="232">
        <f>IF((L62=""),"",MAX(D63:L63))</f>
        <v>1037.8628571428574</v>
      </c>
      <c r="N61" s="232">
        <f>IF(L62="","",MIN(D63:L63))</f>
        <v>863.50285714285724</v>
      </c>
      <c r="O61" s="232">
        <f>IF((L63=""),"",AVERAGE(D63:L63))</f>
        <v>951.49904761904793</v>
      </c>
      <c r="P61" s="233">
        <v>800</v>
      </c>
      <c r="Q61" s="233">
        <v>1000</v>
      </c>
      <c r="R61" s="232">
        <f>IF((L62=""),"",((M61-N61)/(M61+N61))*100)</f>
        <v>9.170250556742678</v>
      </c>
      <c r="S61" s="233">
        <v>20</v>
      </c>
      <c r="T61" s="242" t="str">
        <f>IF(L62="","",IF(R62&lt;20,(IF(O61&gt;800,IF(O61&lt;1000,"Pass","Fail"),"Fail"))))</f>
        <v>Pass</v>
      </c>
      <c r="U61" s="232">
        <v>1428</v>
      </c>
      <c r="V61" s="244" t="s">
        <v>75</v>
      </c>
    </row>
    <row r="62" spans="1:22" x14ac:dyDescent="0.3">
      <c r="A62" s="238"/>
      <c r="B62" s="240"/>
      <c r="C62" s="71" t="s">
        <v>89</v>
      </c>
      <c r="D62" s="56">
        <v>9870.15</v>
      </c>
      <c r="E62" s="56">
        <v>9314.7099999999991</v>
      </c>
      <c r="F62" s="56">
        <v>9198.7800000000007</v>
      </c>
      <c r="G62" s="56">
        <v>9205.51</v>
      </c>
      <c r="H62" s="56">
        <v>9739.4599999999991</v>
      </c>
      <c r="I62" s="56">
        <v>9429.5499999999993</v>
      </c>
      <c r="J62" s="56">
        <v>9278.73</v>
      </c>
      <c r="K62" s="56">
        <v>9184.16</v>
      </c>
      <c r="L62" s="56">
        <v>9413.4500000000007</v>
      </c>
      <c r="M62" s="232"/>
      <c r="N62" s="232"/>
      <c r="O62" s="232"/>
      <c r="P62" s="234"/>
      <c r="Q62" s="234"/>
      <c r="R62" s="232"/>
      <c r="S62" s="234"/>
      <c r="T62" s="242"/>
      <c r="U62" s="232"/>
      <c r="V62" s="245"/>
    </row>
    <row r="63" spans="1:22" ht="39.9" x14ac:dyDescent="0.3">
      <c r="A63" s="238"/>
      <c r="B63" s="241"/>
      <c r="C63" s="71" t="s">
        <v>123</v>
      </c>
      <c r="D63" s="38">
        <f t="shared" ref="D63:L63" si="17">IF(((D61="")*AND(D62="")),"",(D61-D62)*60/70)</f>
        <v>863.50285714285724</v>
      </c>
      <c r="E63" s="38">
        <f t="shared" si="17"/>
        <v>968.20285714285853</v>
      </c>
      <c r="F63" s="38">
        <f t="shared" si="17"/>
        <v>988.7999999999987</v>
      </c>
      <c r="G63" s="38">
        <f t="shared" si="17"/>
        <v>1037.8628571428574</v>
      </c>
      <c r="H63" s="38">
        <f t="shared" si="17"/>
        <v>934.69714285714406</v>
      </c>
      <c r="I63" s="38">
        <f t="shared" si="17"/>
        <v>869.84571428571564</v>
      </c>
      <c r="J63" s="38">
        <f t="shared" si="17"/>
        <v>986.23714285714334</v>
      </c>
      <c r="K63" s="38">
        <f t="shared" si="17"/>
        <v>1023.5057142857144</v>
      </c>
      <c r="L63" s="38">
        <f t="shared" si="17"/>
        <v>890.83714285714245</v>
      </c>
      <c r="M63" s="232"/>
      <c r="N63" s="232"/>
      <c r="O63" s="232"/>
      <c r="P63" s="235"/>
      <c r="Q63" s="235"/>
      <c r="R63" s="232"/>
      <c r="S63" s="235"/>
      <c r="T63" s="243"/>
      <c r="U63" s="232"/>
      <c r="V63" s="246"/>
    </row>
    <row r="64" spans="1:22" x14ac:dyDescent="0.3">
      <c r="A64" s="238">
        <v>43265</v>
      </c>
      <c r="B64" s="239"/>
      <c r="C64" s="71" t="s">
        <v>88</v>
      </c>
      <c r="D64" s="56">
        <v>11723.71</v>
      </c>
      <c r="E64" s="56">
        <v>11423.98</v>
      </c>
      <c r="F64" s="56">
        <v>11333.2</v>
      </c>
      <c r="G64" s="56">
        <v>11449.44</v>
      </c>
      <c r="H64" s="56">
        <v>11752.57</v>
      </c>
      <c r="I64" s="56">
        <v>11358.79</v>
      </c>
      <c r="J64" s="56">
        <v>11407.66</v>
      </c>
      <c r="K64" s="56">
        <v>11407.62</v>
      </c>
      <c r="L64" s="56">
        <v>11296.23</v>
      </c>
      <c r="M64" s="232">
        <f>IF((L65=""),"",MAX(D66:L66))</f>
        <v>1037.9485714285718</v>
      </c>
      <c r="N64" s="232">
        <f>IF(L65="","",MIN(D66:L66))</f>
        <v>851.55428571428536</v>
      </c>
      <c r="O64" s="232">
        <f>IF((L66=""),"",AVERAGE(D66:L66))</f>
        <v>967.5971428571429</v>
      </c>
      <c r="P64" s="233">
        <v>800</v>
      </c>
      <c r="Q64" s="233">
        <v>1000</v>
      </c>
      <c r="R64" s="232">
        <f>IF((L65=""),"",((M64-N64)/(M64+N64))*100)</f>
        <v>9.8647263225701476</v>
      </c>
      <c r="S64" s="233">
        <v>20</v>
      </c>
      <c r="T64" s="242" t="str">
        <f>IF(L65="","",IF(R65&lt;20,(IF(O64&gt;800,IF(O64&lt;1000,"Pass","Fail"),"Fail"))))</f>
        <v>Pass</v>
      </c>
      <c r="U64" s="232" t="s">
        <v>63</v>
      </c>
      <c r="V64" s="237"/>
    </row>
    <row r="65" spans="1:22" x14ac:dyDescent="0.3">
      <c r="A65" s="238"/>
      <c r="B65" s="240"/>
      <c r="C65" s="71" t="s">
        <v>89</v>
      </c>
      <c r="D65" s="56">
        <v>10626.75</v>
      </c>
      <c r="E65" s="56">
        <v>10226.719999999999</v>
      </c>
      <c r="F65" s="56">
        <v>10164.450000000001</v>
      </c>
      <c r="G65" s="56">
        <v>10263.93</v>
      </c>
      <c r="H65" s="56">
        <v>10759.09</v>
      </c>
      <c r="I65" s="56">
        <v>10294.49</v>
      </c>
      <c r="J65" s="56">
        <v>10228.99</v>
      </c>
      <c r="K65" s="56">
        <v>10196.68</v>
      </c>
      <c r="L65" s="56">
        <v>10232.33</v>
      </c>
      <c r="M65" s="232"/>
      <c r="N65" s="232"/>
      <c r="O65" s="232"/>
      <c r="P65" s="234"/>
      <c r="Q65" s="234"/>
      <c r="R65" s="232"/>
      <c r="S65" s="234"/>
      <c r="T65" s="242"/>
      <c r="U65" s="232"/>
      <c r="V65" s="237"/>
    </row>
    <row r="66" spans="1:22" ht="39.9" x14ac:dyDescent="0.3">
      <c r="A66" s="238"/>
      <c r="B66" s="241"/>
      <c r="C66" s="71" t="s">
        <v>123</v>
      </c>
      <c r="D66" s="38">
        <f t="shared" ref="D66:L66" si="18">IF(((D64="")*AND(D65="")),"",(D64-D65)*60/70)</f>
        <v>940.25142857142782</v>
      </c>
      <c r="E66" s="38">
        <f t="shared" si="18"/>
        <v>1026.2228571428573</v>
      </c>
      <c r="F66" s="38">
        <f t="shared" si="18"/>
        <v>1001.7857142857143</v>
      </c>
      <c r="G66" s="38">
        <f t="shared" si="18"/>
        <v>1016.1514285714287</v>
      </c>
      <c r="H66" s="38">
        <f t="shared" si="18"/>
        <v>851.55428571428536</v>
      </c>
      <c r="I66" s="38">
        <f t="shared" si="18"/>
        <v>912.25714285714378</v>
      </c>
      <c r="J66" s="38">
        <f t="shared" si="18"/>
        <v>1010.2885714285716</v>
      </c>
      <c r="K66" s="38">
        <f t="shared" si="18"/>
        <v>1037.9485714285718</v>
      </c>
      <c r="L66" s="38">
        <f t="shared" si="18"/>
        <v>911.91428571428537</v>
      </c>
      <c r="M66" s="232"/>
      <c r="N66" s="232"/>
      <c r="O66" s="232"/>
      <c r="P66" s="235"/>
      <c r="Q66" s="235"/>
      <c r="R66" s="232"/>
      <c r="S66" s="235"/>
      <c r="T66" s="243"/>
      <c r="U66" s="232"/>
      <c r="V66" s="237"/>
    </row>
    <row r="67" spans="1:22" x14ac:dyDescent="0.3">
      <c r="A67" s="238"/>
      <c r="B67" s="239"/>
      <c r="C67" s="71" t="s">
        <v>88</v>
      </c>
      <c r="M67" s="232" t="str">
        <f>IF((L68=""),"",MAX(D69:L69))</f>
        <v/>
      </c>
      <c r="N67" s="232" t="str">
        <f>IF(L68="","",MIN(D69:L69))</f>
        <v/>
      </c>
      <c r="O67" s="232" t="str">
        <f>IF((L69=""),"",AVERAGE(D69:L69))</f>
        <v/>
      </c>
      <c r="P67" s="233">
        <v>800</v>
      </c>
      <c r="Q67" s="233">
        <v>1000</v>
      </c>
      <c r="R67" s="232" t="str">
        <f>IF((L68=""),"",((M67-N67)/(M67+N67))*100)</f>
        <v/>
      </c>
      <c r="S67" s="233"/>
      <c r="T67" s="236" t="str">
        <f>IF(L68="","",IF(R164&lt;20,(IF(O67&gt;19000,IF(O67&lt;49000,"Pass","Fail"),"Fail"))))</f>
        <v/>
      </c>
      <c r="U67" s="232"/>
      <c r="V67" s="237"/>
    </row>
    <row r="68" spans="1:22" x14ac:dyDescent="0.3">
      <c r="A68" s="238"/>
      <c r="B68" s="240"/>
      <c r="C68" s="71" t="s">
        <v>89</v>
      </c>
      <c r="M68" s="232"/>
      <c r="N68" s="232"/>
      <c r="O68" s="232"/>
      <c r="P68" s="234"/>
      <c r="Q68" s="234"/>
      <c r="R68" s="232"/>
      <c r="S68" s="234"/>
      <c r="T68" s="236"/>
      <c r="U68" s="232"/>
      <c r="V68" s="237"/>
    </row>
    <row r="69" spans="1:22" ht="39.9" x14ac:dyDescent="0.3">
      <c r="A69" s="238"/>
      <c r="B69" s="241"/>
      <c r="C69" s="71" t="s">
        <v>123</v>
      </c>
      <c r="D69" s="38" t="str">
        <f t="shared" ref="D69:L69" si="19">IF(((D67="")*AND(D68="")),"",(D67-D68)*60/70)</f>
        <v/>
      </c>
      <c r="E69" s="38" t="str">
        <f t="shared" si="19"/>
        <v/>
      </c>
      <c r="F69" s="38" t="str">
        <f t="shared" si="19"/>
        <v/>
      </c>
      <c r="G69" s="38" t="str">
        <f t="shared" si="19"/>
        <v/>
      </c>
      <c r="H69" s="38" t="str">
        <f t="shared" si="19"/>
        <v/>
      </c>
      <c r="I69" s="38" t="str">
        <f t="shared" si="19"/>
        <v/>
      </c>
      <c r="J69" s="38" t="str">
        <f t="shared" si="19"/>
        <v/>
      </c>
      <c r="K69" s="38" t="str">
        <f t="shared" si="19"/>
        <v/>
      </c>
      <c r="L69" s="38" t="str">
        <f t="shared" si="19"/>
        <v/>
      </c>
      <c r="M69" s="232"/>
      <c r="N69" s="232"/>
      <c r="O69" s="232"/>
      <c r="P69" s="235"/>
      <c r="Q69" s="235"/>
      <c r="R69" s="232"/>
      <c r="S69" s="235"/>
      <c r="T69" s="236"/>
      <c r="U69" s="232"/>
      <c r="V69" s="237"/>
    </row>
    <row r="70" spans="1:22" x14ac:dyDescent="0.3">
      <c r="A70" s="238"/>
      <c r="B70" s="239"/>
      <c r="C70" s="71" t="s">
        <v>88</v>
      </c>
      <c r="M70" s="232" t="str">
        <f>IF((L71=""),"",MAX(D72:L72))</f>
        <v/>
      </c>
      <c r="N70" s="232" t="str">
        <f>IF(L71="","",MIN(D72:L72))</f>
        <v/>
      </c>
      <c r="O70" s="232" t="str">
        <f>IF((L72=""),"",AVERAGE(D72:L72))</f>
        <v/>
      </c>
      <c r="P70" s="233">
        <v>800</v>
      </c>
      <c r="Q70" s="233">
        <v>1000</v>
      </c>
      <c r="R70" s="232" t="str">
        <f>IF((L71=""),"",((M70-N70)/(M70+N70))*100)</f>
        <v/>
      </c>
      <c r="S70" s="233">
        <v>20</v>
      </c>
      <c r="T70" s="236" t="str">
        <f>IF(L71="","",IF(R167&lt;20,(IF(O70&gt;19000,IF(O70&lt;49000,"Pass","Fail"),"Fail"))))</f>
        <v/>
      </c>
      <c r="U70" s="232"/>
      <c r="V70" s="237"/>
    </row>
    <row r="71" spans="1:22" x14ac:dyDescent="0.3">
      <c r="A71" s="238"/>
      <c r="B71" s="240"/>
      <c r="C71" s="71" t="s">
        <v>89</v>
      </c>
      <c r="M71" s="232"/>
      <c r="N71" s="232"/>
      <c r="O71" s="232"/>
      <c r="P71" s="234"/>
      <c r="Q71" s="234"/>
      <c r="R71" s="232"/>
      <c r="S71" s="234"/>
      <c r="T71" s="236"/>
      <c r="U71" s="232"/>
      <c r="V71" s="237"/>
    </row>
    <row r="72" spans="1:22" ht="39.9" x14ac:dyDescent="0.3">
      <c r="A72" s="238"/>
      <c r="B72" s="241"/>
      <c r="C72" s="71" t="s">
        <v>123</v>
      </c>
      <c r="D72" s="38" t="str">
        <f t="shared" ref="D72:L72" si="20">IF(((D70="")*AND(D71="")),"",(D70-D71)*60/70)</f>
        <v/>
      </c>
      <c r="E72" s="38" t="str">
        <f t="shared" si="20"/>
        <v/>
      </c>
      <c r="F72" s="38" t="str">
        <f t="shared" si="20"/>
        <v/>
      </c>
      <c r="G72" s="38" t="str">
        <f t="shared" si="20"/>
        <v/>
      </c>
      <c r="H72" s="38" t="str">
        <f t="shared" si="20"/>
        <v/>
      </c>
      <c r="I72" s="38" t="str">
        <f t="shared" si="20"/>
        <v/>
      </c>
      <c r="J72" s="38" t="str">
        <f t="shared" si="20"/>
        <v/>
      </c>
      <c r="K72" s="38" t="str">
        <f t="shared" si="20"/>
        <v/>
      </c>
      <c r="L72" s="38" t="str">
        <f t="shared" si="20"/>
        <v/>
      </c>
      <c r="M72" s="232"/>
      <c r="N72" s="232"/>
      <c r="O72" s="232"/>
      <c r="P72" s="235"/>
      <c r="Q72" s="235"/>
      <c r="R72" s="232"/>
      <c r="S72" s="235"/>
      <c r="T72" s="236"/>
      <c r="U72" s="232"/>
      <c r="V72" s="237"/>
    </row>
    <row r="73" spans="1:22" x14ac:dyDescent="0.3">
      <c r="A73" s="238"/>
      <c r="B73" s="239"/>
      <c r="C73" s="71" t="s">
        <v>88</v>
      </c>
      <c r="M73" s="232" t="str">
        <f>IF((L74=""),"",MAX(D75:L75))</f>
        <v/>
      </c>
      <c r="N73" s="232" t="str">
        <f>IF(L74="","",MIN(D75:L75))</f>
        <v/>
      </c>
      <c r="O73" s="232" t="str">
        <f>IF((L75=""),"",AVERAGE(D75:L75))</f>
        <v/>
      </c>
      <c r="P73" s="233">
        <v>800</v>
      </c>
      <c r="Q73" s="233">
        <v>1000</v>
      </c>
      <c r="R73" s="232" t="str">
        <f>IF((L74=""),"",((M73-N73)/(M73+N73))*100)</f>
        <v/>
      </c>
      <c r="S73" s="233">
        <v>20</v>
      </c>
      <c r="T73" s="236" t="str">
        <f>IF(L74="","",IF(R170&lt;20,(IF(O73&gt;19000,IF(O73&lt;49000,"Pass","Fail"),"Fail"))))</f>
        <v/>
      </c>
      <c r="U73" s="232"/>
      <c r="V73" s="237"/>
    </row>
    <row r="74" spans="1:22" x14ac:dyDescent="0.3">
      <c r="A74" s="238"/>
      <c r="B74" s="240"/>
      <c r="C74" s="71" t="s">
        <v>89</v>
      </c>
      <c r="M74" s="232"/>
      <c r="N74" s="232"/>
      <c r="O74" s="232"/>
      <c r="P74" s="234"/>
      <c r="Q74" s="234"/>
      <c r="R74" s="232"/>
      <c r="S74" s="234"/>
      <c r="T74" s="236"/>
      <c r="U74" s="232"/>
      <c r="V74" s="237"/>
    </row>
    <row r="75" spans="1:22" ht="39.9" x14ac:dyDescent="0.3">
      <c r="A75" s="238"/>
      <c r="B75" s="241"/>
      <c r="C75" s="71" t="s">
        <v>123</v>
      </c>
      <c r="D75" s="38" t="str">
        <f t="shared" ref="D75:L75" si="21">IF(((D73="")*AND(D74="")),"",(D73-D74)*60/70)</f>
        <v/>
      </c>
      <c r="E75" s="38" t="str">
        <f t="shared" si="21"/>
        <v/>
      </c>
      <c r="F75" s="38" t="str">
        <f t="shared" si="21"/>
        <v/>
      </c>
      <c r="G75" s="38" t="str">
        <f t="shared" si="21"/>
        <v/>
      </c>
      <c r="H75" s="38" t="str">
        <f t="shared" si="21"/>
        <v/>
      </c>
      <c r="I75" s="38" t="str">
        <f t="shared" si="21"/>
        <v/>
      </c>
      <c r="J75" s="38" t="str">
        <f t="shared" si="21"/>
        <v/>
      </c>
      <c r="K75" s="38" t="str">
        <f t="shared" si="21"/>
        <v/>
      </c>
      <c r="L75" s="38" t="str">
        <f t="shared" si="21"/>
        <v/>
      </c>
      <c r="M75" s="232"/>
      <c r="N75" s="232"/>
      <c r="O75" s="232"/>
      <c r="P75" s="235"/>
      <c r="Q75" s="235"/>
      <c r="R75" s="232"/>
      <c r="S75" s="235"/>
      <c r="T75" s="236"/>
      <c r="U75" s="232"/>
      <c r="V75" s="237"/>
    </row>
    <row r="76" spans="1:22" x14ac:dyDescent="0.3">
      <c r="A76" s="238"/>
      <c r="B76" s="239"/>
      <c r="C76" s="71" t="s">
        <v>88</v>
      </c>
      <c r="M76" s="232" t="str">
        <f>IF((L77=""),"",MAX(D78:L78))</f>
        <v/>
      </c>
      <c r="N76" s="232" t="str">
        <f>IF(L77="","",MIN(D78:L78))</f>
        <v/>
      </c>
      <c r="O76" s="232" t="str">
        <f>IF((L78=""),"",AVERAGE(D78:L78))</f>
        <v/>
      </c>
      <c r="P76" s="233">
        <v>800</v>
      </c>
      <c r="Q76" s="233">
        <v>1000</v>
      </c>
      <c r="R76" s="232" t="str">
        <f>IF((L77=""),"",((M76-N76)/(M76+N76))*100)</f>
        <v/>
      </c>
      <c r="S76" s="233">
        <v>20</v>
      </c>
      <c r="T76" s="236" t="str">
        <f>IF(L77="","",IF(R173&lt;20,(IF(O76&gt;19000,IF(O76&lt;49000,"Pass","Fail"),"Fail"))))</f>
        <v/>
      </c>
      <c r="U76" s="232"/>
      <c r="V76" s="237"/>
    </row>
    <row r="77" spans="1:22" x14ac:dyDescent="0.3">
      <c r="A77" s="238"/>
      <c r="B77" s="240"/>
      <c r="C77" s="71" t="s">
        <v>89</v>
      </c>
      <c r="M77" s="232"/>
      <c r="N77" s="232"/>
      <c r="O77" s="232"/>
      <c r="P77" s="234"/>
      <c r="Q77" s="234"/>
      <c r="R77" s="232"/>
      <c r="S77" s="234"/>
      <c r="T77" s="236"/>
      <c r="U77" s="232"/>
      <c r="V77" s="237"/>
    </row>
    <row r="78" spans="1:22" ht="39.9" x14ac:dyDescent="0.3">
      <c r="A78" s="238"/>
      <c r="B78" s="241"/>
      <c r="C78" s="71" t="s">
        <v>123</v>
      </c>
      <c r="D78" s="38" t="str">
        <f t="shared" ref="D78:L78" si="22">IF(((D76="")*AND(D77="")),"",(D76-D77)*60/70)</f>
        <v/>
      </c>
      <c r="E78" s="38" t="str">
        <f t="shared" si="22"/>
        <v/>
      </c>
      <c r="F78" s="38" t="str">
        <f t="shared" si="22"/>
        <v/>
      </c>
      <c r="G78" s="38" t="str">
        <f t="shared" si="22"/>
        <v/>
      </c>
      <c r="H78" s="38" t="str">
        <f t="shared" si="22"/>
        <v/>
      </c>
      <c r="I78" s="38" t="str">
        <f t="shared" si="22"/>
        <v/>
      </c>
      <c r="J78" s="38" t="str">
        <f t="shared" si="22"/>
        <v/>
      </c>
      <c r="K78" s="38" t="str">
        <f t="shared" si="22"/>
        <v/>
      </c>
      <c r="L78" s="38" t="str">
        <f t="shared" si="22"/>
        <v/>
      </c>
      <c r="M78" s="232"/>
      <c r="N78" s="232"/>
      <c r="O78" s="232"/>
      <c r="P78" s="235"/>
      <c r="Q78" s="235"/>
      <c r="R78" s="232"/>
      <c r="S78" s="235"/>
      <c r="T78" s="236"/>
      <c r="U78" s="232"/>
      <c r="V78" s="237"/>
    </row>
    <row r="79" spans="1:22" x14ac:dyDescent="0.3">
      <c r="A79" s="238"/>
      <c r="B79" s="239"/>
      <c r="C79" s="71" t="s">
        <v>88</v>
      </c>
      <c r="M79" s="232" t="str">
        <f>IF((L80=""),"",MAX(D81:L81))</f>
        <v/>
      </c>
      <c r="N79" s="232" t="str">
        <f>IF(L80="","",MIN(D81:L81))</f>
        <v/>
      </c>
      <c r="O79" s="232" t="str">
        <f>IF((L81=""),"",AVERAGE(D81:L81))</f>
        <v/>
      </c>
      <c r="P79" s="233">
        <v>800</v>
      </c>
      <c r="Q79" s="233">
        <v>1000</v>
      </c>
      <c r="R79" s="232" t="str">
        <f>IF((L80=""),"",((M79-N79)/(M79+N79))*100)</f>
        <v/>
      </c>
      <c r="S79" s="233">
        <v>20</v>
      </c>
      <c r="T79" s="236" t="str">
        <f>IF(L80="","",IF(R176&lt;20,(IF(O79&gt;19000,IF(O79&lt;49000,"Pass","Fail"),"Fail"))))</f>
        <v/>
      </c>
      <c r="U79" s="232"/>
      <c r="V79" s="237"/>
    </row>
    <row r="80" spans="1:22" x14ac:dyDescent="0.3">
      <c r="A80" s="238"/>
      <c r="B80" s="240"/>
      <c r="C80" s="71" t="s">
        <v>89</v>
      </c>
      <c r="M80" s="232"/>
      <c r="N80" s="232"/>
      <c r="O80" s="232"/>
      <c r="P80" s="234"/>
      <c r="Q80" s="234"/>
      <c r="R80" s="232"/>
      <c r="S80" s="234"/>
      <c r="T80" s="236"/>
      <c r="U80" s="232"/>
      <c r="V80" s="237"/>
    </row>
    <row r="81" spans="1:22" ht="39.9" x14ac:dyDescent="0.3">
      <c r="A81" s="238"/>
      <c r="B81" s="241"/>
      <c r="C81" s="71" t="s">
        <v>123</v>
      </c>
      <c r="D81" s="38" t="str">
        <f t="shared" ref="D81:L81" si="23">IF(((D79="")*AND(D80="")),"",(D79-D80)*60/70)</f>
        <v/>
      </c>
      <c r="E81" s="38" t="str">
        <f t="shared" si="23"/>
        <v/>
      </c>
      <c r="F81" s="38" t="str">
        <f t="shared" si="23"/>
        <v/>
      </c>
      <c r="G81" s="38" t="str">
        <f t="shared" si="23"/>
        <v/>
      </c>
      <c r="H81" s="38" t="str">
        <f t="shared" si="23"/>
        <v/>
      </c>
      <c r="I81" s="38" t="str">
        <f t="shared" si="23"/>
        <v/>
      </c>
      <c r="J81" s="38" t="str">
        <f t="shared" si="23"/>
        <v/>
      </c>
      <c r="K81" s="38" t="str">
        <f t="shared" si="23"/>
        <v/>
      </c>
      <c r="L81" s="38" t="str">
        <f t="shared" si="23"/>
        <v/>
      </c>
      <c r="M81" s="232"/>
      <c r="N81" s="232"/>
      <c r="O81" s="232"/>
      <c r="P81" s="235"/>
      <c r="Q81" s="235"/>
      <c r="R81" s="232"/>
      <c r="S81" s="235"/>
      <c r="T81" s="236"/>
      <c r="U81" s="232"/>
      <c r="V81" s="237"/>
    </row>
    <row r="82" spans="1:22" x14ac:dyDescent="0.3">
      <c r="A82" s="238"/>
      <c r="B82" s="239"/>
      <c r="C82" s="71" t="s">
        <v>88</v>
      </c>
      <c r="M82" s="232" t="str">
        <f>IF((L83=""),"",MAX(D84:L84))</f>
        <v/>
      </c>
      <c r="N82" s="232" t="str">
        <f>IF(L83="","",MIN(D84:L84))</f>
        <v/>
      </c>
      <c r="O82" s="232" t="str">
        <f>IF((L84=""),"",AVERAGE(D84:L84))</f>
        <v/>
      </c>
      <c r="P82" s="233">
        <v>800</v>
      </c>
      <c r="Q82" s="233">
        <v>1000</v>
      </c>
      <c r="R82" s="232" t="str">
        <f>IF((L83=""),"",((M82-N82)/(M82+N82))*100)</f>
        <v/>
      </c>
      <c r="S82" s="233">
        <v>20</v>
      </c>
      <c r="T82" s="236" t="str">
        <f>IF(L83="","",IF(R179&lt;20,(IF(O82&gt;19000,IF(O82&lt;49000,"Pass","Fail"),"Fail"))))</f>
        <v/>
      </c>
      <c r="U82" s="232"/>
      <c r="V82" s="237"/>
    </row>
    <row r="83" spans="1:22" x14ac:dyDescent="0.3">
      <c r="A83" s="238"/>
      <c r="B83" s="240"/>
      <c r="C83" s="71" t="s">
        <v>89</v>
      </c>
      <c r="M83" s="232"/>
      <c r="N83" s="232"/>
      <c r="O83" s="232"/>
      <c r="P83" s="234"/>
      <c r="Q83" s="234"/>
      <c r="R83" s="232"/>
      <c r="S83" s="234"/>
      <c r="T83" s="236"/>
      <c r="U83" s="232"/>
      <c r="V83" s="237"/>
    </row>
    <row r="84" spans="1:22" ht="39.9" x14ac:dyDescent="0.3">
      <c r="A84" s="238"/>
      <c r="B84" s="241"/>
      <c r="C84" s="71" t="s">
        <v>123</v>
      </c>
      <c r="D84" s="38" t="str">
        <f t="shared" ref="D84:L84" si="24">IF(((D82="")*AND(D83="")),"",(D82-D83)*60/70)</f>
        <v/>
      </c>
      <c r="E84" s="38" t="str">
        <f t="shared" si="24"/>
        <v/>
      </c>
      <c r="F84" s="38" t="str">
        <f t="shared" si="24"/>
        <v/>
      </c>
      <c r="G84" s="38" t="str">
        <f t="shared" si="24"/>
        <v/>
      </c>
      <c r="H84" s="38" t="str">
        <f t="shared" si="24"/>
        <v/>
      </c>
      <c r="I84" s="38" t="str">
        <f t="shared" si="24"/>
        <v/>
      </c>
      <c r="J84" s="38" t="str">
        <f t="shared" si="24"/>
        <v/>
      </c>
      <c r="K84" s="38" t="str">
        <f t="shared" si="24"/>
        <v/>
      </c>
      <c r="L84" s="38" t="str">
        <f t="shared" si="24"/>
        <v/>
      </c>
      <c r="M84" s="232"/>
      <c r="N84" s="232"/>
      <c r="O84" s="232"/>
      <c r="P84" s="235"/>
      <c r="Q84" s="235"/>
      <c r="R84" s="232"/>
      <c r="S84" s="235"/>
      <c r="T84" s="236"/>
      <c r="U84" s="232"/>
      <c r="V84" s="237"/>
    </row>
    <row r="85" spans="1:22" x14ac:dyDescent="0.3">
      <c r="A85" s="238"/>
      <c r="B85" s="239"/>
      <c r="C85" s="71" t="s">
        <v>88</v>
      </c>
      <c r="M85" s="232" t="str">
        <f>IF((L86=""),"",MAX(D87:L87))</f>
        <v/>
      </c>
      <c r="N85" s="232" t="str">
        <f>IF(L86="","",MIN(D87:L87))</f>
        <v/>
      </c>
      <c r="O85" s="232" t="str">
        <f>IF((L87=""),"",AVERAGE(D87:L87))</f>
        <v/>
      </c>
      <c r="P85" s="233">
        <v>800</v>
      </c>
      <c r="Q85" s="233">
        <v>1000</v>
      </c>
      <c r="R85" s="232" t="str">
        <f>IF((L86=""),"",((M85-N85)/(M85+N85))*100)</f>
        <v/>
      </c>
      <c r="S85" s="233">
        <v>20</v>
      </c>
      <c r="T85" s="236" t="str">
        <f>IF(L86="","",IF(R182&lt;20,(IF(O85&gt;19000,IF(O85&lt;49000,"Pass","Fail"),"Fail"))))</f>
        <v/>
      </c>
      <c r="U85" s="232"/>
      <c r="V85" s="237"/>
    </row>
    <row r="86" spans="1:22" x14ac:dyDescent="0.3">
      <c r="A86" s="238"/>
      <c r="B86" s="240"/>
      <c r="C86" s="71" t="s">
        <v>89</v>
      </c>
      <c r="M86" s="232"/>
      <c r="N86" s="232"/>
      <c r="O86" s="232"/>
      <c r="P86" s="234"/>
      <c r="Q86" s="234"/>
      <c r="R86" s="232"/>
      <c r="S86" s="234"/>
      <c r="T86" s="236"/>
      <c r="U86" s="232"/>
      <c r="V86" s="237"/>
    </row>
    <row r="87" spans="1:22" ht="39.9" x14ac:dyDescent="0.3">
      <c r="A87" s="238"/>
      <c r="B87" s="241"/>
      <c r="C87" s="71" t="s">
        <v>123</v>
      </c>
      <c r="D87" s="38" t="str">
        <f t="shared" ref="D87:L87" si="25">IF(((D85="")*AND(D86="")),"",(D85-D86)*60/70)</f>
        <v/>
      </c>
      <c r="E87" s="38" t="str">
        <f t="shared" si="25"/>
        <v/>
      </c>
      <c r="F87" s="38" t="str">
        <f t="shared" si="25"/>
        <v/>
      </c>
      <c r="G87" s="38" t="str">
        <f t="shared" si="25"/>
        <v/>
      </c>
      <c r="H87" s="38" t="str">
        <f t="shared" si="25"/>
        <v/>
      </c>
      <c r="I87" s="38" t="str">
        <f t="shared" si="25"/>
        <v/>
      </c>
      <c r="J87" s="38" t="str">
        <f t="shared" si="25"/>
        <v/>
      </c>
      <c r="K87" s="38" t="str">
        <f t="shared" si="25"/>
        <v/>
      </c>
      <c r="L87" s="38" t="str">
        <f t="shared" si="25"/>
        <v/>
      </c>
      <c r="M87" s="232"/>
      <c r="N87" s="232"/>
      <c r="O87" s="232"/>
      <c r="P87" s="235"/>
      <c r="Q87" s="235"/>
      <c r="R87" s="232"/>
      <c r="S87" s="235"/>
      <c r="T87" s="236"/>
      <c r="U87" s="232"/>
      <c r="V87" s="237"/>
    </row>
    <row r="88" spans="1:22" x14ac:dyDescent="0.3">
      <c r="A88" s="238"/>
      <c r="B88" s="239"/>
      <c r="C88" s="71" t="s">
        <v>88</v>
      </c>
      <c r="M88" s="232" t="str">
        <f>IF((L89=""),"",MAX(D90:L90))</f>
        <v/>
      </c>
      <c r="N88" s="232" t="str">
        <f>IF(L89="","",MIN(D90:L90))</f>
        <v/>
      </c>
      <c r="O88" s="232" t="str">
        <f>IF((L90=""),"",AVERAGE(D90:L90))</f>
        <v/>
      </c>
      <c r="P88" s="233">
        <v>800</v>
      </c>
      <c r="Q88" s="233">
        <v>1000</v>
      </c>
      <c r="R88" s="232" t="str">
        <f>IF((L89=""),"",((M88-N88)/(M88+N88))*100)</f>
        <v/>
      </c>
      <c r="S88" s="233">
        <v>20</v>
      </c>
      <c r="T88" s="236" t="str">
        <f>IF(L89="","",IF(R185&lt;20,(IF(O88&gt;19000,IF(O88&lt;49000,"Pass","Fail"),"Fail"))))</f>
        <v/>
      </c>
      <c r="U88" s="232"/>
      <c r="V88" s="237"/>
    </row>
    <row r="89" spans="1:22" x14ac:dyDescent="0.3">
      <c r="A89" s="238"/>
      <c r="B89" s="240"/>
      <c r="C89" s="71" t="s">
        <v>89</v>
      </c>
      <c r="M89" s="232"/>
      <c r="N89" s="232"/>
      <c r="O89" s="232"/>
      <c r="P89" s="234"/>
      <c r="Q89" s="234"/>
      <c r="R89" s="232"/>
      <c r="S89" s="234"/>
      <c r="T89" s="236"/>
      <c r="U89" s="232"/>
      <c r="V89" s="237"/>
    </row>
    <row r="90" spans="1:22" ht="39.9" x14ac:dyDescent="0.3">
      <c r="A90" s="238"/>
      <c r="B90" s="241"/>
      <c r="C90" s="71" t="s">
        <v>123</v>
      </c>
      <c r="D90" s="38" t="str">
        <f t="shared" ref="D90:L90" si="26">IF(((D88="")*AND(D89="")),"",(D88-D89)*60/70)</f>
        <v/>
      </c>
      <c r="E90" s="38" t="str">
        <f t="shared" si="26"/>
        <v/>
      </c>
      <c r="F90" s="38" t="str">
        <f t="shared" si="26"/>
        <v/>
      </c>
      <c r="G90" s="38" t="str">
        <f t="shared" si="26"/>
        <v/>
      </c>
      <c r="H90" s="38" t="str">
        <f t="shared" si="26"/>
        <v/>
      </c>
      <c r="I90" s="38" t="str">
        <f t="shared" si="26"/>
        <v/>
      </c>
      <c r="J90" s="38" t="str">
        <f t="shared" si="26"/>
        <v/>
      </c>
      <c r="K90" s="38" t="str">
        <f t="shared" si="26"/>
        <v/>
      </c>
      <c r="L90" s="38" t="str">
        <f t="shared" si="26"/>
        <v/>
      </c>
      <c r="M90" s="232"/>
      <c r="N90" s="232"/>
      <c r="O90" s="232"/>
      <c r="P90" s="235"/>
      <c r="Q90" s="235"/>
      <c r="R90" s="232"/>
      <c r="S90" s="235"/>
      <c r="T90" s="236"/>
      <c r="U90" s="232"/>
      <c r="V90" s="237"/>
    </row>
    <row r="91" spans="1:22" x14ac:dyDescent="0.3">
      <c r="A91" s="238"/>
      <c r="B91" s="239"/>
      <c r="C91" s="71" t="s">
        <v>88</v>
      </c>
      <c r="M91" s="232" t="str">
        <f>IF((L92=""),"",MAX(D93:L93))</f>
        <v/>
      </c>
      <c r="N91" s="232" t="str">
        <f>IF(L92="","",MIN(D93:L93))</f>
        <v/>
      </c>
      <c r="O91" s="232" t="str">
        <f>IF((L93=""),"",AVERAGE(D93:L93))</f>
        <v/>
      </c>
      <c r="P91" s="233">
        <v>800</v>
      </c>
      <c r="Q91" s="233">
        <v>1000</v>
      </c>
      <c r="R91" s="232" t="str">
        <f>IF((L92=""),"",((M91-N91)/(M91+N91))*100)</f>
        <v/>
      </c>
      <c r="S91" s="233">
        <v>20</v>
      </c>
      <c r="T91" s="236" t="str">
        <f>IF(L92="","",IF(R188&lt;20,(IF(O91&gt;19000,IF(O91&lt;49000,"Pass","Fail"),"Fail"))))</f>
        <v/>
      </c>
      <c r="U91" s="232"/>
      <c r="V91" s="237"/>
    </row>
    <row r="92" spans="1:22" x14ac:dyDescent="0.3">
      <c r="A92" s="238"/>
      <c r="B92" s="240"/>
      <c r="C92" s="71" t="s">
        <v>89</v>
      </c>
      <c r="M92" s="232"/>
      <c r="N92" s="232"/>
      <c r="O92" s="232"/>
      <c r="P92" s="234"/>
      <c r="Q92" s="234"/>
      <c r="R92" s="232"/>
      <c r="S92" s="234"/>
      <c r="T92" s="236"/>
      <c r="U92" s="232"/>
      <c r="V92" s="237"/>
    </row>
    <row r="93" spans="1:22" ht="39.9" x14ac:dyDescent="0.3">
      <c r="A93" s="238"/>
      <c r="B93" s="241"/>
      <c r="C93" s="71" t="s">
        <v>123</v>
      </c>
      <c r="D93" s="38" t="str">
        <f t="shared" ref="D93:L93" si="27">IF(((D91="")*AND(D92="")),"",(D91-D92)*60/70)</f>
        <v/>
      </c>
      <c r="E93" s="38" t="str">
        <f t="shared" si="27"/>
        <v/>
      </c>
      <c r="F93" s="38" t="str">
        <f t="shared" si="27"/>
        <v/>
      </c>
      <c r="G93" s="38" t="str">
        <f t="shared" si="27"/>
        <v/>
      </c>
      <c r="H93" s="38" t="str">
        <f t="shared" si="27"/>
        <v/>
      </c>
      <c r="I93" s="38" t="str">
        <f t="shared" si="27"/>
        <v/>
      </c>
      <c r="J93" s="38" t="str">
        <f t="shared" si="27"/>
        <v/>
      </c>
      <c r="K93" s="38" t="str">
        <f t="shared" si="27"/>
        <v/>
      </c>
      <c r="L93" s="38" t="str">
        <f t="shared" si="27"/>
        <v/>
      </c>
      <c r="M93" s="232"/>
      <c r="N93" s="232"/>
      <c r="O93" s="232"/>
      <c r="P93" s="235"/>
      <c r="Q93" s="235"/>
      <c r="R93" s="232"/>
      <c r="S93" s="235"/>
      <c r="T93" s="236"/>
      <c r="U93" s="232"/>
      <c r="V93" s="237"/>
    </row>
    <row r="94" spans="1:22" x14ac:dyDescent="0.3">
      <c r="A94" s="238"/>
      <c r="B94" s="239"/>
      <c r="C94" s="71" t="s">
        <v>88</v>
      </c>
      <c r="M94" s="232" t="str">
        <f>IF((L95=""),"",MAX(D96:L96))</f>
        <v/>
      </c>
      <c r="N94" s="232" t="str">
        <f>IF(L95="","",MIN(D96:L96))</f>
        <v/>
      </c>
      <c r="O94" s="232" t="str">
        <f>IF((L96=""),"",AVERAGE(D96:L96))</f>
        <v/>
      </c>
      <c r="P94" s="233">
        <v>800</v>
      </c>
      <c r="Q94" s="233">
        <v>1000</v>
      </c>
      <c r="R94" s="232" t="str">
        <f>IF((L95=""),"",((M94-N94)/(M94+N94))*100)</f>
        <v/>
      </c>
      <c r="S94" s="233">
        <v>20</v>
      </c>
      <c r="T94" s="236" t="str">
        <f>IF(L95="","",IF(R191&lt;20,(IF(O94&gt;19000,IF(O94&lt;49000,"Pass","Fail"),"Fail"))))</f>
        <v/>
      </c>
      <c r="U94" s="232"/>
      <c r="V94" s="237"/>
    </row>
    <row r="95" spans="1:22" x14ac:dyDescent="0.3">
      <c r="A95" s="238"/>
      <c r="B95" s="240"/>
      <c r="C95" s="71" t="s">
        <v>89</v>
      </c>
      <c r="M95" s="232"/>
      <c r="N95" s="232"/>
      <c r="O95" s="232"/>
      <c r="P95" s="234"/>
      <c r="Q95" s="234"/>
      <c r="R95" s="232"/>
      <c r="S95" s="234"/>
      <c r="T95" s="236"/>
      <c r="U95" s="232"/>
      <c r="V95" s="237"/>
    </row>
    <row r="96" spans="1:22" ht="39.9" x14ac:dyDescent="0.3">
      <c r="A96" s="238"/>
      <c r="B96" s="241"/>
      <c r="C96" s="71" t="s">
        <v>123</v>
      </c>
      <c r="D96" s="38" t="str">
        <f t="shared" ref="D96:L96" si="28">IF(((D94="")*AND(D95="")),"",(D94-D95)*60/70)</f>
        <v/>
      </c>
      <c r="E96" s="38" t="str">
        <f t="shared" si="28"/>
        <v/>
      </c>
      <c r="F96" s="38" t="str">
        <f t="shared" si="28"/>
        <v/>
      </c>
      <c r="G96" s="38" t="str">
        <f t="shared" si="28"/>
        <v/>
      </c>
      <c r="H96" s="38" t="str">
        <f t="shared" si="28"/>
        <v/>
      </c>
      <c r="I96" s="38" t="str">
        <f t="shared" si="28"/>
        <v/>
      </c>
      <c r="J96" s="38" t="str">
        <f t="shared" si="28"/>
        <v/>
      </c>
      <c r="K96" s="38" t="str">
        <f t="shared" si="28"/>
        <v/>
      </c>
      <c r="L96" s="38" t="str">
        <f t="shared" si="28"/>
        <v/>
      </c>
      <c r="M96" s="232"/>
      <c r="N96" s="232"/>
      <c r="O96" s="232"/>
      <c r="P96" s="235"/>
      <c r="Q96" s="235"/>
      <c r="R96" s="232"/>
      <c r="S96" s="235"/>
      <c r="T96" s="236"/>
      <c r="U96" s="232"/>
      <c r="V96" s="237"/>
    </row>
    <row r="97" spans="1:22" x14ac:dyDescent="0.3">
      <c r="A97" s="238"/>
      <c r="B97" s="239"/>
      <c r="C97" s="71" t="s">
        <v>88</v>
      </c>
      <c r="M97" s="232" t="str">
        <f>IF((L98=""),"",MAX(D99:L99))</f>
        <v/>
      </c>
      <c r="N97" s="232" t="str">
        <f>IF(L98="","",MIN(D99:L99))</f>
        <v/>
      </c>
      <c r="O97" s="232" t="str">
        <f>IF((L99=""),"",AVERAGE(D99:L99))</f>
        <v/>
      </c>
      <c r="P97" s="233">
        <v>800</v>
      </c>
      <c r="Q97" s="233">
        <v>1000</v>
      </c>
      <c r="R97" s="232" t="str">
        <f>IF((L98=""),"",((M97-N97)/(M97+N97))*100)</f>
        <v/>
      </c>
      <c r="S97" s="233">
        <v>20</v>
      </c>
      <c r="T97" s="236" t="str">
        <f>IF(L98="","",IF(R194&lt;20,(IF(O97&gt;19000,IF(O97&lt;49000,"Pass","Fail"),"Fail"))))</f>
        <v/>
      </c>
      <c r="U97" s="232"/>
      <c r="V97" s="237"/>
    </row>
    <row r="98" spans="1:22" x14ac:dyDescent="0.3">
      <c r="A98" s="238"/>
      <c r="B98" s="240"/>
      <c r="C98" s="71" t="s">
        <v>89</v>
      </c>
      <c r="M98" s="232"/>
      <c r="N98" s="232"/>
      <c r="O98" s="232"/>
      <c r="P98" s="234"/>
      <c r="Q98" s="234"/>
      <c r="R98" s="232"/>
      <c r="S98" s="234"/>
      <c r="T98" s="236"/>
      <c r="U98" s="232"/>
      <c r="V98" s="237"/>
    </row>
    <row r="99" spans="1:22" ht="39.9" x14ac:dyDescent="0.3">
      <c r="A99" s="238"/>
      <c r="B99" s="241"/>
      <c r="C99" s="71" t="s">
        <v>123</v>
      </c>
      <c r="D99" s="38" t="str">
        <f t="shared" ref="D99:L99" si="29">IF(((D97="")*AND(D98="")),"",(D97-D98)*60/70)</f>
        <v/>
      </c>
      <c r="E99" s="38" t="str">
        <f t="shared" si="29"/>
        <v/>
      </c>
      <c r="F99" s="38" t="str">
        <f t="shared" si="29"/>
        <v/>
      </c>
      <c r="G99" s="38" t="str">
        <f t="shared" si="29"/>
        <v/>
      </c>
      <c r="H99" s="38" t="str">
        <f t="shared" si="29"/>
        <v/>
      </c>
      <c r="I99" s="38" t="str">
        <f t="shared" si="29"/>
        <v/>
      </c>
      <c r="J99" s="38" t="str">
        <f t="shared" si="29"/>
        <v/>
      </c>
      <c r="K99" s="38" t="str">
        <f t="shared" si="29"/>
        <v/>
      </c>
      <c r="L99" s="38" t="str">
        <f t="shared" si="29"/>
        <v/>
      </c>
      <c r="M99" s="232"/>
      <c r="N99" s="232"/>
      <c r="O99" s="232"/>
      <c r="P99" s="235"/>
      <c r="Q99" s="235"/>
      <c r="R99" s="232"/>
      <c r="S99" s="235"/>
      <c r="T99" s="236"/>
      <c r="U99" s="232"/>
      <c r="V99" s="237"/>
    </row>
    <row r="100" spans="1:22" x14ac:dyDescent="0.3">
      <c r="A100" s="238"/>
      <c r="B100" s="239"/>
      <c r="C100" s="71" t="s">
        <v>88</v>
      </c>
      <c r="M100" s="232" t="str">
        <f>IF((L101=""),"",MAX(D102:L102))</f>
        <v/>
      </c>
      <c r="N100" s="232" t="str">
        <f>IF(L101="","",MIN(D102:L102))</f>
        <v/>
      </c>
      <c r="O100" s="232" t="str">
        <f>IF((L102=""),"",AVERAGE(D102:L102))</f>
        <v/>
      </c>
      <c r="P100" s="233">
        <v>800</v>
      </c>
      <c r="Q100" s="233">
        <v>1000</v>
      </c>
      <c r="R100" s="232" t="str">
        <f>IF((L101=""),"",((M100-N100)/(M100+N100))*100)</f>
        <v/>
      </c>
      <c r="S100" s="233">
        <v>20</v>
      </c>
      <c r="T100" s="236" t="str">
        <f>IF(L101="","",IF(R197&lt;20,(IF(O100&gt;19000,IF(O100&lt;49000,"Pass","Fail"),"Fail"))))</f>
        <v/>
      </c>
      <c r="U100" s="232"/>
      <c r="V100" s="237"/>
    </row>
    <row r="101" spans="1:22" x14ac:dyDescent="0.3">
      <c r="A101" s="238"/>
      <c r="B101" s="240"/>
      <c r="C101" s="71" t="s">
        <v>89</v>
      </c>
      <c r="M101" s="232"/>
      <c r="N101" s="232"/>
      <c r="O101" s="232"/>
      <c r="P101" s="234"/>
      <c r="Q101" s="234"/>
      <c r="R101" s="232"/>
      <c r="S101" s="234"/>
      <c r="T101" s="236"/>
      <c r="U101" s="232"/>
      <c r="V101" s="237"/>
    </row>
    <row r="102" spans="1:22" ht="39.9" x14ac:dyDescent="0.3">
      <c r="A102" s="238"/>
      <c r="B102" s="241"/>
      <c r="C102" s="71" t="s">
        <v>123</v>
      </c>
      <c r="D102" s="38" t="str">
        <f t="shared" ref="D102:L102" si="30">IF(((D100="")*AND(D101="")),"",(D100-D101)*60/70)</f>
        <v/>
      </c>
      <c r="E102" s="38" t="str">
        <f t="shared" si="30"/>
        <v/>
      </c>
      <c r="F102" s="38" t="str">
        <f t="shared" si="30"/>
        <v/>
      </c>
      <c r="G102" s="38" t="str">
        <f t="shared" si="30"/>
        <v/>
      </c>
      <c r="H102" s="38" t="str">
        <f t="shared" si="30"/>
        <v/>
      </c>
      <c r="I102" s="38" t="str">
        <f t="shared" si="30"/>
        <v/>
      </c>
      <c r="J102" s="38" t="str">
        <f t="shared" si="30"/>
        <v/>
      </c>
      <c r="K102" s="38" t="str">
        <f t="shared" si="30"/>
        <v/>
      </c>
      <c r="L102" s="38" t="str">
        <f t="shared" si="30"/>
        <v/>
      </c>
      <c r="M102" s="232"/>
      <c r="N102" s="232"/>
      <c r="O102" s="232"/>
      <c r="P102" s="235"/>
      <c r="Q102" s="235"/>
      <c r="R102" s="232"/>
      <c r="S102" s="235"/>
      <c r="T102" s="236"/>
      <c r="U102" s="232"/>
      <c r="V102" s="237"/>
    </row>
    <row r="103" spans="1:22" x14ac:dyDescent="0.3">
      <c r="A103" s="238"/>
      <c r="B103" s="239"/>
      <c r="C103" s="71" t="s">
        <v>88</v>
      </c>
      <c r="M103" s="232" t="str">
        <f>IF((L104=""),"",MAX(D105:L105))</f>
        <v/>
      </c>
      <c r="N103" s="232" t="str">
        <f>IF(L104="","",MIN(D105:L105))</f>
        <v/>
      </c>
      <c r="O103" s="232" t="str">
        <f>IF((L105=""),"",AVERAGE(D105:L105))</f>
        <v/>
      </c>
      <c r="P103" s="233">
        <v>800</v>
      </c>
      <c r="Q103" s="233">
        <v>1000</v>
      </c>
      <c r="R103" s="232" t="str">
        <f>IF((L104=""),"",((M103-N103)/(M103+N103))*100)</f>
        <v/>
      </c>
      <c r="S103" s="233">
        <v>20</v>
      </c>
      <c r="T103" s="236" t="str">
        <f>IF(L104="","",IF(R200&lt;20,(IF(O103&gt;19000,IF(O103&lt;49000,"Pass","Fail"),"Fail"))))</f>
        <v/>
      </c>
      <c r="U103" s="232"/>
      <c r="V103" s="237"/>
    </row>
    <row r="104" spans="1:22" x14ac:dyDescent="0.3">
      <c r="A104" s="238"/>
      <c r="B104" s="240"/>
      <c r="C104" s="71" t="s">
        <v>89</v>
      </c>
      <c r="M104" s="232"/>
      <c r="N104" s="232"/>
      <c r="O104" s="232"/>
      <c r="P104" s="234"/>
      <c r="Q104" s="234"/>
      <c r="R104" s="232"/>
      <c r="S104" s="234"/>
      <c r="T104" s="236"/>
      <c r="U104" s="232"/>
      <c r="V104" s="237"/>
    </row>
    <row r="105" spans="1:22" ht="39.9" x14ac:dyDescent="0.3">
      <c r="A105" s="238"/>
      <c r="B105" s="241"/>
      <c r="C105" s="71" t="s">
        <v>123</v>
      </c>
      <c r="D105" s="38" t="str">
        <f t="shared" ref="D105:L105" si="31">IF(((D103="")*AND(D104="")),"",(D103-D104)*60/70)</f>
        <v/>
      </c>
      <c r="E105" s="38" t="str">
        <f t="shared" si="31"/>
        <v/>
      </c>
      <c r="F105" s="38" t="str">
        <f t="shared" si="31"/>
        <v/>
      </c>
      <c r="G105" s="38" t="str">
        <f t="shared" si="31"/>
        <v/>
      </c>
      <c r="H105" s="38" t="str">
        <f t="shared" si="31"/>
        <v/>
      </c>
      <c r="I105" s="38" t="str">
        <f t="shared" si="31"/>
        <v/>
      </c>
      <c r="J105" s="38" t="str">
        <f t="shared" si="31"/>
        <v/>
      </c>
      <c r="K105" s="38" t="str">
        <f t="shared" si="31"/>
        <v/>
      </c>
      <c r="L105" s="38" t="str">
        <f t="shared" si="31"/>
        <v/>
      </c>
      <c r="M105" s="232"/>
      <c r="N105" s="232"/>
      <c r="O105" s="232"/>
      <c r="P105" s="235"/>
      <c r="Q105" s="235"/>
      <c r="R105" s="232"/>
      <c r="S105" s="235"/>
      <c r="T105" s="236"/>
      <c r="U105" s="232"/>
      <c r="V105" s="237"/>
    </row>
    <row r="106" spans="1:22" x14ac:dyDescent="0.3">
      <c r="A106" s="238"/>
      <c r="B106" s="239"/>
      <c r="C106" s="71" t="s">
        <v>88</v>
      </c>
      <c r="M106" s="232" t="str">
        <f>IF((L107=""),"",MAX(D108:L108))</f>
        <v/>
      </c>
      <c r="N106" s="232" t="str">
        <f>IF(L107="","",MIN(D108:L108))</f>
        <v/>
      </c>
      <c r="O106" s="232" t="str">
        <f>IF((L108=""),"",AVERAGE(D108:L108))</f>
        <v/>
      </c>
      <c r="P106" s="233">
        <v>800</v>
      </c>
      <c r="Q106" s="233">
        <v>1000</v>
      </c>
      <c r="R106" s="232" t="str">
        <f>IF((L107=""),"",((M106-N106)/(M106+N106))*100)</f>
        <v/>
      </c>
      <c r="S106" s="233">
        <v>20</v>
      </c>
      <c r="T106" s="236" t="str">
        <f>IF(L107="","",IF(R203&lt;20,(IF(O106&gt;19000,IF(O106&lt;49000,"Pass","Fail"),"Fail"))))</f>
        <v/>
      </c>
      <c r="U106" s="232"/>
      <c r="V106" s="237"/>
    </row>
    <row r="107" spans="1:22" x14ac:dyDescent="0.3">
      <c r="A107" s="238"/>
      <c r="B107" s="240"/>
      <c r="C107" s="71" t="s">
        <v>89</v>
      </c>
      <c r="M107" s="232"/>
      <c r="N107" s="232"/>
      <c r="O107" s="232"/>
      <c r="P107" s="234"/>
      <c r="Q107" s="234"/>
      <c r="R107" s="232"/>
      <c r="S107" s="234"/>
      <c r="T107" s="236"/>
      <c r="U107" s="232"/>
      <c r="V107" s="237"/>
    </row>
    <row r="108" spans="1:22" ht="39.9" x14ac:dyDescent="0.3">
      <c r="A108" s="238"/>
      <c r="B108" s="241"/>
      <c r="C108" s="71" t="s">
        <v>123</v>
      </c>
      <c r="D108" s="38" t="str">
        <f t="shared" ref="D108:L108" si="32">IF(((D106="")*AND(D107="")),"",(D106-D107)*60/70)</f>
        <v/>
      </c>
      <c r="E108" s="38" t="str">
        <f t="shared" si="32"/>
        <v/>
      </c>
      <c r="F108" s="38" t="str">
        <f t="shared" si="32"/>
        <v/>
      </c>
      <c r="G108" s="38" t="str">
        <f t="shared" si="32"/>
        <v/>
      </c>
      <c r="H108" s="38" t="str">
        <f t="shared" si="32"/>
        <v/>
      </c>
      <c r="I108" s="38" t="str">
        <f t="shared" si="32"/>
        <v/>
      </c>
      <c r="J108" s="38" t="str">
        <f t="shared" si="32"/>
        <v/>
      </c>
      <c r="K108" s="38" t="str">
        <f t="shared" si="32"/>
        <v/>
      </c>
      <c r="L108" s="38" t="str">
        <f t="shared" si="32"/>
        <v/>
      </c>
      <c r="M108" s="232"/>
      <c r="N108" s="232"/>
      <c r="O108" s="232"/>
      <c r="P108" s="235"/>
      <c r="Q108" s="235"/>
      <c r="R108" s="232"/>
      <c r="S108" s="235"/>
      <c r="T108" s="236"/>
      <c r="U108" s="232"/>
      <c r="V108" s="237"/>
    </row>
    <row r="109" spans="1:22" x14ac:dyDescent="0.3">
      <c r="A109" s="238"/>
      <c r="B109" s="239"/>
      <c r="C109" s="71" t="s">
        <v>88</v>
      </c>
      <c r="M109" s="232" t="str">
        <f>IF((L110=""),"",MAX(D111:L111))</f>
        <v/>
      </c>
      <c r="N109" s="232" t="str">
        <f>IF(L110="","",MIN(D111:L111))</f>
        <v/>
      </c>
      <c r="O109" s="232" t="str">
        <f>IF((L111=""),"",AVERAGE(D111:L111))</f>
        <v/>
      </c>
      <c r="P109" s="233">
        <v>800</v>
      </c>
      <c r="Q109" s="233">
        <v>1000</v>
      </c>
      <c r="R109" s="232" t="str">
        <f>IF((L110=""),"",((M109-N109)/(M109+N109))*100)</f>
        <v/>
      </c>
      <c r="S109" s="233">
        <v>20</v>
      </c>
      <c r="T109" s="236" t="str">
        <f>IF(L110="","",IF(R206&lt;20,(IF(O109&gt;19000,IF(O109&lt;49000,"Pass","Fail"),"Fail"))))</f>
        <v/>
      </c>
      <c r="U109" s="232"/>
      <c r="V109" s="237"/>
    </row>
    <row r="110" spans="1:22" x14ac:dyDescent="0.3">
      <c r="A110" s="238"/>
      <c r="B110" s="240"/>
      <c r="C110" s="71" t="s">
        <v>89</v>
      </c>
      <c r="M110" s="232"/>
      <c r="N110" s="232"/>
      <c r="O110" s="232"/>
      <c r="P110" s="234"/>
      <c r="Q110" s="234"/>
      <c r="R110" s="232"/>
      <c r="S110" s="234"/>
      <c r="T110" s="236"/>
      <c r="U110" s="232"/>
      <c r="V110" s="237"/>
    </row>
    <row r="111" spans="1:22" ht="39.9" x14ac:dyDescent="0.3">
      <c r="A111" s="238"/>
      <c r="B111" s="241"/>
      <c r="C111" s="71" t="s">
        <v>123</v>
      </c>
      <c r="D111" s="38" t="str">
        <f t="shared" ref="D111:L111" si="33">IF(((D109="")*AND(D110="")),"",(D109-D110)*60/70)</f>
        <v/>
      </c>
      <c r="E111" s="38" t="str">
        <f t="shared" si="33"/>
        <v/>
      </c>
      <c r="F111" s="38" t="str">
        <f t="shared" si="33"/>
        <v/>
      </c>
      <c r="G111" s="38" t="str">
        <f t="shared" si="33"/>
        <v/>
      </c>
      <c r="H111" s="38" t="str">
        <f t="shared" si="33"/>
        <v/>
      </c>
      <c r="I111" s="38" t="str">
        <f t="shared" si="33"/>
        <v/>
      </c>
      <c r="J111" s="38" t="str">
        <f t="shared" si="33"/>
        <v/>
      </c>
      <c r="K111" s="38" t="str">
        <f t="shared" si="33"/>
        <v/>
      </c>
      <c r="L111" s="38" t="str">
        <f t="shared" si="33"/>
        <v/>
      </c>
      <c r="M111" s="232"/>
      <c r="N111" s="232"/>
      <c r="O111" s="232"/>
      <c r="P111" s="235"/>
      <c r="Q111" s="235"/>
      <c r="R111" s="232"/>
      <c r="S111" s="235"/>
      <c r="T111" s="236"/>
      <c r="U111" s="232"/>
      <c r="V111" s="237"/>
    </row>
    <row r="112" spans="1:22" x14ac:dyDescent="0.3">
      <c r="A112" s="238"/>
      <c r="B112" s="239"/>
      <c r="C112" s="71" t="s">
        <v>88</v>
      </c>
      <c r="M112" s="232" t="str">
        <f>IF((L113=""),"",MAX(D114:L114))</f>
        <v/>
      </c>
      <c r="N112" s="232" t="str">
        <f>IF(L113="","",MIN(D114:L114))</f>
        <v/>
      </c>
      <c r="O112" s="232" t="str">
        <f>IF((L114=""),"",AVERAGE(D114:L114))</f>
        <v/>
      </c>
      <c r="P112" s="233">
        <v>800</v>
      </c>
      <c r="Q112" s="233">
        <v>1000</v>
      </c>
      <c r="R112" s="232" t="str">
        <f>IF((L113=""),"",((M112-N112)/(M112+N112))*100)</f>
        <v/>
      </c>
      <c r="S112" s="233">
        <v>20</v>
      </c>
      <c r="T112" s="236" t="str">
        <f>IF(L113="","",IF(R209&lt;20,(IF(O112&gt;19000,IF(O112&lt;49000,"Pass","Fail"),"Fail"))))</f>
        <v/>
      </c>
      <c r="U112" s="232"/>
      <c r="V112" s="237"/>
    </row>
    <row r="113" spans="1:22" x14ac:dyDescent="0.3">
      <c r="A113" s="238"/>
      <c r="B113" s="240"/>
      <c r="C113" s="71" t="s">
        <v>89</v>
      </c>
      <c r="M113" s="232"/>
      <c r="N113" s="232"/>
      <c r="O113" s="232"/>
      <c r="P113" s="234"/>
      <c r="Q113" s="234"/>
      <c r="R113" s="232"/>
      <c r="S113" s="234"/>
      <c r="T113" s="236"/>
      <c r="U113" s="232"/>
      <c r="V113" s="237"/>
    </row>
    <row r="114" spans="1:22" ht="39.9" x14ac:dyDescent="0.3">
      <c r="A114" s="238"/>
      <c r="B114" s="241"/>
      <c r="C114" s="71" t="s">
        <v>123</v>
      </c>
      <c r="D114" s="38" t="str">
        <f t="shared" ref="D114:L114" si="34">IF(((D112="")*AND(D113="")),"",(D112-D113)*60/70)</f>
        <v/>
      </c>
      <c r="E114" s="38" t="str">
        <f t="shared" si="34"/>
        <v/>
      </c>
      <c r="F114" s="38" t="str">
        <f t="shared" si="34"/>
        <v/>
      </c>
      <c r="G114" s="38" t="str">
        <f t="shared" si="34"/>
        <v/>
      </c>
      <c r="H114" s="38" t="str">
        <f t="shared" si="34"/>
        <v/>
      </c>
      <c r="I114" s="38" t="str">
        <f t="shared" si="34"/>
        <v/>
      </c>
      <c r="J114" s="38" t="str">
        <f t="shared" si="34"/>
        <v/>
      </c>
      <c r="K114" s="38" t="str">
        <f t="shared" si="34"/>
        <v/>
      </c>
      <c r="L114" s="38" t="str">
        <f t="shared" si="34"/>
        <v/>
      </c>
      <c r="M114" s="232"/>
      <c r="N114" s="232"/>
      <c r="O114" s="232"/>
      <c r="P114" s="235"/>
      <c r="Q114" s="235"/>
      <c r="R114" s="232"/>
      <c r="S114" s="235"/>
      <c r="T114" s="236"/>
      <c r="U114" s="232"/>
      <c r="V114" s="237"/>
    </row>
    <row r="115" spans="1:22" x14ac:dyDescent="0.3">
      <c r="A115" s="238"/>
      <c r="B115" s="239"/>
      <c r="C115" s="71" t="s">
        <v>88</v>
      </c>
      <c r="M115" s="232" t="str">
        <f>IF((L116=""),"",MAX(D117:L117))</f>
        <v/>
      </c>
      <c r="N115" s="232" t="str">
        <f>IF(L116="","",MIN(D117:L117))</f>
        <v/>
      </c>
      <c r="O115" s="232" t="str">
        <f>IF((L117=""),"",AVERAGE(D117:L117))</f>
        <v/>
      </c>
      <c r="P115" s="233">
        <v>800</v>
      </c>
      <c r="Q115" s="233">
        <v>1000</v>
      </c>
      <c r="R115" s="232" t="str">
        <f>IF((L116=""),"",((M115-N115)/(M115+N115))*100)</f>
        <v/>
      </c>
      <c r="S115" s="233">
        <v>20</v>
      </c>
      <c r="T115" s="236" t="str">
        <f>IF(L116="","",IF(R212&lt;20,(IF(O115&gt;19000,IF(O115&lt;49000,"Pass","Fail"),"Fail"))))</f>
        <v/>
      </c>
      <c r="U115" s="232"/>
      <c r="V115" s="237"/>
    </row>
    <row r="116" spans="1:22" x14ac:dyDescent="0.3">
      <c r="A116" s="238"/>
      <c r="B116" s="240"/>
      <c r="C116" s="71" t="s">
        <v>89</v>
      </c>
      <c r="M116" s="232"/>
      <c r="N116" s="232"/>
      <c r="O116" s="232"/>
      <c r="P116" s="234"/>
      <c r="Q116" s="234"/>
      <c r="R116" s="232"/>
      <c r="S116" s="234"/>
      <c r="T116" s="236"/>
      <c r="U116" s="232"/>
      <c r="V116" s="237"/>
    </row>
    <row r="117" spans="1:22" ht="39.9" x14ac:dyDescent="0.3">
      <c r="A117" s="238"/>
      <c r="B117" s="241"/>
      <c r="C117" s="71" t="s">
        <v>123</v>
      </c>
      <c r="D117" s="38" t="str">
        <f t="shared" ref="D117:L117" si="35">IF(((D115="")*AND(D116="")),"",(D115-D116)*60/70)</f>
        <v/>
      </c>
      <c r="E117" s="38" t="str">
        <f t="shared" si="35"/>
        <v/>
      </c>
      <c r="F117" s="38" t="str">
        <f t="shared" si="35"/>
        <v/>
      </c>
      <c r="G117" s="38" t="str">
        <f t="shared" si="35"/>
        <v/>
      </c>
      <c r="H117" s="38" t="str">
        <f t="shared" si="35"/>
        <v/>
      </c>
      <c r="I117" s="38" t="str">
        <f t="shared" si="35"/>
        <v/>
      </c>
      <c r="J117" s="38" t="str">
        <f t="shared" si="35"/>
        <v/>
      </c>
      <c r="K117" s="38" t="str">
        <f t="shared" si="35"/>
        <v/>
      </c>
      <c r="L117" s="38" t="str">
        <f t="shared" si="35"/>
        <v/>
      </c>
      <c r="M117" s="232"/>
      <c r="N117" s="232"/>
      <c r="O117" s="232"/>
      <c r="P117" s="235"/>
      <c r="Q117" s="235"/>
      <c r="R117" s="232"/>
      <c r="S117" s="235"/>
      <c r="T117" s="236"/>
      <c r="U117" s="232"/>
      <c r="V117" s="237"/>
    </row>
    <row r="118" spans="1:22" x14ac:dyDescent="0.3">
      <c r="A118" s="238"/>
      <c r="B118" s="239"/>
      <c r="C118" s="71" t="s">
        <v>88</v>
      </c>
      <c r="M118" s="232" t="str">
        <f>IF((L119=""),"",MAX(D120:L120))</f>
        <v/>
      </c>
      <c r="N118" s="232" t="str">
        <f>IF(L119="","",MIN(D120:L120))</f>
        <v/>
      </c>
      <c r="O118" s="232" t="str">
        <f>IF((L120=""),"",AVERAGE(D120:L120))</f>
        <v/>
      </c>
      <c r="P118" s="233">
        <v>800</v>
      </c>
      <c r="Q118" s="233">
        <v>1000</v>
      </c>
      <c r="R118" s="232" t="str">
        <f>IF((L119=""),"",((M118-N118)/(M118+N118))*100)</f>
        <v/>
      </c>
      <c r="S118" s="233">
        <v>20</v>
      </c>
      <c r="T118" s="236" t="str">
        <f>IF(L119="","",IF(R215&lt;20,(IF(O118&gt;19000,IF(O118&lt;49000,"Pass","Fail"),"Fail"))))</f>
        <v/>
      </c>
      <c r="U118" s="232"/>
      <c r="V118" s="237"/>
    </row>
    <row r="119" spans="1:22" x14ac:dyDescent="0.3">
      <c r="A119" s="238"/>
      <c r="B119" s="240"/>
      <c r="C119" s="71" t="s">
        <v>89</v>
      </c>
      <c r="M119" s="232"/>
      <c r="N119" s="232"/>
      <c r="O119" s="232"/>
      <c r="P119" s="234"/>
      <c r="Q119" s="234"/>
      <c r="R119" s="232"/>
      <c r="S119" s="234"/>
      <c r="T119" s="236"/>
      <c r="U119" s="232"/>
      <c r="V119" s="237"/>
    </row>
    <row r="120" spans="1:22" ht="39.9" x14ac:dyDescent="0.3">
      <c r="A120" s="238"/>
      <c r="B120" s="241"/>
      <c r="C120" s="71" t="s">
        <v>123</v>
      </c>
      <c r="D120" s="38" t="str">
        <f t="shared" ref="D120:L120" si="36">IF(((D118="")*AND(D119="")),"",(D118-D119)*60/70)</f>
        <v/>
      </c>
      <c r="E120" s="38" t="str">
        <f t="shared" si="36"/>
        <v/>
      </c>
      <c r="F120" s="38" t="str">
        <f t="shared" si="36"/>
        <v/>
      </c>
      <c r="G120" s="38" t="str">
        <f t="shared" si="36"/>
        <v/>
      </c>
      <c r="H120" s="38" t="str">
        <f t="shared" si="36"/>
        <v/>
      </c>
      <c r="I120" s="38" t="str">
        <f t="shared" si="36"/>
        <v/>
      </c>
      <c r="J120" s="38" t="str">
        <f t="shared" si="36"/>
        <v/>
      </c>
      <c r="K120" s="38" t="str">
        <f t="shared" si="36"/>
        <v/>
      </c>
      <c r="L120" s="38" t="str">
        <f t="shared" si="36"/>
        <v/>
      </c>
      <c r="M120" s="232"/>
      <c r="N120" s="232"/>
      <c r="O120" s="232"/>
      <c r="P120" s="235"/>
      <c r="Q120" s="235"/>
      <c r="R120" s="232"/>
      <c r="S120" s="235"/>
      <c r="T120" s="236"/>
      <c r="U120" s="232"/>
      <c r="V120" s="237"/>
    </row>
    <row r="121" spans="1:22" x14ac:dyDescent="0.3">
      <c r="A121" s="238"/>
      <c r="B121" s="239"/>
      <c r="C121" s="71" t="s">
        <v>88</v>
      </c>
      <c r="M121" s="232" t="str">
        <f>IF((L122=""),"",MAX(D123:L123))</f>
        <v/>
      </c>
      <c r="N121" s="232" t="str">
        <f>IF(L122="","",MIN(D123:L123))</f>
        <v/>
      </c>
      <c r="O121" s="232" t="str">
        <f>IF((L123=""),"",AVERAGE(D123:L123))</f>
        <v/>
      </c>
      <c r="P121" s="233">
        <v>800</v>
      </c>
      <c r="Q121" s="233">
        <v>1000</v>
      </c>
      <c r="R121" s="232" t="str">
        <f>IF((L122=""),"",((M121-N121)/(M121+N121))*100)</f>
        <v/>
      </c>
      <c r="S121" s="233">
        <v>20</v>
      </c>
      <c r="T121" s="236" t="str">
        <f>IF(L122="","",IF(R218&lt;20,(IF(O121&gt;19000,IF(O121&lt;49000,"Pass","Fail"),"Fail"))))</f>
        <v/>
      </c>
      <c r="U121" s="232"/>
      <c r="V121" s="237"/>
    </row>
    <row r="122" spans="1:22" x14ac:dyDescent="0.3">
      <c r="A122" s="238"/>
      <c r="B122" s="240"/>
      <c r="C122" s="71" t="s">
        <v>89</v>
      </c>
      <c r="M122" s="232"/>
      <c r="N122" s="232"/>
      <c r="O122" s="232"/>
      <c r="P122" s="234"/>
      <c r="Q122" s="234"/>
      <c r="R122" s="232"/>
      <c r="S122" s="234"/>
      <c r="T122" s="236"/>
      <c r="U122" s="232"/>
      <c r="V122" s="237"/>
    </row>
    <row r="123" spans="1:22" ht="39.9" x14ac:dyDescent="0.3">
      <c r="A123" s="238"/>
      <c r="B123" s="241"/>
      <c r="C123" s="71" t="s">
        <v>123</v>
      </c>
      <c r="D123" s="38" t="str">
        <f t="shared" ref="D123:L123" si="37">IF(((D121="")*AND(D122="")),"",(D121-D122)*60/70)</f>
        <v/>
      </c>
      <c r="E123" s="38" t="str">
        <f t="shared" si="37"/>
        <v/>
      </c>
      <c r="F123" s="38" t="str">
        <f t="shared" si="37"/>
        <v/>
      </c>
      <c r="G123" s="38" t="str">
        <f t="shared" si="37"/>
        <v/>
      </c>
      <c r="H123" s="38" t="str">
        <f t="shared" si="37"/>
        <v/>
      </c>
      <c r="I123" s="38" t="str">
        <f t="shared" si="37"/>
        <v/>
      </c>
      <c r="J123" s="38" t="str">
        <f t="shared" si="37"/>
        <v/>
      </c>
      <c r="K123" s="38" t="str">
        <f t="shared" si="37"/>
        <v/>
      </c>
      <c r="L123" s="38" t="str">
        <f t="shared" si="37"/>
        <v/>
      </c>
      <c r="M123" s="232"/>
      <c r="N123" s="232"/>
      <c r="O123" s="232"/>
      <c r="P123" s="235"/>
      <c r="Q123" s="235"/>
      <c r="R123" s="232"/>
      <c r="S123" s="235"/>
      <c r="T123" s="236"/>
      <c r="U123" s="232"/>
      <c r="V123" s="237"/>
    </row>
    <row r="124" spans="1:22" x14ac:dyDescent="0.3">
      <c r="A124" s="238"/>
      <c r="B124" s="239"/>
      <c r="C124" s="71" t="s">
        <v>88</v>
      </c>
      <c r="M124" s="232" t="str">
        <f>IF((L125=""),"",MAX(D126:L126))</f>
        <v/>
      </c>
      <c r="N124" s="232" t="str">
        <f>IF(L125="","",MIN(D126:L126))</f>
        <v/>
      </c>
      <c r="O124" s="232" t="str">
        <f>IF((L126=""),"",AVERAGE(D126:L126))</f>
        <v/>
      </c>
      <c r="P124" s="233">
        <v>800</v>
      </c>
      <c r="Q124" s="233">
        <v>1000</v>
      </c>
      <c r="R124" s="232" t="str">
        <f>IF((L125=""),"",((M124-N124)/(M124+N124))*100)</f>
        <v/>
      </c>
      <c r="S124" s="233">
        <v>20</v>
      </c>
      <c r="T124" s="236" t="str">
        <f>IF(L125="","",IF(R221&lt;20,(IF(O124&gt;19000,IF(O124&lt;49000,"Pass","Fail"),"Fail"))))</f>
        <v/>
      </c>
      <c r="U124" s="232"/>
      <c r="V124" s="237"/>
    </row>
    <row r="125" spans="1:22" x14ac:dyDescent="0.3">
      <c r="A125" s="238"/>
      <c r="B125" s="240"/>
      <c r="C125" s="71" t="s">
        <v>89</v>
      </c>
      <c r="M125" s="232"/>
      <c r="N125" s="232"/>
      <c r="O125" s="232"/>
      <c r="P125" s="234"/>
      <c r="Q125" s="234"/>
      <c r="R125" s="232"/>
      <c r="S125" s="234"/>
      <c r="T125" s="236"/>
      <c r="U125" s="232"/>
      <c r="V125" s="237"/>
    </row>
    <row r="126" spans="1:22" ht="39.9" x14ac:dyDescent="0.3">
      <c r="A126" s="238"/>
      <c r="B126" s="241"/>
      <c r="C126" s="71" t="s">
        <v>123</v>
      </c>
      <c r="D126" s="38" t="str">
        <f t="shared" ref="D126:L126" si="38">IF(((D124="")*AND(D125="")),"",(D124-D125)*60/70)</f>
        <v/>
      </c>
      <c r="E126" s="38" t="str">
        <f t="shared" si="38"/>
        <v/>
      </c>
      <c r="F126" s="38" t="str">
        <f t="shared" si="38"/>
        <v/>
      </c>
      <c r="G126" s="38" t="str">
        <f t="shared" si="38"/>
        <v/>
      </c>
      <c r="H126" s="38" t="str">
        <f t="shared" si="38"/>
        <v/>
      </c>
      <c r="I126" s="38" t="str">
        <f t="shared" si="38"/>
        <v/>
      </c>
      <c r="J126" s="38" t="str">
        <f t="shared" si="38"/>
        <v/>
      </c>
      <c r="K126" s="38" t="str">
        <f t="shared" si="38"/>
        <v/>
      </c>
      <c r="L126" s="38" t="str">
        <f t="shared" si="38"/>
        <v/>
      </c>
      <c r="M126" s="232"/>
      <c r="N126" s="232"/>
      <c r="O126" s="232"/>
      <c r="P126" s="235"/>
      <c r="Q126" s="235"/>
      <c r="R126" s="232"/>
      <c r="S126" s="235"/>
      <c r="T126" s="236"/>
      <c r="U126" s="232"/>
      <c r="V126" s="237"/>
    </row>
    <row r="127" spans="1:22" x14ac:dyDescent="0.3">
      <c r="A127" s="238"/>
      <c r="B127" s="239"/>
      <c r="C127" s="71" t="s">
        <v>88</v>
      </c>
      <c r="M127" s="232" t="str">
        <f>IF((L128=""),"",MAX(D129:L129))</f>
        <v/>
      </c>
      <c r="N127" s="232" t="str">
        <f>IF(L128="","",MIN(D129:L129))</f>
        <v/>
      </c>
      <c r="O127" s="232" t="str">
        <f>IF((L129=""),"",AVERAGE(D129:L129))</f>
        <v/>
      </c>
      <c r="P127" s="233">
        <v>800</v>
      </c>
      <c r="Q127" s="233">
        <v>1000</v>
      </c>
      <c r="R127" s="232" t="str">
        <f>IF((L128=""),"",((M127-N127)/(M127+N127))*100)</f>
        <v/>
      </c>
      <c r="S127" s="233">
        <v>20</v>
      </c>
      <c r="T127" s="236" t="str">
        <f>IF(L128="","",IF(R224&lt;20,(IF(O127&gt;19000,IF(O127&lt;49000,"Pass","Fail"),"Fail"))))</f>
        <v/>
      </c>
      <c r="U127" s="232"/>
      <c r="V127" s="237"/>
    </row>
    <row r="128" spans="1:22" x14ac:dyDescent="0.3">
      <c r="A128" s="238"/>
      <c r="B128" s="240"/>
      <c r="C128" s="71" t="s">
        <v>89</v>
      </c>
      <c r="M128" s="232"/>
      <c r="N128" s="232"/>
      <c r="O128" s="232"/>
      <c r="P128" s="234"/>
      <c r="Q128" s="234"/>
      <c r="R128" s="232"/>
      <c r="S128" s="234"/>
      <c r="T128" s="236"/>
      <c r="U128" s="232"/>
      <c r="V128" s="237"/>
    </row>
    <row r="129" spans="1:22" ht="39.9" x14ac:dyDescent="0.3">
      <c r="A129" s="238"/>
      <c r="B129" s="241"/>
      <c r="C129" s="71" t="s">
        <v>123</v>
      </c>
      <c r="D129" s="38" t="str">
        <f t="shared" ref="D129:L129" si="39">IF(((D127="")*AND(D128="")),"",(D127-D128)*60/70)</f>
        <v/>
      </c>
      <c r="E129" s="38" t="str">
        <f t="shared" si="39"/>
        <v/>
      </c>
      <c r="F129" s="38" t="str">
        <f t="shared" si="39"/>
        <v/>
      </c>
      <c r="G129" s="38" t="str">
        <f t="shared" si="39"/>
        <v/>
      </c>
      <c r="H129" s="38" t="str">
        <f t="shared" si="39"/>
        <v/>
      </c>
      <c r="I129" s="38" t="str">
        <f t="shared" si="39"/>
        <v/>
      </c>
      <c r="J129" s="38" t="str">
        <f t="shared" si="39"/>
        <v/>
      </c>
      <c r="K129" s="38" t="str">
        <f t="shared" si="39"/>
        <v/>
      </c>
      <c r="L129" s="38" t="str">
        <f t="shared" si="39"/>
        <v/>
      </c>
      <c r="M129" s="232"/>
      <c r="N129" s="232"/>
      <c r="O129" s="232"/>
      <c r="P129" s="235"/>
      <c r="Q129" s="235"/>
      <c r="R129" s="232"/>
      <c r="S129" s="235"/>
      <c r="T129" s="236"/>
      <c r="U129" s="232"/>
      <c r="V129" s="237"/>
    </row>
    <row r="130" spans="1:22" x14ac:dyDescent="0.3">
      <c r="A130" s="238"/>
      <c r="B130" s="239"/>
      <c r="C130" s="71" t="s">
        <v>88</v>
      </c>
      <c r="M130" s="232" t="str">
        <f>IF((L131=""),"",MAX(D132:L132))</f>
        <v/>
      </c>
      <c r="N130" s="232" t="str">
        <f>IF(L131="","",MIN(D132:L132))</f>
        <v/>
      </c>
      <c r="O130" s="232" t="str">
        <f>IF((L132=""),"",AVERAGE(D132:L132))</f>
        <v/>
      </c>
      <c r="P130" s="233">
        <v>800</v>
      </c>
      <c r="Q130" s="233">
        <v>1000</v>
      </c>
      <c r="R130" s="232" t="str">
        <f>IF((L131=""),"",((M130-N130)/(M130+N130))*100)</f>
        <v/>
      </c>
      <c r="S130" s="233">
        <v>20</v>
      </c>
      <c r="T130" s="236" t="str">
        <f>IF(L131="","",IF(R227&lt;20,(IF(O130&gt;19000,IF(O130&lt;49000,"Pass","Fail"),"Fail"))))</f>
        <v/>
      </c>
      <c r="U130" s="232"/>
      <c r="V130" s="237"/>
    </row>
    <row r="131" spans="1:22" x14ac:dyDescent="0.3">
      <c r="A131" s="238"/>
      <c r="B131" s="240"/>
      <c r="C131" s="71" t="s">
        <v>89</v>
      </c>
      <c r="M131" s="232"/>
      <c r="N131" s="232"/>
      <c r="O131" s="232"/>
      <c r="P131" s="234"/>
      <c r="Q131" s="234"/>
      <c r="R131" s="232"/>
      <c r="S131" s="234"/>
      <c r="T131" s="236"/>
      <c r="U131" s="232"/>
      <c r="V131" s="237"/>
    </row>
    <row r="132" spans="1:22" ht="39.9" x14ac:dyDescent="0.3">
      <c r="A132" s="238"/>
      <c r="B132" s="241"/>
      <c r="C132" s="71" t="s">
        <v>123</v>
      </c>
      <c r="D132" s="38" t="str">
        <f t="shared" ref="D132:L132" si="40">IF(((D130="")*AND(D131="")),"",(D130-D131)*60/70)</f>
        <v/>
      </c>
      <c r="E132" s="38" t="str">
        <f t="shared" si="40"/>
        <v/>
      </c>
      <c r="F132" s="38" t="str">
        <f t="shared" si="40"/>
        <v/>
      </c>
      <c r="G132" s="38" t="str">
        <f t="shared" si="40"/>
        <v/>
      </c>
      <c r="H132" s="38" t="str">
        <f t="shared" si="40"/>
        <v/>
      </c>
      <c r="I132" s="38" t="str">
        <f t="shared" si="40"/>
        <v/>
      </c>
      <c r="J132" s="38" t="str">
        <f t="shared" si="40"/>
        <v/>
      </c>
      <c r="K132" s="38" t="str">
        <f t="shared" si="40"/>
        <v/>
      </c>
      <c r="L132" s="38" t="str">
        <f t="shared" si="40"/>
        <v/>
      </c>
      <c r="M132" s="232"/>
      <c r="N132" s="232"/>
      <c r="O132" s="232"/>
      <c r="P132" s="235"/>
      <c r="Q132" s="235"/>
      <c r="R132" s="232"/>
      <c r="S132" s="235"/>
      <c r="T132" s="236"/>
      <c r="U132" s="232"/>
      <c r="V132" s="237"/>
    </row>
    <row r="133" spans="1:22" x14ac:dyDescent="0.3">
      <c r="A133" s="238"/>
      <c r="B133" s="239"/>
      <c r="C133" s="71" t="s">
        <v>88</v>
      </c>
      <c r="M133" s="232" t="str">
        <f>IF((L134=""),"",MAX(D135:L135))</f>
        <v/>
      </c>
      <c r="N133" s="232" t="str">
        <f>IF(L134="","",MIN(D135:L135))</f>
        <v/>
      </c>
      <c r="O133" s="232" t="str">
        <f>IF((L135=""),"",AVERAGE(D135:L135))</f>
        <v/>
      </c>
      <c r="P133" s="233">
        <v>800</v>
      </c>
      <c r="Q133" s="233">
        <v>1000</v>
      </c>
      <c r="R133" s="232" t="str">
        <f>IF((L134=""),"",((M133-N133)/(M133+N133))*100)</f>
        <v/>
      </c>
      <c r="S133" s="233">
        <v>20</v>
      </c>
      <c r="T133" s="236" t="str">
        <f>IF(L134="","",IF(R230&lt;20,(IF(O133&gt;19000,IF(O133&lt;49000,"Pass","Fail"),"Fail"))))</f>
        <v/>
      </c>
      <c r="U133" s="232"/>
      <c r="V133" s="237"/>
    </row>
    <row r="134" spans="1:22" x14ac:dyDescent="0.3">
      <c r="A134" s="238"/>
      <c r="B134" s="240"/>
      <c r="C134" s="71" t="s">
        <v>89</v>
      </c>
      <c r="M134" s="232"/>
      <c r="N134" s="232"/>
      <c r="O134" s="232"/>
      <c r="P134" s="234"/>
      <c r="Q134" s="234"/>
      <c r="R134" s="232"/>
      <c r="S134" s="234"/>
      <c r="T134" s="236"/>
      <c r="U134" s="232"/>
      <c r="V134" s="237"/>
    </row>
    <row r="135" spans="1:22" ht="39.9" x14ac:dyDescent="0.3">
      <c r="A135" s="238"/>
      <c r="B135" s="241"/>
      <c r="C135" s="71" t="s">
        <v>123</v>
      </c>
      <c r="D135" s="38" t="str">
        <f t="shared" ref="D135:L135" si="41">IF(((D133="")*AND(D134="")),"",(D133-D134)*60/70)</f>
        <v/>
      </c>
      <c r="E135" s="38" t="str">
        <f t="shared" si="41"/>
        <v/>
      </c>
      <c r="F135" s="38" t="str">
        <f t="shared" si="41"/>
        <v/>
      </c>
      <c r="G135" s="38" t="str">
        <f t="shared" si="41"/>
        <v/>
      </c>
      <c r="H135" s="38" t="str">
        <f t="shared" si="41"/>
        <v/>
      </c>
      <c r="I135" s="38" t="str">
        <f t="shared" si="41"/>
        <v/>
      </c>
      <c r="J135" s="38" t="str">
        <f t="shared" si="41"/>
        <v/>
      </c>
      <c r="K135" s="38" t="str">
        <f t="shared" si="41"/>
        <v/>
      </c>
      <c r="L135" s="38" t="str">
        <f t="shared" si="41"/>
        <v/>
      </c>
      <c r="M135" s="232"/>
      <c r="N135" s="232"/>
      <c r="O135" s="232"/>
      <c r="P135" s="235"/>
      <c r="Q135" s="235"/>
      <c r="R135" s="232"/>
      <c r="S135" s="235"/>
      <c r="T135" s="236"/>
      <c r="U135" s="232"/>
      <c r="V135" s="237"/>
    </row>
    <row r="136" spans="1:22" x14ac:dyDescent="0.3">
      <c r="A136" s="238"/>
      <c r="B136" s="239"/>
      <c r="C136" s="71" t="s">
        <v>88</v>
      </c>
      <c r="M136" s="232" t="str">
        <f>IF((L137=""),"",MAX(D138:L138))</f>
        <v/>
      </c>
      <c r="N136" s="232" t="str">
        <f>IF(L137="","",MIN(D138:L138))</f>
        <v/>
      </c>
      <c r="O136" s="232" t="str">
        <f>IF((L138=""),"",AVERAGE(D138:L138))</f>
        <v/>
      </c>
      <c r="P136" s="233">
        <v>800</v>
      </c>
      <c r="Q136" s="233">
        <v>1000</v>
      </c>
      <c r="R136" s="232" t="str">
        <f>IF((L137=""),"",((M136-N136)/(M136+N136))*100)</f>
        <v/>
      </c>
      <c r="S136" s="233">
        <v>20</v>
      </c>
      <c r="T136" s="236" t="str">
        <f>IF(L137="","",IF(R233&lt;20,(IF(O136&gt;19000,IF(O136&lt;49000,"Pass","Fail"),"Fail"))))</f>
        <v/>
      </c>
      <c r="U136" s="232"/>
      <c r="V136" s="237"/>
    </row>
    <row r="137" spans="1:22" x14ac:dyDescent="0.3">
      <c r="A137" s="238"/>
      <c r="B137" s="240"/>
      <c r="C137" s="71" t="s">
        <v>89</v>
      </c>
      <c r="M137" s="232"/>
      <c r="N137" s="232"/>
      <c r="O137" s="232"/>
      <c r="P137" s="234"/>
      <c r="Q137" s="234"/>
      <c r="R137" s="232"/>
      <c r="S137" s="234"/>
      <c r="T137" s="236"/>
      <c r="U137" s="232"/>
      <c r="V137" s="237"/>
    </row>
    <row r="138" spans="1:22" ht="39.9" x14ac:dyDescent="0.3">
      <c r="A138" s="238"/>
      <c r="B138" s="241"/>
      <c r="C138" s="71" t="s">
        <v>123</v>
      </c>
      <c r="D138" s="38" t="str">
        <f t="shared" ref="D138:L138" si="42">IF(((D136="")*AND(D137="")),"",(D136-D137)*60/70)</f>
        <v/>
      </c>
      <c r="E138" s="38" t="str">
        <f t="shared" si="42"/>
        <v/>
      </c>
      <c r="F138" s="38" t="str">
        <f t="shared" si="42"/>
        <v/>
      </c>
      <c r="G138" s="38" t="str">
        <f t="shared" si="42"/>
        <v/>
      </c>
      <c r="H138" s="38" t="str">
        <f t="shared" si="42"/>
        <v/>
      </c>
      <c r="I138" s="38" t="str">
        <f t="shared" si="42"/>
        <v/>
      </c>
      <c r="J138" s="38" t="str">
        <f t="shared" si="42"/>
        <v/>
      </c>
      <c r="K138" s="38" t="str">
        <f t="shared" si="42"/>
        <v/>
      </c>
      <c r="L138" s="38" t="str">
        <f t="shared" si="42"/>
        <v/>
      </c>
      <c r="M138" s="232"/>
      <c r="N138" s="232"/>
      <c r="O138" s="232"/>
      <c r="P138" s="235"/>
      <c r="Q138" s="235"/>
      <c r="R138" s="232"/>
      <c r="S138" s="235"/>
      <c r="T138" s="236"/>
      <c r="U138" s="232"/>
      <c r="V138" s="237"/>
    </row>
    <row r="139" spans="1:22" x14ac:dyDescent="0.3">
      <c r="A139" s="238"/>
      <c r="B139" s="239"/>
      <c r="C139" s="71" t="s">
        <v>88</v>
      </c>
      <c r="M139" s="232" t="str">
        <f>IF((L140=""),"",MAX(D141:L141))</f>
        <v/>
      </c>
      <c r="N139" s="232" t="str">
        <f>IF(L140="","",MIN(D141:L141))</f>
        <v/>
      </c>
      <c r="O139" s="232" t="str">
        <f>IF((L141=""),"",AVERAGE(D141:L141))</f>
        <v/>
      </c>
      <c r="P139" s="233">
        <v>800</v>
      </c>
      <c r="Q139" s="233">
        <v>1000</v>
      </c>
      <c r="R139" s="232" t="str">
        <f>IF((L140=""),"",((M139-N139)/(M139+N139))*100)</f>
        <v/>
      </c>
      <c r="S139" s="233">
        <v>20</v>
      </c>
      <c r="T139" s="236" t="str">
        <f>IF(L140="","",IF(R236&lt;20,(IF(O139&gt;19000,IF(O139&lt;49000,"Pass","Fail"),"Fail"))))</f>
        <v/>
      </c>
      <c r="U139" s="232"/>
      <c r="V139" s="237"/>
    </row>
    <row r="140" spans="1:22" x14ac:dyDescent="0.3">
      <c r="A140" s="238"/>
      <c r="B140" s="240"/>
      <c r="C140" s="71" t="s">
        <v>89</v>
      </c>
      <c r="M140" s="232"/>
      <c r="N140" s="232"/>
      <c r="O140" s="232"/>
      <c r="P140" s="234"/>
      <c r="Q140" s="234"/>
      <c r="R140" s="232"/>
      <c r="S140" s="234"/>
      <c r="T140" s="236"/>
      <c r="U140" s="232"/>
      <c r="V140" s="237"/>
    </row>
    <row r="141" spans="1:22" ht="39.9" x14ac:dyDescent="0.3">
      <c r="A141" s="238"/>
      <c r="B141" s="241"/>
      <c r="C141" s="71" t="s">
        <v>123</v>
      </c>
      <c r="D141" s="38" t="str">
        <f t="shared" ref="D141:L141" si="43">IF(((D139="")*AND(D140="")),"",(D139-D140)*60/70)</f>
        <v/>
      </c>
      <c r="E141" s="38" t="str">
        <f t="shared" si="43"/>
        <v/>
      </c>
      <c r="F141" s="38" t="str">
        <f t="shared" si="43"/>
        <v/>
      </c>
      <c r="G141" s="38" t="str">
        <f t="shared" si="43"/>
        <v/>
      </c>
      <c r="H141" s="38" t="str">
        <f t="shared" si="43"/>
        <v/>
      </c>
      <c r="I141" s="38" t="str">
        <f t="shared" si="43"/>
        <v/>
      </c>
      <c r="J141" s="38" t="str">
        <f t="shared" si="43"/>
        <v/>
      </c>
      <c r="K141" s="38" t="str">
        <f t="shared" si="43"/>
        <v/>
      </c>
      <c r="L141" s="38" t="str">
        <f t="shared" si="43"/>
        <v/>
      </c>
      <c r="M141" s="232"/>
      <c r="N141" s="232"/>
      <c r="O141" s="232"/>
      <c r="P141" s="235"/>
      <c r="Q141" s="235"/>
      <c r="R141" s="232"/>
      <c r="S141" s="235"/>
      <c r="T141" s="236"/>
      <c r="U141" s="232"/>
      <c r="V141" s="237"/>
    </row>
    <row r="142" spans="1:22" x14ac:dyDescent="0.3">
      <c r="A142" s="238"/>
      <c r="B142" s="239"/>
      <c r="C142" s="71" t="s">
        <v>88</v>
      </c>
      <c r="M142" s="232" t="str">
        <f>IF((L143=""),"",MAX(D144:L144))</f>
        <v/>
      </c>
      <c r="N142" s="232" t="str">
        <f>IF(L143="","",MIN(D144:L144))</f>
        <v/>
      </c>
      <c r="O142" s="232" t="str">
        <f>IF((L144=""),"",AVERAGE(D144:L144))</f>
        <v/>
      </c>
      <c r="P142" s="233">
        <v>800</v>
      </c>
      <c r="Q142" s="233">
        <v>1000</v>
      </c>
      <c r="R142" s="232" t="str">
        <f>IF((L143=""),"",((M142-N142)/(M142+N142))*100)</f>
        <v/>
      </c>
      <c r="S142" s="233">
        <v>20</v>
      </c>
      <c r="T142" s="236" t="str">
        <f>IF(L143="","",IF(R239&lt;20,(IF(O142&gt;19000,IF(O142&lt;49000,"Pass","Fail"),"Fail"))))</f>
        <v/>
      </c>
      <c r="U142" s="232"/>
      <c r="V142" s="237"/>
    </row>
    <row r="143" spans="1:22" x14ac:dyDescent="0.3">
      <c r="A143" s="238"/>
      <c r="B143" s="240"/>
      <c r="C143" s="71" t="s">
        <v>89</v>
      </c>
      <c r="M143" s="232"/>
      <c r="N143" s="232"/>
      <c r="O143" s="232"/>
      <c r="P143" s="234"/>
      <c r="Q143" s="234"/>
      <c r="R143" s="232"/>
      <c r="S143" s="234"/>
      <c r="T143" s="236"/>
      <c r="U143" s="232"/>
      <c r="V143" s="237"/>
    </row>
    <row r="144" spans="1:22" ht="39.9" x14ac:dyDescent="0.3">
      <c r="A144" s="238"/>
      <c r="B144" s="241"/>
      <c r="C144" s="71" t="s">
        <v>123</v>
      </c>
      <c r="D144" s="38" t="str">
        <f t="shared" ref="D144:L144" si="44">IF(((D142="")*AND(D143="")),"",(D142-D143)*60/70)</f>
        <v/>
      </c>
      <c r="E144" s="38" t="str">
        <f t="shared" si="44"/>
        <v/>
      </c>
      <c r="F144" s="38" t="str">
        <f t="shared" si="44"/>
        <v/>
      </c>
      <c r="G144" s="38" t="str">
        <f t="shared" si="44"/>
        <v/>
      </c>
      <c r="H144" s="38" t="str">
        <f t="shared" si="44"/>
        <v/>
      </c>
      <c r="I144" s="38" t="str">
        <f t="shared" si="44"/>
        <v/>
      </c>
      <c r="J144" s="38" t="str">
        <f t="shared" si="44"/>
        <v/>
      </c>
      <c r="K144" s="38" t="str">
        <f t="shared" si="44"/>
        <v/>
      </c>
      <c r="L144" s="38" t="str">
        <f t="shared" si="44"/>
        <v/>
      </c>
      <c r="M144" s="232"/>
      <c r="N144" s="232"/>
      <c r="O144" s="232"/>
      <c r="P144" s="235"/>
      <c r="Q144" s="235"/>
      <c r="R144" s="232"/>
      <c r="S144" s="235"/>
      <c r="T144" s="236"/>
      <c r="U144" s="232"/>
      <c r="V144" s="237"/>
    </row>
    <row r="145" spans="1:22" x14ac:dyDescent="0.3">
      <c r="A145" s="238"/>
      <c r="B145" s="239"/>
      <c r="C145" s="71" t="s">
        <v>88</v>
      </c>
      <c r="M145" s="232" t="str">
        <f>IF((L146=""),"",MAX(D147:L147))</f>
        <v/>
      </c>
      <c r="N145" s="232" t="str">
        <f>IF(L146="","",MIN(D147:L147))</f>
        <v/>
      </c>
      <c r="O145" s="232" t="str">
        <f>IF((L147=""),"",AVERAGE(D147:L147))</f>
        <v/>
      </c>
      <c r="P145" s="233">
        <v>800</v>
      </c>
      <c r="Q145" s="233">
        <v>1000</v>
      </c>
      <c r="R145" s="232" t="str">
        <f>IF((L146=""),"",((M145-N145)/(M145+N145))*100)</f>
        <v/>
      </c>
      <c r="S145" s="233">
        <v>20</v>
      </c>
      <c r="T145" s="236" t="str">
        <f>IF(L146="","",IF(R242&lt;20,(IF(O145&gt;19000,IF(O145&lt;49000,"Pass","Fail"),"Fail"))))</f>
        <v/>
      </c>
      <c r="U145" s="232"/>
      <c r="V145" s="237"/>
    </row>
    <row r="146" spans="1:22" x14ac:dyDescent="0.3">
      <c r="A146" s="238"/>
      <c r="B146" s="240"/>
      <c r="C146" s="71" t="s">
        <v>89</v>
      </c>
      <c r="M146" s="232"/>
      <c r="N146" s="232"/>
      <c r="O146" s="232"/>
      <c r="P146" s="234"/>
      <c r="Q146" s="234"/>
      <c r="R146" s="232"/>
      <c r="S146" s="234"/>
      <c r="T146" s="236"/>
      <c r="U146" s="232"/>
      <c r="V146" s="237"/>
    </row>
    <row r="147" spans="1:22" ht="39.9" x14ac:dyDescent="0.3">
      <c r="A147" s="238"/>
      <c r="B147" s="241"/>
      <c r="C147" s="71" t="s">
        <v>123</v>
      </c>
      <c r="D147" s="38" t="str">
        <f t="shared" ref="D147:L147" si="45">IF(((D145="")*AND(D146="")),"",(D145-D146)*60/70)</f>
        <v/>
      </c>
      <c r="E147" s="38" t="str">
        <f t="shared" si="45"/>
        <v/>
      </c>
      <c r="F147" s="38" t="str">
        <f t="shared" si="45"/>
        <v/>
      </c>
      <c r="G147" s="38" t="str">
        <f t="shared" si="45"/>
        <v/>
      </c>
      <c r="H147" s="38" t="str">
        <f t="shared" si="45"/>
        <v/>
      </c>
      <c r="I147" s="38" t="str">
        <f t="shared" si="45"/>
        <v/>
      </c>
      <c r="J147" s="38" t="str">
        <f t="shared" si="45"/>
        <v/>
      </c>
      <c r="K147" s="38" t="str">
        <f t="shared" si="45"/>
        <v/>
      </c>
      <c r="L147" s="38" t="str">
        <f t="shared" si="45"/>
        <v/>
      </c>
      <c r="M147" s="232"/>
      <c r="N147" s="232"/>
      <c r="O147" s="232"/>
      <c r="P147" s="235"/>
      <c r="Q147" s="235"/>
      <c r="R147" s="232"/>
      <c r="S147" s="235"/>
      <c r="T147" s="236"/>
      <c r="U147" s="232"/>
      <c r="V147" s="237"/>
    </row>
    <row r="148" spans="1:22" x14ac:dyDescent="0.3">
      <c r="A148" s="238"/>
      <c r="B148" s="239"/>
      <c r="C148" s="71" t="s">
        <v>88</v>
      </c>
      <c r="M148" s="232" t="str">
        <f>IF((L149=""),"",MAX(D150:L150))</f>
        <v/>
      </c>
      <c r="N148" s="232" t="str">
        <f>IF(L149="","",MIN(D150:L150))</f>
        <v/>
      </c>
      <c r="O148" s="232" t="str">
        <f>IF((L150=""),"",AVERAGE(D150:L150))</f>
        <v/>
      </c>
      <c r="P148" s="233">
        <v>800</v>
      </c>
      <c r="Q148" s="233">
        <v>1000</v>
      </c>
      <c r="R148" s="232" t="str">
        <f>IF((L149=""),"",((M148-N148)/(M148+N148))*100)</f>
        <v/>
      </c>
      <c r="S148" s="233">
        <v>20</v>
      </c>
      <c r="T148" s="236" t="str">
        <f>IF(L149="","",IF(R245&lt;20,(IF(O148&gt;19000,IF(O148&lt;49000,"Pass","Fail"),"Fail"))))</f>
        <v/>
      </c>
      <c r="U148" s="232"/>
      <c r="V148" s="237"/>
    </row>
    <row r="149" spans="1:22" x14ac:dyDescent="0.3">
      <c r="A149" s="238"/>
      <c r="B149" s="240"/>
      <c r="C149" s="71" t="s">
        <v>89</v>
      </c>
      <c r="M149" s="232"/>
      <c r="N149" s="232"/>
      <c r="O149" s="232"/>
      <c r="P149" s="234"/>
      <c r="Q149" s="234"/>
      <c r="R149" s="232"/>
      <c r="S149" s="234"/>
      <c r="T149" s="236"/>
      <c r="U149" s="232"/>
      <c r="V149" s="237"/>
    </row>
    <row r="150" spans="1:22" ht="39.9" x14ac:dyDescent="0.3">
      <c r="A150" s="238"/>
      <c r="B150" s="241"/>
      <c r="C150" s="71" t="s">
        <v>123</v>
      </c>
      <c r="D150" s="38" t="str">
        <f t="shared" ref="D150:L150" si="46">IF(((D148="")*AND(D149="")),"",(D148-D149)*60/70)</f>
        <v/>
      </c>
      <c r="E150" s="38" t="str">
        <f t="shared" si="46"/>
        <v/>
      </c>
      <c r="F150" s="38" t="str">
        <f t="shared" si="46"/>
        <v/>
      </c>
      <c r="G150" s="38" t="str">
        <f t="shared" si="46"/>
        <v/>
      </c>
      <c r="H150" s="38" t="str">
        <f t="shared" si="46"/>
        <v/>
      </c>
      <c r="I150" s="38" t="str">
        <f t="shared" si="46"/>
        <v/>
      </c>
      <c r="J150" s="38" t="str">
        <f t="shared" si="46"/>
        <v/>
      </c>
      <c r="K150" s="38" t="str">
        <f t="shared" si="46"/>
        <v/>
      </c>
      <c r="L150" s="38" t="str">
        <f t="shared" si="46"/>
        <v/>
      </c>
      <c r="M150" s="232"/>
      <c r="N150" s="232"/>
      <c r="O150" s="232"/>
      <c r="P150" s="235"/>
      <c r="Q150" s="235"/>
      <c r="R150" s="232"/>
      <c r="S150" s="235"/>
      <c r="T150" s="236"/>
      <c r="U150" s="232"/>
      <c r="V150" s="237"/>
    </row>
    <row r="151" spans="1:22" x14ac:dyDescent="0.3">
      <c r="A151" s="238"/>
      <c r="B151" s="239"/>
      <c r="C151" s="71" t="s">
        <v>88</v>
      </c>
      <c r="M151" s="232" t="str">
        <f>IF((L152=""),"",MAX(D153:L153))</f>
        <v/>
      </c>
      <c r="N151" s="232" t="str">
        <f>IF(L152="","",MIN(D153:L153))</f>
        <v/>
      </c>
      <c r="O151" s="232" t="str">
        <f>IF((L153=""),"",AVERAGE(D153:L153))</f>
        <v/>
      </c>
      <c r="P151" s="233">
        <v>800</v>
      </c>
      <c r="Q151" s="233">
        <v>1000</v>
      </c>
      <c r="R151" s="232" t="str">
        <f>IF((L152=""),"",((M151-N151)/(M151+N151))*100)</f>
        <v/>
      </c>
      <c r="S151" s="233">
        <v>20</v>
      </c>
      <c r="T151" s="236" t="str">
        <f>IF(L152="","",IF(R248&lt;20,(IF(O151&gt;19000,IF(O151&lt;49000,"Pass","Fail"),"Fail"))))</f>
        <v/>
      </c>
      <c r="U151" s="232"/>
      <c r="V151" s="237"/>
    </row>
    <row r="152" spans="1:22" x14ac:dyDescent="0.3">
      <c r="A152" s="238"/>
      <c r="B152" s="240"/>
      <c r="C152" s="71" t="s">
        <v>89</v>
      </c>
      <c r="M152" s="232"/>
      <c r="N152" s="232"/>
      <c r="O152" s="232"/>
      <c r="P152" s="234"/>
      <c r="Q152" s="234"/>
      <c r="R152" s="232"/>
      <c r="S152" s="234"/>
      <c r="T152" s="236"/>
      <c r="U152" s="232"/>
      <c r="V152" s="237"/>
    </row>
    <row r="153" spans="1:22" ht="39.9" x14ac:dyDescent="0.3">
      <c r="A153" s="238"/>
      <c r="B153" s="241"/>
      <c r="C153" s="71" t="s">
        <v>123</v>
      </c>
      <c r="D153" s="38" t="str">
        <f t="shared" ref="D153:L153" si="47">IF(((D151="")*AND(D152="")),"",(D151-D152)*60/70)</f>
        <v/>
      </c>
      <c r="E153" s="38" t="str">
        <f t="shared" si="47"/>
        <v/>
      </c>
      <c r="F153" s="38" t="str">
        <f t="shared" si="47"/>
        <v/>
      </c>
      <c r="G153" s="38" t="str">
        <f t="shared" si="47"/>
        <v/>
      </c>
      <c r="H153" s="38" t="str">
        <f t="shared" si="47"/>
        <v/>
      </c>
      <c r="I153" s="38" t="str">
        <f t="shared" si="47"/>
        <v/>
      </c>
      <c r="J153" s="38" t="str">
        <f t="shared" si="47"/>
        <v/>
      </c>
      <c r="K153" s="38" t="str">
        <f t="shared" si="47"/>
        <v/>
      </c>
      <c r="L153" s="38" t="str">
        <f t="shared" si="47"/>
        <v/>
      </c>
      <c r="M153" s="232"/>
      <c r="N153" s="232"/>
      <c r="O153" s="232"/>
      <c r="P153" s="235"/>
      <c r="Q153" s="235"/>
      <c r="R153" s="232"/>
      <c r="S153" s="235"/>
      <c r="T153" s="236"/>
      <c r="U153" s="232"/>
      <c r="V153" s="237"/>
    </row>
    <row r="154" spans="1:22" x14ac:dyDescent="0.3">
      <c r="A154" s="238"/>
      <c r="B154" s="239"/>
      <c r="C154" s="71" t="s">
        <v>88</v>
      </c>
      <c r="M154" s="232" t="str">
        <f>IF((L155=""),"",MAX(D156:L156))</f>
        <v/>
      </c>
      <c r="N154" s="232" t="str">
        <f>IF(L155="","",MIN(D156:L156))</f>
        <v/>
      </c>
      <c r="O154" s="232" t="str">
        <f>IF((L156=""),"",AVERAGE(D156:L156))</f>
        <v/>
      </c>
      <c r="P154" s="233">
        <v>800</v>
      </c>
      <c r="Q154" s="233">
        <v>1000</v>
      </c>
      <c r="R154" s="232" t="str">
        <f>IF((L155=""),"",((M154-N154)/(M154+N154))*100)</f>
        <v/>
      </c>
      <c r="S154" s="233">
        <v>20</v>
      </c>
      <c r="T154" s="236" t="str">
        <f>IF(L155="","",IF(R251&lt;20,(IF(O154&gt;19000,IF(O154&lt;49000,"Pass","Fail"),"Fail"))))</f>
        <v/>
      </c>
      <c r="U154" s="232"/>
      <c r="V154" s="237"/>
    </row>
    <row r="155" spans="1:22" x14ac:dyDescent="0.3">
      <c r="A155" s="238"/>
      <c r="B155" s="240"/>
      <c r="C155" s="71" t="s">
        <v>89</v>
      </c>
      <c r="M155" s="232"/>
      <c r="N155" s="232"/>
      <c r="O155" s="232"/>
      <c r="P155" s="234"/>
      <c r="Q155" s="234"/>
      <c r="R155" s="232"/>
      <c r="S155" s="234"/>
      <c r="T155" s="236"/>
      <c r="U155" s="232"/>
      <c r="V155" s="237"/>
    </row>
    <row r="156" spans="1:22" ht="39.9" x14ac:dyDescent="0.3">
      <c r="A156" s="238"/>
      <c r="B156" s="241"/>
      <c r="C156" s="71" t="s">
        <v>123</v>
      </c>
      <c r="D156" s="38" t="str">
        <f t="shared" ref="D156:L156" si="48">IF(((D154="")*AND(D155="")),"",(D154-D155)*60/70)</f>
        <v/>
      </c>
      <c r="E156" s="38" t="str">
        <f t="shared" si="48"/>
        <v/>
      </c>
      <c r="F156" s="38" t="str">
        <f t="shared" si="48"/>
        <v/>
      </c>
      <c r="G156" s="38" t="str">
        <f t="shared" si="48"/>
        <v/>
      </c>
      <c r="H156" s="38" t="str">
        <f t="shared" si="48"/>
        <v/>
      </c>
      <c r="I156" s="38" t="str">
        <f t="shared" si="48"/>
        <v/>
      </c>
      <c r="J156" s="38" t="str">
        <f t="shared" si="48"/>
        <v/>
      </c>
      <c r="K156" s="38" t="str">
        <f t="shared" si="48"/>
        <v/>
      </c>
      <c r="L156" s="38" t="str">
        <f t="shared" si="48"/>
        <v/>
      </c>
      <c r="M156" s="232"/>
      <c r="N156" s="232"/>
      <c r="O156" s="232"/>
      <c r="P156" s="235"/>
      <c r="Q156" s="235"/>
      <c r="R156" s="232"/>
      <c r="S156" s="235"/>
      <c r="T156" s="236"/>
      <c r="U156" s="232"/>
      <c r="V156" s="237"/>
    </row>
    <row r="157" spans="1:22" x14ac:dyDescent="0.3">
      <c r="A157" s="238"/>
      <c r="B157" s="239"/>
      <c r="C157" s="71" t="s">
        <v>88</v>
      </c>
      <c r="M157" s="232" t="str">
        <f>IF((L158=""),"",MAX(D159:L159))</f>
        <v/>
      </c>
      <c r="N157" s="232" t="str">
        <f>IF(L158="","",MIN(D159:L159))</f>
        <v/>
      </c>
      <c r="O157" s="232" t="str">
        <f>IF((L159=""),"",AVERAGE(D159:L159))</f>
        <v/>
      </c>
      <c r="P157" s="233">
        <v>800</v>
      </c>
      <c r="Q157" s="233">
        <v>1000</v>
      </c>
      <c r="R157" s="232" t="str">
        <f>IF((L158=""),"",((M157-N157)/(M157+N157))*100)</f>
        <v/>
      </c>
      <c r="S157" s="233">
        <v>20</v>
      </c>
      <c r="T157" s="236" t="str">
        <f>IF(L158="","",IF(R254&lt;20,(IF(O157&gt;19000,IF(O157&lt;49000,"Pass","Fail"),"Fail"))))</f>
        <v/>
      </c>
      <c r="U157" s="232"/>
      <c r="V157" s="237"/>
    </row>
    <row r="158" spans="1:22" x14ac:dyDescent="0.3">
      <c r="A158" s="238"/>
      <c r="B158" s="240"/>
      <c r="C158" s="71" t="s">
        <v>89</v>
      </c>
      <c r="M158" s="232"/>
      <c r="N158" s="232"/>
      <c r="O158" s="232"/>
      <c r="P158" s="234"/>
      <c r="Q158" s="234"/>
      <c r="R158" s="232"/>
      <c r="S158" s="234"/>
      <c r="T158" s="236"/>
      <c r="U158" s="232"/>
      <c r="V158" s="237"/>
    </row>
    <row r="159" spans="1:22" ht="39.9" x14ac:dyDescent="0.3">
      <c r="A159" s="238"/>
      <c r="B159" s="241"/>
      <c r="C159" s="71" t="s">
        <v>123</v>
      </c>
      <c r="D159" s="38" t="str">
        <f t="shared" ref="D159:L159" si="49">IF(((D157="")*AND(D158="")),"",(D157-D158)*60/70)</f>
        <v/>
      </c>
      <c r="E159" s="38" t="str">
        <f t="shared" si="49"/>
        <v/>
      </c>
      <c r="F159" s="38" t="str">
        <f t="shared" si="49"/>
        <v/>
      </c>
      <c r="G159" s="38" t="str">
        <f t="shared" si="49"/>
        <v/>
      </c>
      <c r="H159" s="38" t="str">
        <f t="shared" si="49"/>
        <v/>
      </c>
      <c r="I159" s="38" t="str">
        <f t="shared" si="49"/>
        <v/>
      </c>
      <c r="J159" s="38" t="str">
        <f t="shared" si="49"/>
        <v/>
      </c>
      <c r="K159" s="38" t="str">
        <f t="shared" si="49"/>
        <v/>
      </c>
      <c r="L159" s="38" t="str">
        <f t="shared" si="49"/>
        <v/>
      </c>
      <c r="M159" s="232"/>
      <c r="N159" s="232"/>
      <c r="O159" s="232"/>
      <c r="P159" s="235"/>
      <c r="Q159" s="235"/>
      <c r="R159" s="232"/>
      <c r="S159" s="235"/>
      <c r="T159" s="236"/>
      <c r="U159" s="232"/>
      <c r="V159" s="237"/>
    </row>
    <row r="160" spans="1:22" x14ac:dyDescent="0.3">
      <c r="A160" s="238"/>
      <c r="B160" s="239"/>
      <c r="C160" s="71" t="s">
        <v>88</v>
      </c>
      <c r="M160" s="232" t="str">
        <f>IF((L161=""),"",MAX(D162:L162))</f>
        <v/>
      </c>
      <c r="N160" s="232" t="str">
        <f>IF(L161="","",MIN(D162:L162))</f>
        <v/>
      </c>
      <c r="O160" s="232" t="str">
        <f>IF((L162=""),"",AVERAGE(D162:L162))</f>
        <v/>
      </c>
      <c r="P160" s="233">
        <v>800</v>
      </c>
      <c r="Q160" s="233">
        <v>1000</v>
      </c>
      <c r="R160" s="232" t="str">
        <f>IF((L161=""),"",((M160-N160)/(M160+N160))*100)</f>
        <v/>
      </c>
      <c r="S160" s="233">
        <v>20</v>
      </c>
      <c r="T160" s="236" t="str">
        <f>IF(L161="","",IF(R257&lt;20,(IF(O160&gt;19000,IF(O160&lt;49000,"Pass","Fail"),"Fail"))))</f>
        <v/>
      </c>
      <c r="U160" s="232"/>
      <c r="V160" s="237"/>
    </row>
    <row r="161" spans="1:22" x14ac:dyDescent="0.3">
      <c r="A161" s="238"/>
      <c r="B161" s="240"/>
      <c r="C161" s="71" t="s">
        <v>89</v>
      </c>
      <c r="M161" s="232"/>
      <c r="N161" s="232"/>
      <c r="O161" s="232"/>
      <c r="P161" s="234"/>
      <c r="Q161" s="234"/>
      <c r="R161" s="232"/>
      <c r="S161" s="234"/>
      <c r="T161" s="236"/>
      <c r="U161" s="232"/>
      <c r="V161" s="237"/>
    </row>
    <row r="162" spans="1:22" ht="39.9" x14ac:dyDescent="0.3">
      <c r="A162" s="238"/>
      <c r="B162" s="241"/>
      <c r="C162" s="71" t="s">
        <v>123</v>
      </c>
      <c r="D162" s="38" t="str">
        <f t="shared" ref="D162:L162" si="50">IF(((D160="")*AND(D161="")),"",(D160-D161)*60/70)</f>
        <v/>
      </c>
      <c r="E162" s="38" t="str">
        <f t="shared" si="50"/>
        <v/>
      </c>
      <c r="F162" s="38" t="str">
        <f t="shared" si="50"/>
        <v/>
      </c>
      <c r="G162" s="38" t="str">
        <f t="shared" si="50"/>
        <v/>
      </c>
      <c r="H162" s="38" t="str">
        <f t="shared" si="50"/>
        <v/>
      </c>
      <c r="I162" s="38" t="str">
        <f t="shared" si="50"/>
        <v/>
      </c>
      <c r="J162" s="38" t="str">
        <f t="shared" si="50"/>
        <v/>
      </c>
      <c r="K162" s="38" t="str">
        <f t="shared" si="50"/>
        <v/>
      </c>
      <c r="L162" s="38" t="str">
        <f t="shared" si="50"/>
        <v/>
      </c>
      <c r="M162" s="232"/>
      <c r="N162" s="232"/>
      <c r="O162" s="232"/>
      <c r="P162" s="235"/>
      <c r="Q162" s="235"/>
      <c r="R162" s="232"/>
      <c r="S162" s="235"/>
      <c r="T162" s="236"/>
      <c r="U162" s="232"/>
      <c r="V162" s="237"/>
    </row>
    <row r="163" spans="1:22" x14ac:dyDescent="0.3">
      <c r="A163" s="238"/>
      <c r="B163" s="239"/>
      <c r="C163" s="71" t="s">
        <v>88</v>
      </c>
      <c r="M163" s="232" t="str">
        <f>IF((L164=""),"",MAX(D165:L165))</f>
        <v/>
      </c>
      <c r="N163" s="232" t="str">
        <f>IF(L164="","",MIN(D165:L165))</f>
        <v/>
      </c>
      <c r="O163" s="232" t="str">
        <f>IF((L165=""),"",AVERAGE(D165:L165))</f>
        <v/>
      </c>
      <c r="P163" s="233">
        <v>800</v>
      </c>
      <c r="Q163" s="233">
        <v>1000</v>
      </c>
      <c r="R163" s="232" t="str">
        <f>IF((L164=""),"",((M163-N163)/(M163+N163))*100)</f>
        <v/>
      </c>
      <c r="S163" s="233">
        <v>20</v>
      </c>
      <c r="T163" s="236" t="str">
        <f>IF(L164="","",IF(R260&lt;20,(IF(O163&gt;19000,IF(O163&lt;49000,"Pass","Fail"),"Fail"))))</f>
        <v/>
      </c>
      <c r="U163" s="232"/>
      <c r="V163" s="237"/>
    </row>
    <row r="164" spans="1:22" x14ac:dyDescent="0.3">
      <c r="A164" s="238"/>
      <c r="B164" s="240"/>
      <c r="C164" s="71" t="s">
        <v>89</v>
      </c>
      <c r="M164" s="232"/>
      <c r="N164" s="232"/>
      <c r="O164" s="232"/>
      <c r="P164" s="234"/>
      <c r="Q164" s="234"/>
      <c r="R164" s="232"/>
      <c r="S164" s="234"/>
      <c r="T164" s="236"/>
      <c r="U164" s="232"/>
      <c r="V164" s="237"/>
    </row>
    <row r="165" spans="1:22" ht="39.9" x14ac:dyDescent="0.3">
      <c r="A165" s="238"/>
      <c r="B165" s="241"/>
      <c r="C165" s="71" t="s">
        <v>123</v>
      </c>
      <c r="D165" s="38" t="str">
        <f t="shared" ref="D165:L165" si="51">IF(((D163="")*AND(D164="")),"",(D163-D164)*60/70)</f>
        <v/>
      </c>
      <c r="E165" s="38" t="str">
        <f t="shared" si="51"/>
        <v/>
      </c>
      <c r="F165" s="38" t="str">
        <f t="shared" si="51"/>
        <v/>
      </c>
      <c r="G165" s="38" t="str">
        <f t="shared" si="51"/>
        <v/>
      </c>
      <c r="H165" s="38" t="str">
        <f t="shared" si="51"/>
        <v/>
      </c>
      <c r="I165" s="38" t="str">
        <f t="shared" si="51"/>
        <v/>
      </c>
      <c r="J165" s="38" t="str">
        <f t="shared" si="51"/>
        <v/>
      </c>
      <c r="K165" s="38" t="str">
        <f t="shared" si="51"/>
        <v/>
      </c>
      <c r="L165" s="38" t="str">
        <f t="shared" si="51"/>
        <v/>
      </c>
      <c r="M165" s="232"/>
      <c r="N165" s="232"/>
      <c r="O165" s="232"/>
      <c r="P165" s="235"/>
      <c r="Q165" s="235"/>
      <c r="R165" s="232"/>
      <c r="S165" s="235"/>
      <c r="T165" s="236"/>
      <c r="U165" s="232"/>
      <c r="V165" s="237"/>
    </row>
    <row r="166" spans="1:22" x14ac:dyDescent="0.3">
      <c r="A166" s="238"/>
      <c r="B166" s="239"/>
      <c r="C166" s="71" t="s">
        <v>88</v>
      </c>
      <c r="M166" s="232" t="str">
        <f>IF((L167=""),"",MAX(D168:L168))</f>
        <v/>
      </c>
      <c r="N166" s="232" t="str">
        <f>IF(L167="","",MIN(D168:L168))</f>
        <v/>
      </c>
      <c r="O166" s="232" t="str">
        <f>IF((L168=""),"",AVERAGE(D168:L168))</f>
        <v/>
      </c>
      <c r="P166" s="233">
        <v>800</v>
      </c>
      <c r="Q166" s="233">
        <v>1000</v>
      </c>
      <c r="R166" s="232" t="str">
        <f>IF((L167=""),"",((M166-N166)/(M166+N166))*100)</f>
        <v/>
      </c>
      <c r="S166" s="233">
        <v>20</v>
      </c>
      <c r="T166" s="236" t="str">
        <f>IF(L167="","",IF(R263&lt;20,(IF(O166&gt;19000,IF(O166&lt;49000,"Pass","Fail"),"Fail"))))</f>
        <v/>
      </c>
      <c r="U166" s="232"/>
      <c r="V166" s="237"/>
    </row>
    <row r="167" spans="1:22" x14ac:dyDescent="0.3">
      <c r="A167" s="238"/>
      <c r="B167" s="240"/>
      <c r="C167" s="71" t="s">
        <v>89</v>
      </c>
      <c r="M167" s="232"/>
      <c r="N167" s="232"/>
      <c r="O167" s="232"/>
      <c r="P167" s="234"/>
      <c r="Q167" s="234"/>
      <c r="R167" s="232"/>
      <c r="S167" s="234"/>
      <c r="T167" s="236"/>
      <c r="U167" s="232"/>
      <c r="V167" s="237"/>
    </row>
    <row r="168" spans="1:22" ht="39.9" x14ac:dyDescent="0.3">
      <c r="A168" s="238"/>
      <c r="B168" s="241"/>
      <c r="C168" s="71" t="s">
        <v>123</v>
      </c>
      <c r="D168" s="38" t="str">
        <f t="shared" ref="D168:L168" si="52">IF(((D166="")*AND(D167="")),"",(D166-D167)*60/70)</f>
        <v/>
      </c>
      <c r="E168" s="38" t="str">
        <f t="shared" si="52"/>
        <v/>
      </c>
      <c r="F168" s="38" t="str">
        <f t="shared" si="52"/>
        <v/>
      </c>
      <c r="G168" s="38" t="str">
        <f t="shared" si="52"/>
        <v/>
      </c>
      <c r="H168" s="38" t="str">
        <f t="shared" si="52"/>
        <v/>
      </c>
      <c r="I168" s="38" t="str">
        <f t="shared" si="52"/>
        <v/>
      </c>
      <c r="J168" s="38" t="str">
        <f t="shared" si="52"/>
        <v/>
      </c>
      <c r="K168" s="38" t="str">
        <f t="shared" si="52"/>
        <v/>
      </c>
      <c r="L168" s="38" t="str">
        <f t="shared" si="52"/>
        <v/>
      </c>
      <c r="M168" s="232"/>
      <c r="N168" s="232"/>
      <c r="O168" s="232"/>
      <c r="P168" s="235"/>
      <c r="Q168" s="235"/>
      <c r="R168" s="232"/>
      <c r="S168" s="235"/>
      <c r="T168" s="236"/>
      <c r="U168" s="232"/>
      <c r="V168" s="237"/>
    </row>
    <row r="169" spans="1:22" x14ac:dyDescent="0.3">
      <c r="A169" s="238"/>
      <c r="B169" s="239"/>
      <c r="C169" s="71" t="s">
        <v>88</v>
      </c>
      <c r="M169" s="232" t="str">
        <f>IF((L170=""),"",MAX(D171:L171))</f>
        <v/>
      </c>
      <c r="N169" s="232" t="str">
        <f>IF(L170="","",MIN(D171:L171))</f>
        <v/>
      </c>
      <c r="O169" s="232" t="str">
        <f>IF((L171=""),"",AVERAGE(D171:L171))</f>
        <v/>
      </c>
      <c r="P169" s="233">
        <v>800</v>
      </c>
      <c r="Q169" s="233">
        <v>1000</v>
      </c>
      <c r="R169" s="232" t="str">
        <f>IF((L170=""),"",((M169-N169)/(M169+N169))*100)</f>
        <v/>
      </c>
      <c r="S169" s="233">
        <v>20</v>
      </c>
      <c r="T169" s="236" t="str">
        <f>IF(L170="","",IF(R266&lt;20,(IF(O169&gt;19000,IF(O169&lt;49000,"Pass","Fail"),"Fail"))))</f>
        <v/>
      </c>
      <c r="U169" s="232"/>
      <c r="V169" s="237"/>
    </row>
    <row r="170" spans="1:22" x14ac:dyDescent="0.3">
      <c r="A170" s="238"/>
      <c r="B170" s="240"/>
      <c r="C170" s="71" t="s">
        <v>89</v>
      </c>
      <c r="M170" s="232"/>
      <c r="N170" s="232"/>
      <c r="O170" s="232"/>
      <c r="P170" s="234"/>
      <c r="Q170" s="234"/>
      <c r="R170" s="232"/>
      <c r="S170" s="234"/>
      <c r="T170" s="236"/>
      <c r="U170" s="232"/>
      <c r="V170" s="237"/>
    </row>
    <row r="171" spans="1:22" ht="39.9" x14ac:dyDescent="0.3">
      <c r="A171" s="238"/>
      <c r="B171" s="241"/>
      <c r="C171" s="71" t="s">
        <v>123</v>
      </c>
      <c r="D171" s="38" t="str">
        <f t="shared" ref="D171:L171" si="53">IF(((D169="")*AND(D170="")),"",(D169-D170)*60/70)</f>
        <v/>
      </c>
      <c r="E171" s="38" t="str">
        <f t="shared" si="53"/>
        <v/>
      </c>
      <c r="F171" s="38" t="str">
        <f t="shared" si="53"/>
        <v/>
      </c>
      <c r="G171" s="38" t="str">
        <f t="shared" si="53"/>
        <v/>
      </c>
      <c r="H171" s="38" t="str">
        <f t="shared" si="53"/>
        <v/>
      </c>
      <c r="I171" s="38" t="str">
        <f t="shared" si="53"/>
        <v/>
      </c>
      <c r="J171" s="38" t="str">
        <f t="shared" si="53"/>
        <v/>
      </c>
      <c r="K171" s="38" t="str">
        <f t="shared" si="53"/>
        <v/>
      </c>
      <c r="L171" s="38" t="str">
        <f t="shared" si="53"/>
        <v/>
      </c>
      <c r="M171" s="232"/>
      <c r="N171" s="232"/>
      <c r="O171" s="232"/>
      <c r="P171" s="235"/>
      <c r="Q171" s="235"/>
      <c r="R171" s="232"/>
      <c r="S171" s="235"/>
      <c r="T171" s="236"/>
      <c r="U171" s="232"/>
      <c r="V171" s="237"/>
    </row>
    <row r="172" spans="1:22" x14ac:dyDescent="0.3">
      <c r="A172" s="238"/>
      <c r="B172" s="239"/>
      <c r="C172" s="71" t="s">
        <v>88</v>
      </c>
      <c r="M172" s="232" t="str">
        <f>IF((L173=""),"",MAX(D174:L174))</f>
        <v/>
      </c>
      <c r="N172" s="232" t="str">
        <f>IF(L173="","",MIN(D174:L174))</f>
        <v/>
      </c>
      <c r="O172" s="232" t="str">
        <f>IF((L174=""),"",AVERAGE(D174:L174))</f>
        <v/>
      </c>
      <c r="P172" s="233">
        <v>800</v>
      </c>
      <c r="Q172" s="233">
        <v>1000</v>
      </c>
      <c r="R172" s="232" t="str">
        <f>IF((L173=""),"",((M172-N172)/(M172+N172))*100)</f>
        <v/>
      </c>
      <c r="S172" s="233">
        <v>20</v>
      </c>
      <c r="T172" s="236" t="str">
        <f>IF(L173="","",IF(R269&lt;20,(IF(O172&gt;19000,IF(O172&lt;49000,"Pass","Fail"),"Fail"))))</f>
        <v/>
      </c>
      <c r="U172" s="232"/>
      <c r="V172" s="237"/>
    </row>
    <row r="173" spans="1:22" x14ac:dyDescent="0.3">
      <c r="A173" s="238"/>
      <c r="B173" s="240"/>
      <c r="C173" s="71" t="s">
        <v>89</v>
      </c>
      <c r="M173" s="232"/>
      <c r="N173" s="232"/>
      <c r="O173" s="232"/>
      <c r="P173" s="234"/>
      <c r="Q173" s="234"/>
      <c r="R173" s="232"/>
      <c r="S173" s="234"/>
      <c r="T173" s="236"/>
      <c r="U173" s="232"/>
      <c r="V173" s="237"/>
    </row>
    <row r="174" spans="1:22" ht="39.9" x14ac:dyDescent="0.3">
      <c r="A174" s="238"/>
      <c r="B174" s="241"/>
      <c r="C174" s="71" t="s">
        <v>123</v>
      </c>
      <c r="D174" s="38" t="str">
        <f t="shared" ref="D174:L174" si="54">IF(((D172="")*AND(D173="")),"",(D172-D173)*60/70)</f>
        <v/>
      </c>
      <c r="E174" s="38" t="str">
        <f t="shared" si="54"/>
        <v/>
      </c>
      <c r="F174" s="38" t="str">
        <f t="shared" si="54"/>
        <v/>
      </c>
      <c r="G174" s="38" t="str">
        <f t="shared" si="54"/>
        <v/>
      </c>
      <c r="H174" s="38" t="str">
        <f t="shared" si="54"/>
        <v/>
      </c>
      <c r="I174" s="38" t="str">
        <f t="shared" si="54"/>
        <v/>
      </c>
      <c r="J174" s="38" t="str">
        <f t="shared" si="54"/>
        <v/>
      </c>
      <c r="K174" s="38" t="str">
        <f t="shared" si="54"/>
        <v/>
      </c>
      <c r="L174" s="38" t="str">
        <f t="shared" si="54"/>
        <v/>
      </c>
      <c r="M174" s="232"/>
      <c r="N174" s="232"/>
      <c r="O174" s="232"/>
      <c r="P174" s="235"/>
      <c r="Q174" s="235"/>
      <c r="R174" s="232"/>
      <c r="S174" s="235"/>
      <c r="T174" s="236"/>
      <c r="U174" s="232"/>
      <c r="V174" s="237"/>
    </row>
    <row r="175" spans="1:22" x14ac:dyDescent="0.3">
      <c r="A175" s="238"/>
      <c r="B175" s="239"/>
      <c r="C175" s="71" t="s">
        <v>88</v>
      </c>
      <c r="M175" s="232" t="str">
        <f>IF((L176=""),"",MAX(D177:L177))</f>
        <v/>
      </c>
      <c r="N175" s="232" t="str">
        <f>IF(L176="","",MIN(D177:L177))</f>
        <v/>
      </c>
      <c r="O175" s="232" t="str">
        <f>IF((L177=""),"",AVERAGE(D177:L177))</f>
        <v/>
      </c>
      <c r="P175" s="233">
        <v>800</v>
      </c>
      <c r="Q175" s="233">
        <v>1000</v>
      </c>
      <c r="R175" s="232" t="str">
        <f>IF((L176=""),"",((M175-N175)/(M175+N175))*100)</f>
        <v/>
      </c>
      <c r="S175" s="233">
        <v>20</v>
      </c>
      <c r="T175" s="236" t="str">
        <f>IF(L176="","",IF(R272&lt;20,(IF(O175&gt;19000,IF(O175&lt;49000,"Pass","Fail"),"Fail"))))</f>
        <v/>
      </c>
      <c r="U175" s="232"/>
      <c r="V175" s="237"/>
    </row>
    <row r="176" spans="1:22" x14ac:dyDescent="0.3">
      <c r="A176" s="238"/>
      <c r="B176" s="240"/>
      <c r="C176" s="71" t="s">
        <v>89</v>
      </c>
      <c r="M176" s="232"/>
      <c r="N176" s="232"/>
      <c r="O176" s="232"/>
      <c r="P176" s="234"/>
      <c r="Q176" s="234"/>
      <c r="R176" s="232"/>
      <c r="S176" s="234"/>
      <c r="T176" s="236"/>
      <c r="U176" s="232"/>
      <c r="V176" s="237"/>
    </row>
    <row r="177" spans="1:22" ht="39.9" x14ac:dyDescent="0.3">
      <c r="A177" s="238"/>
      <c r="B177" s="241"/>
      <c r="C177" s="71" t="s">
        <v>123</v>
      </c>
      <c r="D177" s="38" t="str">
        <f t="shared" ref="D177:L177" si="55">IF(((D175="")*AND(D176="")),"",(D175-D176)*60/70)</f>
        <v/>
      </c>
      <c r="E177" s="38" t="str">
        <f t="shared" si="55"/>
        <v/>
      </c>
      <c r="F177" s="38" t="str">
        <f t="shared" si="55"/>
        <v/>
      </c>
      <c r="G177" s="38" t="str">
        <f t="shared" si="55"/>
        <v/>
      </c>
      <c r="H177" s="38" t="str">
        <f t="shared" si="55"/>
        <v/>
      </c>
      <c r="I177" s="38" t="str">
        <f t="shared" si="55"/>
        <v/>
      </c>
      <c r="J177" s="38" t="str">
        <f t="shared" si="55"/>
        <v/>
      </c>
      <c r="K177" s="38" t="str">
        <f t="shared" si="55"/>
        <v/>
      </c>
      <c r="L177" s="38" t="str">
        <f t="shared" si="55"/>
        <v/>
      </c>
      <c r="M177" s="232"/>
      <c r="N177" s="232"/>
      <c r="O177" s="232"/>
      <c r="P177" s="235"/>
      <c r="Q177" s="235"/>
      <c r="R177" s="232"/>
      <c r="S177" s="235"/>
      <c r="T177" s="236"/>
      <c r="U177" s="232"/>
      <c r="V177" s="237"/>
    </row>
    <row r="178" spans="1:22" x14ac:dyDescent="0.3">
      <c r="A178" s="238"/>
      <c r="B178" s="239"/>
      <c r="C178" s="71" t="s">
        <v>88</v>
      </c>
      <c r="M178" s="232" t="str">
        <f>IF((L179=""),"",MAX(D180:L180))</f>
        <v/>
      </c>
      <c r="N178" s="232" t="str">
        <f>IF(L179="","",MIN(D180:L180))</f>
        <v/>
      </c>
      <c r="O178" s="232" t="str">
        <f>IF((L180=""),"",AVERAGE(D180:L180))</f>
        <v/>
      </c>
      <c r="P178" s="233">
        <v>800</v>
      </c>
      <c r="Q178" s="233">
        <v>1000</v>
      </c>
      <c r="R178" s="232" t="str">
        <f>IF((L179=""),"",((M178-N178)/(M178+N178))*100)</f>
        <v/>
      </c>
      <c r="S178" s="233">
        <v>20</v>
      </c>
      <c r="T178" s="236" t="str">
        <f>IF(L179="","",IF(R275&lt;20,(IF(O178&gt;19000,IF(O178&lt;49000,"Pass","Fail"),"Fail"))))</f>
        <v/>
      </c>
      <c r="U178" s="232"/>
      <c r="V178" s="237"/>
    </row>
    <row r="179" spans="1:22" x14ac:dyDescent="0.3">
      <c r="A179" s="238"/>
      <c r="B179" s="240"/>
      <c r="C179" s="71" t="s">
        <v>89</v>
      </c>
      <c r="M179" s="232"/>
      <c r="N179" s="232"/>
      <c r="O179" s="232"/>
      <c r="P179" s="234"/>
      <c r="Q179" s="234"/>
      <c r="R179" s="232"/>
      <c r="S179" s="234"/>
      <c r="T179" s="236"/>
      <c r="U179" s="232"/>
      <c r="V179" s="237"/>
    </row>
    <row r="180" spans="1:22" ht="39.9" x14ac:dyDescent="0.3">
      <c r="A180" s="238"/>
      <c r="B180" s="241"/>
      <c r="C180" s="71" t="s">
        <v>123</v>
      </c>
      <c r="D180" s="38" t="str">
        <f t="shared" ref="D180:L180" si="56">IF(((D178="")*AND(D179="")),"",(D178-D179)*60/70)</f>
        <v/>
      </c>
      <c r="E180" s="38" t="str">
        <f t="shared" si="56"/>
        <v/>
      </c>
      <c r="F180" s="38" t="str">
        <f t="shared" si="56"/>
        <v/>
      </c>
      <c r="G180" s="38" t="str">
        <f t="shared" si="56"/>
        <v/>
      </c>
      <c r="H180" s="38" t="str">
        <f t="shared" si="56"/>
        <v/>
      </c>
      <c r="I180" s="38" t="str">
        <f t="shared" si="56"/>
        <v/>
      </c>
      <c r="J180" s="38" t="str">
        <f t="shared" si="56"/>
        <v/>
      </c>
      <c r="K180" s="38" t="str">
        <f t="shared" si="56"/>
        <v/>
      </c>
      <c r="L180" s="38" t="str">
        <f t="shared" si="56"/>
        <v/>
      </c>
      <c r="M180" s="232"/>
      <c r="N180" s="232"/>
      <c r="O180" s="232"/>
      <c r="P180" s="235"/>
      <c r="Q180" s="235"/>
      <c r="R180" s="232"/>
      <c r="S180" s="235"/>
      <c r="T180" s="236"/>
      <c r="U180" s="232"/>
      <c r="V180" s="237"/>
    </row>
    <row r="181" spans="1:22" x14ac:dyDescent="0.3">
      <c r="A181" s="238"/>
      <c r="B181" s="239"/>
      <c r="C181" s="71" t="s">
        <v>88</v>
      </c>
      <c r="M181" s="232" t="str">
        <f>IF((L182=""),"",MAX(D183:L183))</f>
        <v/>
      </c>
      <c r="N181" s="232" t="str">
        <f>IF(L182="","",MIN(D183:L183))</f>
        <v/>
      </c>
      <c r="O181" s="232" t="str">
        <f>IF((L183=""),"",AVERAGE(D183:L183))</f>
        <v/>
      </c>
      <c r="P181" s="233">
        <v>800</v>
      </c>
      <c r="Q181" s="233">
        <v>1000</v>
      </c>
      <c r="R181" s="232" t="str">
        <f>IF((L182=""),"",((M181-N181)/(M181+N181))*100)</f>
        <v/>
      </c>
      <c r="S181" s="233">
        <v>20</v>
      </c>
      <c r="T181" s="236" t="str">
        <f>IF(L182="","",IF(R278&lt;20,(IF(O181&gt;19000,IF(O181&lt;49000,"Pass","Fail"),"Fail"))))</f>
        <v/>
      </c>
      <c r="U181" s="232"/>
      <c r="V181" s="237"/>
    </row>
    <row r="182" spans="1:22" x14ac:dyDescent="0.3">
      <c r="A182" s="238"/>
      <c r="B182" s="240"/>
      <c r="C182" s="71" t="s">
        <v>89</v>
      </c>
      <c r="M182" s="232"/>
      <c r="N182" s="232"/>
      <c r="O182" s="232"/>
      <c r="P182" s="234"/>
      <c r="Q182" s="234"/>
      <c r="R182" s="232"/>
      <c r="S182" s="234"/>
      <c r="T182" s="236"/>
      <c r="U182" s="232"/>
      <c r="V182" s="237"/>
    </row>
    <row r="183" spans="1:22" ht="39.9" x14ac:dyDescent="0.3">
      <c r="A183" s="238"/>
      <c r="B183" s="241"/>
      <c r="C183" s="71" t="s">
        <v>123</v>
      </c>
      <c r="D183" s="38" t="str">
        <f t="shared" ref="D183:L183" si="57">IF(((D181="")*AND(D182="")),"",(D181-D182)*60/70)</f>
        <v/>
      </c>
      <c r="E183" s="38" t="str">
        <f t="shared" si="57"/>
        <v/>
      </c>
      <c r="F183" s="38" t="str">
        <f t="shared" si="57"/>
        <v/>
      </c>
      <c r="G183" s="38" t="str">
        <f t="shared" si="57"/>
        <v/>
      </c>
      <c r="H183" s="38" t="str">
        <f t="shared" si="57"/>
        <v/>
      </c>
      <c r="I183" s="38" t="str">
        <f t="shared" si="57"/>
        <v/>
      </c>
      <c r="J183" s="38" t="str">
        <f t="shared" si="57"/>
        <v/>
      </c>
      <c r="K183" s="38" t="str">
        <f t="shared" si="57"/>
        <v/>
      </c>
      <c r="L183" s="38" t="str">
        <f t="shared" si="57"/>
        <v/>
      </c>
      <c r="M183" s="232"/>
      <c r="N183" s="232"/>
      <c r="O183" s="232"/>
      <c r="P183" s="235"/>
      <c r="Q183" s="235"/>
      <c r="R183" s="232"/>
      <c r="S183" s="235"/>
      <c r="T183" s="236"/>
      <c r="U183" s="232"/>
      <c r="V183" s="237"/>
    </row>
    <row r="184" spans="1:22" x14ac:dyDescent="0.3">
      <c r="A184" s="238"/>
      <c r="B184" s="239"/>
      <c r="C184" s="71" t="s">
        <v>88</v>
      </c>
      <c r="M184" s="232" t="str">
        <f>IF((L185=""),"",MAX(D186:L186))</f>
        <v/>
      </c>
      <c r="N184" s="232" t="str">
        <f>IF(L185="","",MIN(D186:L186))</f>
        <v/>
      </c>
      <c r="O184" s="232" t="str">
        <f>IF((L186=""),"",AVERAGE(D186:L186))</f>
        <v/>
      </c>
      <c r="P184" s="233">
        <v>800</v>
      </c>
      <c r="Q184" s="233">
        <v>1000</v>
      </c>
      <c r="R184" s="232" t="str">
        <f>IF((L185=""),"",((M184-N184)/(M184+N184))*100)</f>
        <v/>
      </c>
      <c r="S184" s="233">
        <v>20</v>
      </c>
      <c r="T184" s="236" t="str">
        <f>IF(L185="","",IF(R281&lt;20,(IF(O184&gt;19000,IF(O184&lt;49000,"Pass","Fail"),"Fail"))))</f>
        <v/>
      </c>
      <c r="U184" s="232"/>
      <c r="V184" s="237"/>
    </row>
    <row r="185" spans="1:22" x14ac:dyDescent="0.3">
      <c r="A185" s="238"/>
      <c r="B185" s="240"/>
      <c r="C185" s="71" t="s">
        <v>89</v>
      </c>
      <c r="M185" s="232"/>
      <c r="N185" s="232"/>
      <c r="O185" s="232"/>
      <c r="P185" s="234"/>
      <c r="Q185" s="234"/>
      <c r="R185" s="232"/>
      <c r="S185" s="234"/>
      <c r="T185" s="236"/>
      <c r="U185" s="232"/>
      <c r="V185" s="237"/>
    </row>
    <row r="186" spans="1:22" ht="39.9" x14ac:dyDescent="0.3">
      <c r="A186" s="238"/>
      <c r="B186" s="241"/>
      <c r="C186" s="71" t="s">
        <v>123</v>
      </c>
      <c r="D186" s="38" t="str">
        <f t="shared" ref="D186:L186" si="58">IF(((D184="")*AND(D185="")),"",(D184-D185)*60/70)</f>
        <v/>
      </c>
      <c r="E186" s="38" t="str">
        <f t="shared" si="58"/>
        <v/>
      </c>
      <c r="F186" s="38" t="str">
        <f t="shared" si="58"/>
        <v/>
      </c>
      <c r="G186" s="38" t="str">
        <f t="shared" si="58"/>
        <v/>
      </c>
      <c r="H186" s="38" t="str">
        <f t="shared" si="58"/>
        <v/>
      </c>
      <c r="I186" s="38" t="str">
        <f t="shared" si="58"/>
        <v/>
      </c>
      <c r="J186" s="38" t="str">
        <f t="shared" si="58"/>
        <v/>
      </c>
      <c r="K186" s="38" t="str">
        <f t="shared" si="58"/>
        <v/>
      </c>
      <c r="L186" s="38" t="str">
        <f t="shared" si="58"/>
        <v/>
      </c>
      <c r="M186" s="232"/>
      <c r="N186" s="232"/>
      <c r="O186" s="232"/>
      <c r="P186" s="235"/>
      <c r="Q186" s="235"/>
      <c r="R186" s="232"/>
      <c r="S186" s="235"/>
      <c r="T186" s="236"/>
      <c r="U186" s="232"/>
      <c r="V186" s="237"/>
    </row>
    <row r="187" spans="1:22" x14ac:dyDescent="0.3">
      <c r="A187" s="238"/>
      <c r="B187" s="239"/>
      <c r="C187" s="71" t="s">
        <v>88</v>
      </c>
      <c r="M187" s="232" t="str">
        <f>IF((L188=""),"",MAX(D189:L189))</f>
        <v/>
      </c>
      <c r="N187" s="232" t="str">
        <f>IF(L188="","",MIN(D189:L189))</f>
        <v/>
      </c>
      <c r="O187" s="232" t="str">
        <f>IF((L189=""),"",AVERAGE(D189:L189))</f>
        <v/>
      </c>
      <c r="P187" s="233">
        <v>800</v>
      </c>
      <c r="Q187" s="233">
        <v>1000</v>
      </c>
      <c r="R187" s="232" t="str">
        <f>IF((L188=""),"",((M187-N187)/(M187+N187))*100)</f>
        <v/>
      </c>
      <c r="S187" s="233">
        <v>20</v>
      </c>
      <c r="T187" s="236" t="str">
        <f>IF(L188="","",IF(R284&lt;20,(IF(O187&gt;19000,IF(O187&lt;49000,"Pass","Fail"),"Fail"))))</f>
        <v/>
      </c>
      <c r="U187" s="232"/>
      <c r="V187" s="237"/>
    </row>
    <row r="188" spans="1:22" x14ac:dyDescent="0.3">
      <c r="A188" s="238"/>
      <c r="B188" s="240"/>
      <c r="C188" s="71" t="s">
        <v>89</v>
      </c>
      <c r="M188" s="232"/>
      <c r="N188" s="232"/>
      <c r="O188" s="232"/>
      <c r="P188" s="234"/>
      <c r="Q188" s="234"/>
      <c r="R188" s="232"/>
      <c r="S188" s="234"/>
      <c r="T188" s="236"/>
      <c r="U188" s="232"/>
      <c r="V188" s="237"/>
    </row>
    <row r="189" spans="1:22" ht="39.9" x14ac:dyDescent="0.3">
      <c r="A189" s="238"/>
      <c r="B189" s="241"/>
      <c r="C189" s="71" t="s">
        <v>123</v>
      </c>
      <c r="D189" s="38" t="str">
        <f t="shared" ref="D189:L189" si="59">IF(((D187="")*AND(D188="")),"",(D187-D188)*60/70)</f>
        <v/>
      </c>
      <c r="E189" s="38" t="str">
        <f t="shared" si="59"/>
        <v/>
      </c>
      <c r="F189" s="38" t="str">
        <f t="shared" si="59"/>
        <v/>
      </c>
      <c r="G189" s="38" t="str">
        <f t="shared" si="59"/>
        <v/>
      </c>
      <c r="H189" s="38" t="str">
        <f t="shared" si="59"/>
        <v/>
      </c>
      <c r="I189" s="38" t="str">
        <f t="shared" si="59"/>
        <v/>
      </c>
      <c r="J189" s="38" t="str">
        <f t="shared" si="59"/>
        <v/>
      </c>
      <c r="K189" s="38" t="str">
        <f t="shared" si="59"/>
        <v/>
      </c>
      <c r="L189" s="38" t="str">
        <f t="shared" si="59"/>
        <v/>
      </c>
      <c r="M189" s="232"/>
      <c r="N189" s="232"/>
      <c r="O189" s="232"/>
      <c r="P189" s="235"/>
      <c r="Q189" s="235"/>
      <c r="R189" s="232"/>
      <c r="S189" s="235"/>
      <c r="T189" s="236"/>
      <c r="U189" s="232"/>
      <c r="V189" s="237"/>
    </row>
    <row r="190" spans="1:22" x14ac:dyDescent="0.3">
      <c r="A190" s="238"/>
      <c r="B190" s="239"/>
      <c r="C190" s="71" t="s">
        <v>88</v>
      </c>
      <c r="M190" s="232" t="str">
        <f>IF((L191=""),"",MAX(D192:L192))</f>
        <v/>
      </c>
      <c r="N190" s="232" t="str">
        <f>IF(L191="","",MIN(D192:L192))</f>
        <v/>
      </c>
      <c r="O190" s="232" t="str">
        <f>IF((L192=""),"",AVERAGE(D192:L192))</f>
        <v/>
      </c>
      <c r="P190" s="233">
        <v>800</v>
      </c>
      <c r="Q190" s="233">
        <v>1000</v>
      </c>
      <c r="R190" s="232" t="str">
        <f>IF((L191=""),"",((M190-N190)/(M190+N190))*100)</f>
        <v/>
      </c>
      <c r="S190" s="233">
        <v>20</v>
      </c>
      <c r="T190" s="236" t="str">
        <f>IF(L191="","",IF(R287&lt;20,(IF(O190&gt;19000,IF(O190&lt;49000,"Pass","Fail"),"Fail"))))</f>
        <v/>
      </c>
      <c r="U190" s="232"/>
      <c r="V190" s="237"/>
    </row>
    <row r="191" spans="1:22" x14ac:dyDescent="0.3">
      <c r="A191" s="238"/>
      <c r="B191" s="240"/>
      <c r="C191" s="71" t="s">
        <v>89</v>
      </c>
      <c r="M191" s="232"/>
      <c r="N191" s="232"/>
      <c r="O191" s="232"/>
      <c r="P191" s="234"/>
      <c r="Q191" s="234"/>
      <c r="R191" s="232"/>
      <c r="S191" s="234"/>
      <c r="T191" s="236"/>
      <c r="U191" s="232"/>
      <c r="V191" s="237"/>
    </row>
    <row r="192" spans="1:22" ht="39.9" x14ac:dyDescent="0.3">
      <c r="A192" s="238"/>
      <c r="B192" s="241"/>
      <c r="C192" s="71" t="s">
        <v>123</v>
      </c>
      <c r="D192" s="38" t="str">
        <f t="shared" ref="D192:L192" si="60">IF(((D190="")*AND(D191="")),"",(D190-D191)*60/70)</f>
        <v/>
      </c>
      <c r="E192" s="38" t="str">
        <f t="shared" si="60"/>
        <v/>
      </c>
      <c r="F192" s="38" t="str">
        <f t="shared" si="60"/>
        <v/>
      </c>
      <c r="G192" s="38" t="str">
        <f t="shared" si="60"/>
        <v/>
      </c>
      <c r="H192" s="38" t="str">
        <f t="shared" si="60"/>
        <v/>
      </c>
      <c r="I192" s="38" t="str">
        <f t="shared" si="60"/>
        <v/>
      </c>
      <c r="J192" s="38" t="str">
        <f t="shared" si="60"/>
        <v/>
      </c>
      <c r="K192" s="38" t="str">
        <f t="shared" si="60"/>
        <v/>
      </c>
      <c r="L192" s="38" t="str">
        <f t="shared" si="60"/>
        <v/>
      </c>
      <c r="M192" s="232"/>
      <c r="N192" s="232"/>
      <c r="O192" s="232"/>
      <c r="P192" s="235"/>
      <c r="Q192" s="235"/>
      <c r="R192" s="232"/>
      <c r="S192" s="235"/>
      <c r="T192" s="236"/>
      <c r="U192" s="232"/>
      <c r="V192" s="237"/>
    </row>
    <row r="193" spans="1:22" x14ac:dyDescent="0.3">
      <c r="A193" s="238"/>
      <c r="B193" s="239"/>
      <c r="C193" s="71" t="s">
        <v>88</v>
      </c>
      <c r="M193" s="232" t="str">
        <f>IF((L194=""),"",MAX(D195:L195))</f>
        <v/>
      </c>
      <c r="N193" s="232" t="str">
        <f>IF(L194="","",MIN(D195:L195))</f>
        <v/>
      </c>
      <c r="O193" s="232" t="str">
        <f>IF((L195=""),"",AVERAGE(D195:L195))</f>
        <v/>
      </c>
      <c r="P193" s="233">
        <v>800</v>
      </c>
      <c r="Q193" s="233">
        <v>1000</v>
      </c>
      <c r="R193" s="232" t="str">
        <f>IF((L194=""),"",((M193-N193)/(M193+N193))*100)</f>
        <v/>
      </c>
      <c r="S193" s="233">
        <v>20</v>
      </c>
      <c r="T193" s="236" t="str">
        <f>IF(L194="","",IF(R290&lt;20,(IF(O193&gt;19000,IF(O193&lt;49000,"Pass","Fail"),"Fail"))))</f>
        <v/>
      </c>
      <c r="U193" s="232"/>
      <c r="V193" s="237"/>
    </row>
    <row r="194" spans="1:22" x14ac:dyDescent="0.3">
      <c r="A194" s="238"/>
      <c r="B194" s="240"/>
      <c r="C194" s="71" t="s">
        <v>89</v>
      </c>
      <c r="M194" s="232"/>
      <c r="N194" s="232"/>
      <c r="O194" s="232"/>
      <c r="P194" s="234"/>
      <c r="Q194" s="234"/>
      <c r="R194" s="232"/>
      <c r="S194" s="234"/>
      <c r="T194" s="236"/>
      <c r="U194" s="232"/>
      <c r="V194" s="237"/>
    </row>
    <row r="195" spans="1:22" ht="39.9" x14ac:dyDescent="0.3">
      <c r="A195" s="238"/>
      <c r="B195" s="241"/>
      <c r="C195" s="71" t="s">
        <v>123</v>
      </c>
      <c r="D195" s="38" t="str">
        <f t="shared" ref="D195:L195" si="61">IF(((D193="")*AND(D194="")),"",(D193-D194)*60/70)</f>
        <v/>
      </c>
      <c r="E195" s="38" t="str">
        <f t="shared" si="61"/>
        <v/>
      </c>
      <c r="F195" s="38" t="str">
        <f t="shared" si="61"/>
        <v/>
      </c>
      <c r="G195" s="38" t="str">
        <f t="shared" si="61"/>
        <v/>
      </c>
      <c r="H195" s="38" t="str">
        <f t="shared" si="61"/>
        <v/>
      </c>
      <c r="I195" s="38" t="str">
        <f t="shared" si="61"/>
        <v/>
      </c>
      <c r="J195" s="38" t="str">
        <f t="shared" si="61"/>
        <v/>
      </c>
      <c r="K195" s="38" t="str">
        <f t="shared" si="61"/>
        <v/>
      </c>
      <c r="L195" s="38" t="str">
        <f t="shared" si="61"/>
        <v/>
      </c>
      <c r="M195" s="232"/>
      <c r="N195" s="232"/>
      <c r="O195" s="232"/>
      <c r="P195" s="235"/>
      <c r="Q195" s="235"/>
      <c r="R195" s="232"/>
      <c r="S195" s="235"/>
      <c r="T195" s="236"/>
      <c r="U195" s="232"/>
      <c r="V195" s="237"/>
    </row>
    <row r="196" spans="1:22" x14ac:dyDescent="0.3">
      <c r="A196" s="238"/>
      <c r="B196" s="239"/>
      <c r="C196" s="71" t="s">
        <v>88</v>
      </c>
      <c r="M196" s="232" t="str">
        <f>IF((L197=""),"",MAX(D198:L198))</f>
        <v/>
      </c>
      <c r="N196" s="232" t="str">
        <f>IF(L197="","",MIN(D198:L198))</f>
        <v/>
      </c>
      <c r="O196" s="232" t="str">
        <f>IF((L198=""),"",AVERAGE(D198:L198))</f>
        <v/>
      </c>
      <c r="P196" s="233">
        <v>800</v>
      </c>
      <c r="Q196" s="233">
        <v>1000</v>
      </c>
      <c r="R196" s="232" t="str">
        <f>IF((L197=""),"",((M196-N196)/(M196+N196))*100)</f>
        <v/>
      </c>
      <c r="S196" s="233">
        <v>20</v>
      </c>
      <c r="T196" s="236" t="str">
        <f>IF(L197="","",IF(R293&lt;20,(IF(O196&gt;19000,IF(O196&lt;49000,"Pass","Fail"),"Fail"))))</f>
        <v/>
      </c>
      <c r="U196" s="232"/>
      <c r="V196" s="237"/>
    </row>
    <row r="197" spans="1:22" x14ac:dyDescent="0.3">
      <c r="A197" s="238"/>
      <c r="B197" s="240"/>
      <c r="C197" s="71" t="s">
        <v>89</v>
      </c>
      <c r="M197" s="232"/>
      <c r="N197" s="232"/>
      <c r="O197" s="232"/>
      <c r="P197" s="234"/>
      <c r="Q197" s="234"/>
      <c r="R197" s="232"/>
      <c r="S197" s="234"/>
      <c r="T197" s="236"/>
      <c r="U197" s="232"/>
      <c r="V197" s="237"/>
    </row>
    <row r="198" spans="1:22" ht="39.9" x14ac:dyDescent="0.3">
      <c r="A198" s="238"/>
      <c r="B198" s="241"/>
      <c r="C198" s="71" t="s">
        <v>123</v>
      </c>
      <c r="D198" s="38" t="str">
        <f t="shared" ref="D198:L198" si="62">IF(((D196="")*AND(D197="")),"",(D196-D197)*60/70)</f>
        <v/>
      </c>
      <c r="E198" s="38" t="str">
        <f t="shared" si="62"/>
        <v/>
      </c>
      <c r="F198" s="38" t="str">
        <f t="shared" si="62"/>
        <v/>
      </c>
      <c r="G198" s="38" t="str">
        <f t="shared" si="62"/>
        <v/>
      </c>
      <c r="H198" s="38" t="str">
        <f t="shared" si="62"/>
        <v/>
      </c>
      <c r="I198" s="38" t="str">
        <f t="shared" si="62"/>
        <v/>
      </c>
      <c r="J198" s="38" t="str">
        <f t="shared" si="62"/>
        <v/>
      </c>
      <c r="K198" s="38" t="str">
        <f t="shared" si="62"/>
        <v/>
      </c>
      <c r="L198" s="38" t="str">
        <f t="shared" si="62"/>
        <v/>
      </c>
      <c r="M198" s="232"/>
      <c r="N198" s="232"/>
      <c r="O198" s="232"/>
      <c r="P198" s="235"/>
      <c r="Q198" s="235"/>
      <c r="R198" s="232"/>
      <c r="S198" s="235"/>
      <c r="T198" s="236"/>
      <c r="U198" s="232"/>
      <c r="V198" s="237"/>
    </row>
    <row r="199" spans="1:22" x14ac:dyDescent="0.3">
      <c r="A199" s="238"/>
      <c r="B199" s="239"/>
      <c r="C199" s="71" t="s">
        <v>88</v>
      </c>
      <c r="M199" s="232" t="str">
        <f>IF((L200=""),"",MAX(D201:L201))</f>
        <v/>
      </c>
      <c r="N199" s="232" t="str">
        <f>IF(L200="","",MIN(D201:L201))</f>
        <v/>
      </c>
      <c r="O199" s="232" t="str">
        <f>IF((L201=""),"",AVERAGE(D201:L201))</f>
        <v/>
      </c>
      <c r="P199" s="233">
        <v>800</v>
      </c>
      <c r="Q199" s="233">
        <v>1000</v>
      </c>
      <c r="R199" s="232" t="str">
        <f>IF((L200=""),"",((M199-N199)/(M199+N199))*100)</f>
        <v/>
      </c>
      <c r="S199" s="233">
        <v>20</v>
      </c>
      <c r="T199" s="236" t="str">
        <f>IF(L200="","",IF(R296&lt;20,(IF(O199&gt;19000,IF(O199&lt;49000,"Pass","Fail"),"Fail"))))</f>
        <v/>
      </c>
      <c r="U199" s="232"/>
      <c r="V199" s="237"/>
    </row>
    <row r="200" spans="1:22" x14ac:dyDescent="0.3">
      <c r="A200" s="238"/>
      <c r="B200" s="240"/>
      <c r="C200" s="71" t="s">
        <v>89</v>
      </c>
      <c r="M200" s="232"/>
      <c r="N200" s="232"/>
      <c r="O200" s="232"/>
      <c r="P200" s="234"/>
      <c r="Q200" s="234"/>
      <c r="R200" s="232"/>
      <c r="S200" s="234"/>
      <c r="T200" s="236"/>
      <c r="U200" s="232"/>
      <c r="V200" s="237"/>
    </row>
    <row r="201" spans="1:22" ht="39.9" x14ac:dyDescent="0.3">
      <c r="A201" s="238"/>
      <c r="B201" s="241"/>
      <c r="C201" s="71" t="s">
        <v>123</v>
      </c>
      <c r="D201" s="38" t="str">
        <f t="shared" ref="D201:L201" si="63">IF(((D199="")*AND(D200="")),"",(D199-D200)*60/70)</f>
        <v/>
      </c>
      <c r="E201" s="38" t="str">
        <f t="shared" si="63"/>
        <v/>
      </c>
      <c r="F201" s="38" t="str">
        <f t="shared" si="63"/>
        <v/>
      </c>
      <c r="G201" s="38" t="str">
        <f t="shared" si="63"/>
        <v/>
      </c>
      <c r="H201" s="38" t="str">
        <f t="shared" si="63"/>
        <v/>
      </c>
      <c r="I201" s="38" t="str">
        <f t="shared" si="63"/>
        <v/>
      </c>
      <c r="J201" s="38" t="str">
        <f t="shared" si="63"/>
        <v/>
      </c>
      <c r="K201" s="38" t="str">
        <f t="shared" si="63"/>
        <v/>
      </c>
      <c r="L201" s="38" t="str">
        <f t="shared" si="63"/>
        <v/>
      </c>
      <c r="M201" s="232"/>
      <c r="N201" s="232"/>
      <c r="O201" s="232"/>
      <c r="P201" s="235"/>
      <c r="Q201" s="235"/>
      <c r="R201" s="232"/>
      <c r="S201" s="235"/>
      <c r="T201" s="236"/>
      <c r="U201" s="232"/>
      <c r="V201" s="237"/>
    </row>
    <row r="202" spans="1:22" x14ac:dyDescent="0.3">
      <c r="A202" s="238"/>
      <c r="B202" s="239"/>
      <c r="C202" s="71" t="s">
        <v>88</v>
      </c>
      <c r="M202" s="232" t="str">
        <f>IF((L203=""),"",MAX(D204:L204))</f>
        <v/>
      </c>
      <c r="N202" s="232" t="str">
        <f>IF(L203="","",MIN(D204:L204))</f>
        <v/>
      </c>
      <c r="O202" s="232" t="str">
        <f>IF((L204=""),"",AVERAGE(D204:L204))</f>
        <v/>
      </c>
      <c r="P202" s="233">
        <v>800</v>
      </c>
      <c r="Q202" s="233">
        <v>1000</v>
      </c>
      <c r="R202" s="232" t="str">
        <f>IF((L203=""),"",((M202-N202)/(M202+N202))*100)</f>
        <v/>
      </c>
      <c r="S202" s="233">
        <v>20</v>
      </c>
      <c r="T202" s="236" t="str">
        <f>IF(L203="","",IF(R299&lt;20,(IF(O202&gt;19000,IF(O202&lt;49000,"Pass","Fail"),"Fail"))))</f>
        <v/>
      </c>
      <c r="U202" s="232"/>
      <c r="V202" s="237"/>
    </row>
    <row r="203" spans="1:22" x14ac:dyDescent="0.3">
      <c r="A203" s="238"/>
      <c r="B203" s="240"/>
      <c r="C203" s="71" t="s">
        <v>89</v>
      </c>
      <c r="M203" s="232"/>
      <c r="N203" s="232"/>
      <c r="O203" s="232"/>
      <c r="P203" s="234"/>
      <c r="Q203" s="234"/>
      <c r="R203" s="232"/>
      <c r="S203" s="234"/>
      <c r="T203" s="236"/>
      <c r="U203" s="232"/>
      <c r="V203" s="237"/>
    </row>
    <row r="204" spans="1:22" ht="39.9" x14ac:dyDescent="0.3">
      <c r="A204" s="238"/>
      <c r="B204" s="241"/>
      <c r="C204" s="71" t="s">
        <v>123</v>
      </c>
      <c r="D204" s="38" t="str">
        <f t="shared" ref="D204:L204" si="64">IF(((D202="")*AND(D203="")),"",(D202-D203)*60/70)</f>
        <v/>
      </c>
      <c r="E204" s="38" t="str">
        <f t="shared" si="64"/>
        <v/>
      </c>
      <c r="F204" s="38" t="str">
        <f t="shared" si="64"/>
        <v/>
      </c>
      <c r="G204" s="38" t="str">
        <f t="shared" si="64"/>
        <v/>
      </c>
      <c r="H204" s="38" t="str">
        <f t="shared" si="64"/>
        <v/>
      </c>
      <c r="I204" s="38" t="str">
        <f t="shared" si="64"/>
        <v/>
      </c>
      <c r="J204" s="38" t="str">
        <f t="shared" si="64"/>
        <v/>
      </c>
      <c r="K204" s="38" t="str">
        <f t="shared" si="64"/>
        <v/>
      </c>
      <c r="L204" s="38" t="str">
        <f t="shared" si="64"/>
        <v/>
      </c>
      <c r="M204" s="232"/>
      <c r="N204" s="232"/>
      <c r="O204" s="232"/>
      <c r="P204" s="235"/>
      <c r="Q204" s="235"/>
      <c r="R204" s="232"/>
      <c r="S204" s="235"/>
      <c r="T204" s="236"/>
      <c r="U204" s="232"/>
      <c r="V204" s="237"/>
    </row>
    <row r="205" spans="1:22" x14ac:dyDescent="0.3">
      <c r="A205" s="238"/>
      <c r="B205" s="239"/>
      <c r="C205" s="71" t="s">
        <v>88</v>
      </c>
      <c r="M205" s="232" t="str">
        <f>IF((L206=""),"",MAX(D207:L207))</f>
        <v/>
      </c>
      <c r="N205" s="232" t="str">
        <f>IF(L206="","",MIN(D207:L207))</f>
        <v/>
      </c>
      <c r="O205" s="232" t="str">
        <f>IF((L207=""),"",AVERAGE(D207:L207))</f>
        <v/>
      </c>
      <c r="P205" s="233">
        <v>800</v>
      </c>
      <c r="Q205" s="233">
        <v>1000</v>
      </c>
      <c r="R205" s="232" t="str">
        <f>IF((L206=""),"",((M205-N205)/(M205+N205))*100)</f>
        <v/>
      </c>
      <c r="S205" s="233">
        <v>20</v>
      </c>
      <c r="T205" s="236" t="str">
        <f>IF(L206="","",IF(R302&lt;20,(IF(O205&gt;19000,IF(O205&lt;49000,"Pass","Fail"),"Fail"))))</f>
        <v/>
      </c>
      <c r="U205" s="232"/>
      <c r="V205" s="237"/>
    </row>
    <row r="206" spans="1:22" x14ac:dyDescent="0.3">
      <c r="A206" s="238"/>
      <c r="B206" s="240"/>
      <c r="C206" s="71" t="s">
        <v>89</v>
      </c>
      <c r="M206" s="232"/>
      <c r="N206" s="232"/>
      <c r="O206" s="232"/>
      <c r="P206" s="234"/>
      <c r="Q206" s="234"/>
      <c r="R206" s="232"/>
      <c r="S206" s="234"/>
      <c r="T206" s="236"/>
      <c r="U206" s="232"/>
      <c r="V206" s="237"/>
    </row>
    <row r="207" spans="1:22" ht="39.9" x14ac:dyDescent="0.3">
      <c r="A207" s="238"/>
      <c r="B207" s="241"/>
      <c r="C207" s="71" t="s">
        <v>123</v>
      </c>
      <c r="D207" s="38" t="str">
        <f t="shared" ref="D207:L207" si="65">IF(((D205="")*AND(D206="")),"",(D205-D206)*60/70)</f>
        <v/>
      </c>
      <c r="E207" s="38" t="str">
        <f t="shared" si="65"/>
        <v/>
      </c>
      <c r="F207" s="38" t="str">
        <f t="shared" si="65"/>
        <v/>
      </c>
      <c r="G207" s="38" t="str">
        <f t="shared" si="65"/>
        <v/>
      </c>
      <c r="H207" s="38" t="str">
        <f t="shared" si="65"/>
        <v/>
      </c>
      <c r="I207" s="38" t="str">
        <f t="shared" si="65"/>
        <v/>
      </c>
      <c r="J207" s="38" t="str">
        <f t="shared" si="65"/>
        <v/>
      </c>
      <c r="K207" s="38" t="str">
        <f t="shared" si="65"/>
        <v/>
      </c>
      <c r="L207" s="38" t="str">
        <f t="shared" si="65"/>
        <v/>
      </c>
      <c r="M207" s="232"/>
      <c r="N207" s="232"/>
      <c r="O207" s="232"/>
      <c r="P207" s="235"/>
      <c r="Q207" s="235"/>
      <c r="R207" s="232"/>
      <c r="S207" s="235"/>
      <c r="T207" s="236"/>
      <c r="U207" s="232"/>
      <c r="V207" s="237"/>
    </row>
    <row r="208" spans="1:22" x14ac:dyDescent="0.3">
      <c r="A208" s="238"/>
      <c r="B208" s="239"/>
      <c r="C208" s="71" t="s">
        <v>88</v>
      </c>
      <c r="M208" s="232" t="str">
        <f>IF((L209=""),"",MAX(D210:L210))</f>
        <v/>
      </c>
      <c r="N208" s="232" t="str">
        <f>IF(L209="","",MIN(D210:L210))</f>
        <v/>
      </c>
      <c r="O208" s="232" t="str">
        <f>IF((L210=""),"",AVERAGE(D210:L210))</f>
        <v/>
      </c>
      <c r="P208" s="233">
        <v>800</v>
      </c>
      <c r="Q208" s="233">
        <v>1000</v>
      </c>
      <c r="R208" s="232" t="str">
        <f>IF((L209=""),"",((M208-N208)/(M208+N208))*100)</f>
        <v/>
      </c>
      <c r="S208" s="233">
        <v>20</v>
      </c>
      <c r="T208" s="236" t="str">
        <f>IF(L209="","",IF(R305&lt;20,(IF(O208&gt;19000,IF(O208&lt;49000,"Pass","Fail"),"Fail"))))</f>
        <v/>
      </c>
      <c r="U208" s="232"/>
      <c r="V208" s="237"/>
    </row>
    <row r="209" spans="1:22" x14ac:dyDescent="0.3">
      <c r="A209" s="238"/>
      <c r="B209" s="240"/>
      <c r="C209" s="71" t="s">
        <v>89</v>
      </c>
      <c r="M209" s="232"/>
      <c r="N209" s="232"/>
      <c r="O209" s="232"/>
      <c r="P209" s="234"/>
      <c r="Q209" s="234"/>
      <c r="R209" s="232"/>
      <c r="S209" s="234"/>
      <c r="T209" s="236"/>
      <c r="U209" s="232"/>
      <c r="V209" s="237"/>
    </row>
    <row r="210" spans="1:22" ht="39.9" x14ac:dyDescent="0.3">
      <c r="A210" s="238"/>
      <c r="B210" s="241"/>
      <c r="C210" s="71" t="s">
        <v>123</v>
      </c>
      <c r="D210" s="38" t="str">
        <f t="shared" ref="D210:L210" si="66">IF(((D208="")*AND(D209="")),"",(D208-D209)*60/70)</f>
        <v/>
      </c>
      <c r="E210" s="38" t="str">
        <f t="shared" si="66"/>
        <v/>
      </c>
      <c r="F210" s="38" t="str">
        <f t="shared" si="66"/>
        <v/>
      </c>
      <c r="G210" s="38" t="str">
        <f t="shared" si="66"/>
        <v/>
      </c>
      <c r="H210" s="38" t="str">
        <f t="shared" si="66"/>
        <v/>
      </c>
      <c r="I210" s="38" t="str">
        <f t="shared" si="66"/>
        <v/>
      </c>
      <c r="J210" s="38" t="str">
        <f t="shared" si="66"/>
        <v/>
      </c>
      <c r="K210" s="38" t="str">
        <f t="shared" si="66"/>
        <v/>
      </c>
      <c r="L210" s="38" t="str">
        <f t="shared" si="66"/>
        <v/>
      </c>
      <c r="M210" s="232"/>
      <c r="N210" s="232"/>
      <c r="O210" s="232"/>
      <c r="P210" s="235"/>
      <c r="Q210" s="235"/>
      <c r="R210" s="232"/>
      <c r="S210" s="235"/>
      <c r="T210" s="236"/>
      <c r="U210" s="232"/>
      <c r="V210" s="237"/>
    </row>
    <row r="211" spans="1:22" x14ac:dyDescent="0.3">
      <c r="A211" s="238"/>
      <c r="B211" s="239"/>
      <c r="C211" s="71" t="s">
        <v>88</v>
      </c>
      <c r="M211" s="232" t="str">
        <f>IF((L212=""),"",MAX(D213:L213))</f>
        <v/>
      </c>
      <c r="N211" s="232" t="str">
        <f>IF(L212="","",MIN(D213:L213))</f>
        <v/>
      </c>
      <c r="O211" s="232" t="str">
        <f>IF((L213=""),"",AVERAGE(D213:L213))</f>
        <v/>
      </c>
      <c r="P211" s="233">
        <v>800</v>
      </c>
      <c r="Q211" s="233">
        <v>1000</v>
      </c>
      <c r="R211" s="232" t="str">
        <f>IF((L212=""),"",((M211-N211)/(M211+N211))*100)</f>
        <v/>
      </c>
      <c r="S211" s="233">
        <v>20</v>
      </c>
      <c r="T211" s="236" t="str">
        <f>IF(L212="","",IF(R308&lt;20,(IF(O211&gt;19000,IF(O211&lt;49000,"Pass","Fail"),"Fail"))))</f>
        <v/>
      </c>
      <c r="U211" s="232"/>
      <c r="V211" s="237"/>
    </row>
    <row r="212" spans="1:22" x14ac:dyDescent="0.3">
      <c r="A212" s="238"/>
      <c r="B212" s="240"/>
      <c r="C212" s="71" t="s">
        <v>89</v>
      </c>
      <c r="M212" s="232"/>
      <c r="N212" s="232"/>
      <c r="O212" s="232"/>
      <c r="P212" s="234"/>
      <c r="Q212" s="234"/>
      <c r="R212" s="232"/>
      <c r="S212" s="234"/>
      <c r="T212" s="236"/>
      <c r="U212" s="232"/>
      <c r="V212" s="237"/>
    </row>
    <row r="213" spans="1:22" ht="39.9" x14ac:dyDescent="0.3">
      <c r="A213" s="238"/>
      <c r="B213" s="241"/>
      <c r="C213" s="71" t="s">
        <v>123</v>
      </c>
      <c r="D213" s="38" t="str">
        <f t="shared" ref="D213:L213" si="67">IF(((D211="")*AND(D212="")),"",(D211-D212)*60/70)</f>
        <v/>
      </c>
      <c r="E213" s="38" t="str">
        <f t="shared" si="67"/>
        <v/>
      </c>
      <c r="F213" s="38" t="str">
        <f t="shared" si="67"/>
        <v/>
      </c>
      <c r="G213" s="38" t="str">
        <f t="shared" si="67"/>
        <v/>
      </c>
      <c r="H213" s="38" t="str">
        <f t="shared" si="67"/>
        <v/>
      </c>
      <c r="I213" s="38" t="str">
        <f t="shared" si="67"/>
        <v/>
      </c>
      <c r="J213" s="38" t="str">
        <f t="shared" si="67"/>
        <v/>
      </c>
      <c r="K213" s="38" t="str">
        <f t="shared" si="67"/>
        <v/>
      </c>
      <c r="L213" s="38" t="str">
        <f t="shared" si="67"/>
        <v/>
      </c>
      <c r="M213" s="232"/>
      <c r="N213" s="232"/>
      <c r="O213" s="232"/>
      <c r="P213" s="235"/>
      <c r="Q213" s="235"/>
      <c r="R213" s="232"/>
      <c r="S213" s="235"/>
      <c r="T213" s="236"/>
      <c r="U213" s="232"/>
      <c r="V213" s="237"/>
    </row>
    <row r="214" spans="1:22" x14ac:dyDescent="0.3">
      <c r="A214" s="238"/>
      <c r="B214" s="239"/>
      <c r="C214" s="71" t="s">
        <v>88</v>
      </c>
      <c r="M214" s="232" t="str">
        <f>IF((L215=""),"",MAX(D216:L216))</f>
        <v/>
      </c>
      <c r="N214" s="232" t="str">
        <f>IF(L215="","",MIN(D216:L216))</f>
        <v/>
      </c>
      <c r="O214" s="232" t="str">
        <f>IF((L216=""),"",AVERAGE(D216:L216))</f>
        <v/>
      </c>
      <c r="P214" s="233">
        <v>800</v>
      </c>
      <c r="Q214" s="233">
        <v>1000</v>
      </c>
      <c r="R214" s="232" t="str">
        <f>IF((L215=""),"",((M214-N214)/(M214+N214))*100)</f>
        <v/>
      </c>
      <c r="S214" s="233">
        <v>20</v>
      </c>
      <c r="T214" s="236" t="str">
        <f>IF(L215="","",IF(R311&lt;20,(IF(O214&gt;19000,IF(O214&lt;49000,"Pass","Fail"),"Fail"))))</f>
        <v/>
      </c>
      <c r="U214" s="232"/>
      <c r="V214" s="237"/>
    </row>
    <row r="215" spans="1:22" x14ac:dyDescent="0.3">
      <c r="A215" s="238"/>
      <c r="B215" s="240"/>
      <c r="C215" s="71" t="s">
        <v>89</v>
      </c>
      <c r="M215" s="232"/>
      <c r="N215" s="232"/>
      <c r="O215" s="232"/>
      <c r="P215" s="234"/>
      <c r="Q215" s="234"/>
      <c r="R215" s="232"/>
      <c r="S215" s="234"/>
      <c r="T215" s="236"/>
      <c r="U215" s="232"/>
      <c r="V215" s="237"/>
    </row>
    <row r="216" spans="1:22" ht="39.9" x14ac:dyDescent="0.3">
      <c r="A216" s="238"/>
      <c r="B216" s="241"/>
      <c r="C216" s="71" t="s">
        <v>123</v>
      </c>
      <c r="D216" s="38" t="str">
        <f t="shared" ref="D216:L216" si="68">IF(((D214="")*AND(D215="")),"",(D214-D215)*60/70)</f>
        <v/>
      </c>
      <c r="E216" s="38" t="str">
        <f t="shared" si="68"/>
        <v/>
      </c>
      <c r="F216" s="38" t="str">
        <f t="shared" si="68"/>
        <v/>
      </c>
      <c r="G216" s="38" t="str">
        <f t="shared" si="68"/>
        <v/>
      </c>
      <c r="H216" s="38" t="str">
        <f t="shared" si="68"/>
        <v/>
      </c>
      <c r="I216" s="38" t="str">
        <f t="shared" si="68"/>
        <v/>
      </c>
      <c r="J216" s="38" t="str">
        <f t="shared" si="68"/>
        <v/>
      </c>
      <c r="K216" s="38" t="str">
        <f t="shared" si="68"/>
        <v/>
      </c>
      <c r="L216" s="38" t="str">
        <f t="shared" si="68"/>
        <v/>
      </c>
      <c r="M216" s="232"/>
      <c r="N216" s="232"/>
      <c r="O216" s="232"/>
      <c r="P216" s="235"/>
      <c r="Q216" s="235"/>
      <c r="R216" s="232"/>
      <c r="S216" s="235"/>
      <c r="T216" s="236"/>
      <c r="U216" s="232"/>
      <c r="V216" s="237"/>
    </row>
    <row r="217" spans="1:22" x14ac:dyDescent="0.3">
      <c r="A217" s="238"/>
      <c r="B217" s="239"/>
      <c r="C217" s="71" t="s">
        <v>88</v>
      </c>
      <c r="M217" s="232" t="str">
        <f>IF((L218=""),"",MAX(D219:L219))</f>
        <v/>
      </c>
      <c r="N217" s="232" t="str">
        <f>IF(L218="","",MIN(D219:L219))</f>
        <v/>
      </c>
      <c r="O217" s="232" t="str">
        <f>IF((L219=""),"",AVERAGE(D219:L219))</f>
        <v/>
      </c>
      <c r="P217" s="233">
        <v>800</v>
      </c>
      <c r="Q217" s="233">
        <v>1000</v>
      </c>
      <c r="R217" s="232" t="str">
        <f>IF((L218=""),"",((M217-N217)/(M217+N217))*100)</f>
        <v/>
      </c>
      <c r="S217" s="233">
        <v>20</v>
      </c>
      <c r="T217" s="236" t="str">
        <f>IF(L218="","",IF(R314&lt;20,(IF(O217&gt;19000,IF(O217&lt;49000,"Pass","Fail"),"Fail"))))</f>
        <v/>
      </c>
      <c r="U217" s="232"/>
      <c r="V217" s="237"/>
    </row>
    <row r="218" spans="1:22" x14ac:dyDescent="0.3">
      <c r="A218" s="238"/>
      <c r="B218" s="240"/>
      <c r="C218" s="71" t="s">
        <v>89</v>
      </c>
      <c r="M218" s="232"/>
      <c r="N218" s="232"/>
      <c r="O218" s="232"/>
      <c r="P218" s="234"/>
      <c r="Q218" s="234"/>
      <c r="R218" s="232"/>
      <c r="S218" s="234"/>
      <c r="T218" s="236"/>
      <c r="U218" s="232"/>
      <c r="V218" s="237"/>
    </row>
    <row r="219" spans="1:22" ht="39.9" x14ac:dyDescent="0.3">
      <c r="A219" s="238"/>
      <c r="B219" s="241"/>
      <c r="C219" s="71" t="s">
        <v>123</v>
      </c>
      <c r="D219" s="38" t="str">
        <f t="shared" ref="D219:L219" si="69">IF(((D217="")*AND(D218="")),"",(D217-D218)*60/70)</f>
        <v/>
      </c>
      <c r="E219" s="38" t="str">
        <f t="shared" si="69"/>
        <v/>
      </c>
      <c r="F219" s="38" t="str">
        <f t="shared" si="69"/>
        <v/>
      </c>
      <c r="G219" s="38" t="str">
        <f t="shared" si="69"/>
        <v/>
      </c>
      <c r="H219" s="38" t="str">
        <f t="shared" si="69"/>
        <v/>
      </c>
      <c r="I219" s="38" t="str">
        <f t="shared" si="69"/>
        <v/>
      </c>
      <c r="J219" s="38" t="str">
        <f t="shared" si="69"/>
        <v/>
      </c>
      <c r="K219" s="38" t="str">
        <f t="shared" si="69"/>
        <v/>
      </c>
      <c r="L219" s="38" t="str">
        <f t="shared" si="69"/>
        <v/>
      </c>
      <c r="M219" s="232"/>
      <c r="N219" s="232"/>
      <c r="O219" s="232"/>
      <c r="P219" s="235"/>
      <c r="Q219" s="235"/>
      <c r="R219" s="232"/>
      <c r="S219" s="235"/>
      <c r="T219" s="236"/>
      <c r="U219" s="232"/>
      <c r="V219" s="237"/>
    </row>
    <row r="220" spans="1:22" x14ac:dyDescent="0.3">
      <c r="A220" s="238"/>
      <c r="B220" s="239"/>
      <c r="C220" s="71" t="s">
        <v>88</v>
      </c>
      <c r="M220" s="232" t="str">
        <f>IF((L221=""),"",MAX(D222:L222))</f>
        <v/>
      </c>
      <c r="N220" s="232" t="str">
        <f>IF(L221="","",MIN(D222:L222))</f>
        <v/>
      </c>
      <c r="O220" s="232" t="str">
        <f>IF((L222=""),"",AVERAGE(D222:L222))</f>
        <v/>
      </c>
      <c r="P220" s="233">
        <v>800</v>
      </c>
      <c r="Q220" s="233">
        <v>1000</v>
      </c>
      <c r="R220" s="232" t="str">
        <f>IF((L221=""),"",((M220-N220)/(M220+N220))*100)</f>
        <v/>
      </c>
      <c r="S220" s="233">
        <v>20</v>
      </c>
      <c r="T220" s="236" t="str">
        <f>IF(L221="","",IF(R317&lt;20,(IF(O220&gt;19000,IF(O220&lt;49000,"Pass","Fail"),"Fail"))))</f>
        <v/>
      </c>
      <c r="U220" s="232"/>
      <c r="V220" s="237"/>
    </row>
    <row r="221" spans="1:22" x14ac:dyDescent="0.3">
      <c r="A221" s="238"/>
      <c r="B221" s="240"/>
      <c r="C221" s="71" t="s">
        <v>89</v>
      </c>
      <c r="M221" s="232"/>
      <c r="N221" s="232"/>
      <c r="O221" s="232"/>
      <c r="P221" s="234"/>
      <c r="Q221" s="234"/>
      <c r="R221" s="232"/>
      <c r="S221" s="234"/>
      <c r="T221" s="236"/>
      <c r="U221" s="232"/>
      <c r="V221" s="237"/>
    </row>
    <row r="222" spans="1:22" ht="39.9" x14ac:dyDescent="0.3">
      <c r="A222" s="238"/>
      <c r="B222" s="241"/>
      <c r="C222" s="71" t="s">
        <v>123</v>
      </c>
      <c r="D222" s="38" t="str">
        <f t="shared" ref="D222:L222" si="70">IF(((D220="")*AND(D221="")),"",(D220-D221)*60/70)</f>
        <v/>
      </c>
      <c r="E222" s="38" t="str">
        <f t="shared" si="70"/>
        <v/>
      </c>
      <c r="F222" s="38" t="str">
        <f t="shared" si="70"/>
        <v/>
      </c>
      <c r="G222" s="38" t="str">
        <f t="shared" si="70"/>
        <v/>
      </c>
      <c r="H222" s="38" t="str">
        <f t="shared" si="70"/>
        <v/>
      </c>
      <c r="I222" s="38" t="str">
        <f t="shared" si="70"/>
        <v/>
      </c>
      <c r="J222" s="38" t="str">
        <f t="shared" si="70"/>
        <v/>
      </c>
      <c r="K222" s="38" t="str">
        <f t="shared" si="70"/>
        <v/>
      </c>
      <c r="L222" s="38" t="str">
        <f t="shared" si="70"/>
        <v/>
      </c>
      <c r="M222" s="232"/>
      <c r="N222" s="232"/>
      <c r="O222" s="232"/>
      <c r="P222" s="235"/>
      <c r="Q222" s="235"/>
      <c r="R222" s="232"/>
      <c r="S222" s="235"/>
      <c r="T222" s="236"/>
      <c r="U222" s="232"/>
      <c r="V222" s="237"/>
    </row>
    <row r="223" spans="1:22" x14ac:dyDescent="0.3">
      <c r="A223" s="238"/>
      <c r="B223" s="239"/>
      <c r="C223" s="71" t="s">
        <v>88</v>
      </c>
      <c r="M223" s="232" t="str">
        <f>IF((L224=""),"",MAX(D225:L225))</f>
        <v/>
      </c>
      <c r="N223" s="232" t="str">
        <f>IF(L224="","",MIN(D225:L225))</f>
        <v/>
      </c>
      <c r="O223" s="232" t="str">
        <f>IF((L225=""),"",AVERAGE(D225:L225))</f>
        <v/>
      </c>
      <c r="P223" s="233">
        <v>800</v>
      </c>
      <c r="Q223" s="233">
        <v>1000</v>
      </c>
      <c r="R223" s="232" t="str">
        <f>IF((L224=""),"",((M223-N223)/(M223+N223))*100)</f>
        <v/>
      </c>
      <c r="S223" s="233">
        <v>20</v>
      </c>
      <c r="T223" s="236" t="str">
        <f>IF(L224="","",IF(R320&lt;20,(IF(O223&gt;19000,IF(O223&lt;49000,"Pass","Fail"),"Fail"))))</f>
        <v/>
      </c>
      <c r="U223" s="232"/>
      <c r="V223" s="237"/>
    </row>
    <row r="224" spans="1:22" x14ac:dyDescent="0.3">
      <c r="A224" s="238"/>
      <c r="B224" s="240"/>
      <c r="C224" s="71" t="s">
        <v>89</v>
      </c>
      <c r="M224" s="232"/>
      <c r="N224" s="232"/>
      <c r="O224" s="232"/>
      <c r="P224" s="234"/>
      <c r="Q224" s="234"/>
      <c r="R224" s="232"/>
      <c r="S224" s="234"/>
      <c r="T224" s="236"/>
      <c r="U224" s="232"/>
      <c r="V224" s="237"/>
    </row>
    <row r="225" spans="1:22" ht="39.9" x14ac:dyDescent="0.3">
      <c r="A225" s="238"/>
      <c r="B225" s="241"/>
      <c r="C225" s="71" t="s">
        <v>123</v>
      </c>
      <c r="D225" s="38" t="str">
        <f t="shared" ref="D225:L225" si="71">IF(((D223="")*AND(D224="")),"",(D223-D224)*60/70)</f>
        <v/>
      </c>
      <c r="E225" s="38" t="str">
        <f t="shared" si="71"/>
        <v/>
      </c>
      <c r="F225" s="38" t="str">
        <f t="shared" si="71"/>
        <v/>
      </c>
      <c r="G225" s="38" t="str">
        <f t="shared" si="71"/>
        <v/>
      </c>
      <c r="H225" s="38" t="str">
        <f t="shared" si="71"/>
        <v/>
      </c>
      <c r="I225" s="38" t="str">
        <f t="shared" si="71"/>
        <v/>
      </c>
      <c r="J225" s="38" t="str">
        <f t="shared" si="71"/>
        <v/>
      </c>
      <c r="K225" s="38" t="str">
        <f t="shared" si="71"/>
        <v/>
      </c>
      <c r="L225" s="38" t="str">
        <f t="shared" si="71"/>
        <v/>
      </c>
      <c r="M225" s="232"/>
      <c r="N225" s="232"/>
      <c r="O225" s="232"/>
      <c r="P225" s="235"/>
      <c r="Q225" s="235"/>
      <c r="R225" s="232"/>
      <c r="S225" s="235"/>
      <c r="T225" s="236"/>
      <c r="U225" s="232"/>
      <c r="V225" s="237"/>
    </row>
    <row r="226" spans="1:22" x14ac:dyDescent="0.3">
      <c r="A226" s="238"/>
      <c r="B226" s="239"/>
      <c r="C226" s="71" t="s">
        <v>88</v>
      </c>
      <c r="M226" s="232" t="str">
        <f>IF((L227=""),"",MAX(D228:L228))</f>
        <v/>
      </c>
      <c r="N226" s="232" t="str">
        <f>IF(L227="","",MIN(D228:L228))</f>
        <v/>
      </c>
      <c r="O226" s="232" t="str">
        <f>IF((L228=""),"",AVERAGE(D228:L228))</f>
        <v/>
      </c>
      <c r="P226" s="233">
        <v>800</v>
      </c>
      <c r="Q226" s="233">
        <v>1000</v>
      </c>
      <c r="R226" s="232" t="str">
        <f>IF((L227=""),"",((M226-N226)/(M226+N226))*100)</f>
        <v/>
      </c>
      <c r="S226" s="233">
        <v>20</v>
      </c>
      <c r="T226" s="236" t="str">
        <f>IF(L227="","",IF(R323&lt;20,(IF(O226&gt;19000,IF(O226&lt;49000,"Pass","Fail"),"Fail"))))</f>
        <v/>
      </c>
      <c r="U226" s="232"/>
      <c r="V226" s="237"/>
    </row>
    <row r="227" spans="1:22" x14ac:dyDescent="0.3">
      <c r="A227" s="238"/>
      <c r="B227" s="240"/>
      <c r="C227" s="71" t="s">
        <v>89</v>
      </c>
      <c r="M227" s="232"/>
      <c r="N227" s="232"/>
      <c r="O227" s="232"/>
      <c r="P227" s="234"/>
      <c r="Q227" s="234"/>
      <c r="R227" s="232"/>
      <c r="S227" s="234"/>
      <c r="T227" s="236"/>
      <c r="U227" s="232"/>
      <c r="V227" s="237"/>
    </row>
    <row r="228" spans="1:22" ht="39.9" x14ac:dyDescent="0.3">
      <c r="A228" s="238"/>
      <c r="B228" s="241"/>
      <c r="C228" s="71" t="s">
        <v>123</v>
      </c>
      <c r="D228" s="38" t="str">
        <f t="shared" ref="D228:L228" si="72">IF(((D226="")*AND(D227="")),"",(D226-D227)*60/70)</f>
        <v/>
      </c>
      <c r="E228" s="38" t="str">
        <f t="shared" si="72"/>
        <v/>
      </c>
      <c r="F228" s="38" t="str">
        <f t="shared" si="72"/>
        <v/>
      </c>
      <c r="G228" s="38" t="str">
        <f t="shared" si="72"/>
        <v/>
      </c>
      <c r="H228" s="38" t="str">
        <f t="shared" si="72"/>
        <v/>
      </c>
      <c r="I228" s="38" t="str">
        <f t="shared" si="72"/>
        <v/>
      </c>
      <c r="J228" s="38" t="str">
        <f t="shared" si="72"/>
        <v/>
      </c>
      <c r="K228" s="38" t="str">
        <f t="shared" si="72"/>
        <v/>
      </c>
      <c r="L228" s="38" t="str">
        <f t="shared" si="72"/>
        <v/>
      </c>
      <c r="M228" s="232"/>
      <c r="N228" s="232"/>
      <c r="O228" s="232"/>
      <c r="P228" s="235"/>
      <c r="Q228" s="235"/>
      <c r="R228" s="232"/>
      <c r="S228" s="235"/>
      <c r="T228" s="236"/>
      <c r="U228" s="232"/>
      <c r="V228" s="237"/>
    </row>
    <row r="229" spans="1:22" x14ac:dyDescent="0.3">
      <c r="A229" s="238"/>
      <c r="B229" s="239"/>
      <c r="C229" s="71" t="s">
        <v>88</v>
      </c>
      <c r="M229" s="232" t="str">
        <f>IF((L230=""),"",MAX(D231:L231))</f>
        <v/>
      </c>
      <c r="N229" s="232" t="str">
        <f>IF(L230="","",MIN(D231:L231))</f>
        <v/>
      </c>
      <c r="O229" s="232" t="str">
        <f>IF((L231=""),"",AVERAGE(D231:L231))</f>
        <v/>
      </c>
      <c r="P229" s="233">
        <v>800</v>
      </c>
      <c r="Q229" s="233">
        <v>1000</v>
      </c>
      <c r="R229" s="232" t="str">
        <f>IF((L230=""),"",((M229-N229)/(M229+N229))*100)</f>
        <v/>
      </c>
      <c r="S229" s="233">
        <v>20</v>
      </c>
      <c r="T229" s="236" t="str">
        <f>IF(L230="","",IF(R326&lt;20,(IF(O229&gt;19000,IF(O229&lt;49000,"Pass","Fail"),"Fail"))))</f>
        <v/>
      </c>
      <c r="U229" s="232"/>
      <c r="V229" s="237"/>
    </row>
    <row r="230" spans="1:22" x14ac:dyDescent="0.3">
      <c r="A230" s="238"/>
      <c r="B230" s="240"/>
      <c r="C230" s="71" t="s">
        <v>89</v>
      </c>
      <c r="M230" s="232"/>
      <c r="N230" s="232"/>
      <c r="O230" s="232"/>
      <c r="P230" s="234"/>
      <c r="Q230" s="234"/>
      <c r="R230" s="232"/>
      <c r="S230" s="234"/>
      <c r="T230" s="236"/>
      <c r="U230" s="232"/>
      <c r="V230" s="237"/>
    </row>
    <row r="231" spans="1:22" ht="39.9" x14ac:dyDescent="0.3">
      <c r="A231" s="238"/>
      <c r="B231" s="241"/>
      <c r="C231" s="71" t="s">
        <v>123</v>
      </c>
      <c r="D231" s="38" t="str">
        <f t="shared" ref="D231:L231" si="73">IF(((D229="")*AND(D230="")),"",(D229-D230)*60/70)</f>
        <v/>
      </c>
      <c r="E231" s="38" t="str">
        <f t="shared" si="73"/>
        <v/>
      </c>
      <c r="F231" s="38" t="str">
        <f t="shared" si="73"/>
        <v/>
      </c>
      <c r="G231" s="38" t="str">
        <f t="shared" si="73"/>
        <v/>
      </c>
      <c r="H231" s="38" t="str">
        <f t="shared" si="73"/>
        <v/>
      </c>
      <c r="I231" s="38" t="str">
        <f t="shared" si="73"/>
        <v/>
      </c>
      <c r="J231" s="38" t="str">
        <f t="shared" si="73"/>
        <v/>
      </c>
      <c r="K231" s="38" t="str">
        <f t="shared" si="73"/>
        <v/>
      </c>
      <c r="L231" s="38" t="str">
        <f t="shared" si="73"/>
        <v/>
      </c>
      <c r="M231" s="232"/>
      <c r="N231" s="232"/>
      <c r="O231" s="232"/>
      <c r="P231" s="235"/>
      <c r="Q231" s="235"/>
      <c r="R231" s="232"/>
      <c r="S231" s="235"/>
      <c r="T231" s="236"/>
      <c r="U231" s="232"/>
      <c r="V231" s="237"/>
    </row>
    <row r="232" spans="1:22" x14ac:dyDescent="0.3">
      <c r="A232" s="238"/>
      <c r="B232" s="239"/>
      <c r="C232" s="71" t="s">
        <v>88</v>
      </c>
      <c r="M232" s="232" t="str">
        <f>IF((L233=""),"",MAX(D234:L234))</f>
        <v/>
      </c>
      <c r="N232" s="232" t="str">
        <f>IF(L233="","",MIN(D234:L234))</f>
        <v/>
      </c>
      <c r="O232" s="232" t="str">
        <f>IF((L234=""),"",AVERAGE(D234:L234))</f>
        <v/>
      </c>
      <c r="P232" s="233">
        <v>800</v>
      </c>
      <c r="Q232" s="233">
        <v>1000</v>
      </c>
      <c r="R232" s="232" t="str">
        <f>IF((L233=""),"",((M232-N232)/(M232+N232))*100)</f>
        <v/>
      </c>
      <c r="S232" s="233">
        <v>20</v>
      </c>
      <c r="T232" s="236" t="str">
        <f>IF(L233="","",IF(R329&lt;20,(IF(O232&gt;19000,IF(O232&lt;49000,"Pass","Fail"),"Fail"))))</f>
        <v/>
      </c>
      <c r="U232" s="232"/>
      <c r="V232" s="237"/>
    </row>
    <row r="233" spans="1:22" x14ac:dyDescent="0.3">
      <c r="A233" s="238"/>
      <c r="B233" s="240"/>
      <c r="C233" s="71" t="s">
        <v>89</v>
      </c>
      <c r="M233" s="232"/>
      <c r="N233" s="232"/>
      <c r="O233" s="232"/>
      <c r="P233" s="234"/>
      <c r="Q233" s="234"/>
      <c r="R233" s="232"/>
      <c r="S233" s="234"/>
      <c r="T233" s="236"/>
      <c r="U233" s="232"/>
      <c r="V233" s="237"/>
    </row>
    <row r="234" spans="1:22" ht="39.9" x14ac:dyDescent="0.3">
      <c r="A234" s="238"/>
      <c r="B234" s="241"/>
      <c r="C234" s="71" t="s">
        <v>123</v>
      </c>
      <c r="D234" s="38" t="str">
        <f t="shared" ref="D234:L234" si="74">IF(((D232="")*AND(D233="")),"",(D232-D233)*60/70)</f>
        <v/>
      </c>
      <c r="E234" s="38" t="str">
        <f t="shared" si="74"/>
        <v/>
      </c>
      <c r="F234" s="38" t="str">
        <f t="shared" si="74"/>
        <v/>
      </c>
      <c r="G234" s="38" t="str">
        <f t="shared" si="74"/>
        <v/>
      </c>
      <c r="H234" s="38" t="str">
        <f t="shared" si="74"/>
        <v/>
      </c>
      <c r="I234" s="38" t="str">
        <f t="shared" si="74"/>
        <v/>
      </c>
      <c r="J234" s="38" t="str">
        <f t="shared" si="74"/>
        <v/>
      </c>
      <c r="K234" s="38" t="str">
        <f t="shared" si="74"/>
        <v/>
      </c>
      <c r="L234" s="38" t="str">
        <f t="shared" si="74"/>
        <v/>
      </c>
      <c r="M234" s="232"/>
      <c r="N234" s="232"/>
      <c r="O234" s="232"/>
      <c r="P234" s="235"/>
      <c r="Q234" s="235"/>
      <c r="R234" s="232"/>
      <c r="S234" s="235"/>
      <c r="T234" s="236"/>
      <c r="U234" s="232"/>
      <c r="V234" s="237"/>
    </row>
    <row r="235" spans="1:22" x14ac:dyDescent="0.3">
      <c r="A235" s="238"/>
      <c r="B235" s="239"/>
      <c r="C235" s="71" t="s">
        <v>88</v>
      </c>
      <c r="M235" s="232" t="str">
        <f>IF((L236=""),"",MAX(D237:L237))</f>
        <v/>
      </c>
      <c r="N235" s="232" t="str">
        <f>IF(L236="","",MIN(D237:L237))</f>
        <v/>
      </c>
      <c r="O235" s="232" t="str">
        <f>IF((L237=""),"",AVERAGE(D237:L237))</f>
        <v/>
      </c>
      <c r="P235" s="233">
        <v>800</v>
      </c>
      <c r="Q235" s="233">
        <v>1000</v>
      </c>
      <c r="R235" s="232" t="str">
        <f>IF((L236=""),"",((M235-N235)/(M235+N235))*100)</f>
        <v/>
      </c>
      <c r="S235" s="233">
        <v>20</v>
      </c>
      <c r="T235" s="236" t="str">
        <f>IF(L236="","",IF(R332&lt;20,(IF(O235&gt;19000,IF(O235&lt;49000,"Pass","Fail"),"Fail"))))</f>
        <v/>
      </c>
      <c r="U235" s="232"/>
      <c r="V235" s="237"/>
    </row>
    <row r="236" spans="1:22" x14ac:dyDescent="0.3">
      <c r="A236" s="238"/>
      <c r="B236" s="240"/>
      <c r="C236" s="71" t="s">
        <v>89</v>
      </c>
      <c r="M236" s="232"/>
      <c r="N236" s="232"/>
      <c r="O236" s="232"/>
      <c r="P236" s="234"/>
      <c r="Q236" s="234"/>
      <c r="R236" s="232"/>
      <c r="S236" s="234"/>
      <c r="T236" s="236"/>
      <c r="U236" s="232"/>
      <c r="V236" s="237"/>
    </row>
    <row r="237" spans="1:22" ht="39.9" x14ac:dyDescent="0.3">
      <c r="A237" s="238"/>
      <c r="B237" s="241"/>
      <c r="C237" s="71" t="s">
        <v>123</v>
      </c>
      <c r="D237" s="38" t="str">
        <f t="shared" ref="D237:L237" si="75">IF(((D235="")*AND(D236="")),"",(D235-D236)*60/70)</f>
        <v/>
      </c>
      <c r="E237" s="38" t="str">
        <f t="shared" si="75"/>
        <v/>
      </c>
      <c r="F237" s="38" t="str">
        <f t="shared" si="75"/>
        <v/>
      </c>
      <c r="G237" s="38" t="str">
        <f t="shared" si="75"/>
        <v/>
      </c>
      <c r="H237" s="38" t="str">
        <f t="shared" si="75"/>
        <v/>
      </c>
      <c r="I237" s="38" t="str">
        <f t="shared" si="75"/>
        <v/>
      </c>
      <c r="J237" s="38" t="str">
        <f t="shared" si="75"/>
        <v/>
      </c>
      <c r="K237" s="38" t="str">
        <f t="shared" si="75"/>
        <v/>
      </c>
      <c r="L237" s="38" t="str">
        <f t="shared" si="75"/>
        <v/>
      </c>
      <c r="M237" s="232"/>
      <c r="N237" s="232"/>
      <c r="O237" s="232"/>
      <c r="P237" s="235"/>
      <c r="Q237" s="235"/>
      <c r="R237" s="232"/>
      <c r="S237" s="235"/>
      <c r="T237" s="236"/>
      <c r="U237" s="232"/>
      <c r="V237" s="237"/>
    </row>
    <row r="238" spans="1:22" x14ac:dyDescent="0.3">
      <c r="A238" s="238"/>
      <c r="B238" s="239"/>
      <c r="C238" s="71" t="s">
        <v>88</v>
      </c>
      <c r="M238" s="232" t="str">
        <f>IF((L239=""),"",MAX(D240:L240))</f>
        <v/>
      </c>
      <c r="N238" s="232" t="str">
        <f>IF(L239="","",MIN(D240:L240))</f>
        <v/>
      </c>
      <c r="O238" s="232" t="str">
        <f>IF((L240=""),"",AVERAGE(D240:L240))</f>
        <v/>
      </c>
      <c r="P238" s="233">
        <v>800</v>
      </c>
      <c r="Q238" s="233">
        <v>1000</v>
      </c>
      <c r="R238" s="232" t="str">
        <f>IF((L239=""),"",((M238-N238)/(M238+N238))*100)</f>
        <v/>
      </c>
      <c r="S238" s="233">
        <v>20</v>
      </c>
      <c r="T238" s="236" t="str">
        <f>IF(L239="","",IF(R335&lt;20,(IF(O238&gt;19000,IF(O238&lt;49000,"Pass","Fail"),"Fail"))))</f>
        <v/>
      </c>
      <c r="U238" s="232"/>
      <c r="V238" s="237"/>
    </row>
    <row r="239" spans="1:22" x14ac:dyDescent="0.3">
      <c r="A239" s="238"/>
      <c r="B239" s="240"/>
      <c r="C239" s="71" t="s">
        <v>89</v>
      </c>
      <c r="M239" s="232"/>
      <c r="N239" s="232"/>
      <c r="O239" s="232"/>
      <c r="P239" s="234"/>
      <c r="Q239" s="234"/>
      <c r="R239" s="232"/>
      <c r="S239" s="234"/>
      <c r="T239" s="236"/>
      <c r="U239" s="232"/>
      <c r="V239" s="237"/>
    </row>
    <row r="240" spans="1:22" ht="39.9" x14ac:dyDescent="0.3">
      <c r="A240" s="238"/>
      <c r="B240" s="241"/>
      <c r="C240" s="71" t="s">
        <v>123</v>
      </c>
      <c r="D240" s="38" t="str">
        <f t="shared" ref="D240:L240" si="76">IF(((D238="")*AND(D239="")),"",(D238-D239)*60/70)</f>
        <v/>
      </c>
      <c r="E240" s="38" t="str">
        <f t="shared" si="76"/>
        <v/>
      </c>
      <c r="F240" s="38" t="str">
        <f t="shared" si="76"/>
        <v/>
      </c>
      <c r="G240" s="38" t="str">
        <f t="shared" si="76"/>
        <v/>
      </c>
      <c r="H240" s="38" t="str">
        <f t="shared" si="76"/>
        <v/>
      </c>
      <c r="I240" s="38" t="str">
        <f t="shared" si="76"/>
        <v/>
      </c>
      <c r="J240" s="38" t="str">
        <f t="shared" si="76"/>
        <v/>
      </c>
      <c r="K240" s="38" t="str">
        <f t="shared" si="76"/>
        <v/>
      </c>
      <c r="L240" s="38" t="str">
        <f t="shared" si="76"/>
        <v/>
      </c>
      <c r="M240" s="232"/>
      <c r="N240" s="232"/>
      <c r="O240" s="232"/>
      <c r="P240" s="235"/>
      <c r="Q240" s="235"/>
      <c r="R240" s="232"/>
      <c r="S240" s="235"/>
      <c r="T240" s="236"/>
      <c r="U240" s="232"/>
      <c r="V240" s="237"/>
    </row>
    <row r="241" spans="1:22" x14ac:dyDescent="0.3">
      <c r="A241" s="238"/>
      <c r="B241" s="239"/>
      <c r="C241" s="71" t="s">
        <v>88</v>
      </c>
      <c r="M241" s="232" t="str">
        <f>IF((L242=""),"",MAX(D243:L243))</f>
        <v/>
      </c>
      <c r="N241" s="232" t="str">
        <f>IF(L242="","",MIN(D243:L243))</f>
        <v/>
      </c>
      <c r="O241" s="232" t="str">
        <f>IF((L243=""),"",AVERAGE(D243:L243))</f>
        <v/>
      </c>
      <c r="P241" s="233">
        <v>800</v>
      </c>
      <c r="Q241" s="233">
        <v>1000</v>
      </c>
      <c r="R241" s="232" t="str">
        <f>IF((L242=""),"",((M241-N241)/(M241+N241))*100)</f>
        <v/>
      </c>
      <c r="S241" s="233">
        <v>20</v>
      </c>
      <c r="T241" s="236" t="str">
        <f>IF(L242="","",IF(R338&lt;20,(IF(O241&gt;19000,IF(O241&lt;49000,"Pass","Fail"),"Fail"))))</f>
        <v/>
      </c>
      <c r="U241" s="232"/>
      <c r="V241" s="237"/>
    </row>
    <row r="242" spans="1:22" x14ac:dyDescent="0.3">
      <c r="A242" s="238"/>
      <c r="B242" s="240"/>
      <c r="C242" s="71" t="s">
        <v>89</v>
      </c>
      <c r="M242" s="232"/>
      <c r="N242" s="232"/>
      <c r="O242" s="232"/>
      <c r="P242" s="234"/>
      <c r="Q242" s="234"/>
      <c r="R242" s="232"/>
      <c r="S242" s="234"/>
      <c r="T242" s="236"/>
      <c r="U242" s="232"/>
      <c r="V242" s="237"/>
    </row>
    <row r="243" spans="1:22" ht="39.9" x14ac:dyDescent="0.3">
      <c r="A243" s="238"/>
      <c r="B243" s="241"/>
      <c r="C243" s="71" t="s">
        <v>123</v>
      </c>
      <c r="D243" s="38" t="str">
        <f t="shared" ref="D243:L243" si="77">IF(((D241="")*AND(D242="")),"",(D241-D242)*60/70)</f>
        <v/>
      </c>
      <c r="E243" s="38" t="str">
        <f t="shared" si="77"/>
        <v/>
      </c>
      <c r="F243" s="38" t="str">
        <f t="shared" si="77"/>
        <v/>
      </c>
      <c r="G243" s="38" t="str">
        <f t="shared" si="77"/>
        <v/>
      </c>
      <c r="H243" s="38" t="str">
        <f t="shared" si="77"/>
        <v/>
      </c>
      <c r="I243" s="38" t="str">
        <f t="shared" si="77"/>
        <v/>
      </c>
      <c r="J243" s="38" t="str">
        <f t="shared" si="77"/>
        <v/>
      </c>
      <c r="K243" s="38" t="str">
        <f t="shared" si="77"/>
        <v/>
      </c>
      <c r="L243" s="38" t="str">
        <f t="shared" si="77"/>
        <v/>
      </c>
      <c r="M243" s="232"/>
      <c r="N243" s="232"/>
      <c r="O243" s="232"/>
      <c r="P243" s="235"/>
      <c r="Q243" s="235"/>
      <c r="R243" s="232"/>
      <c r="S243" s="235"/>
      <c r="T243" s="236"/>
      <c r="U243" s="232"/>
      <c r="V243" s="237"/>
    </row>
    <row r="244" spans="1:22" x14ac:dyDescent="0.3">
      <c r="A244" s="238"/>
      <c r="B244" s="239"/>
      <c r="C244" s="71" t="s">
        <v>88</v>
      </c>
      <c r="M244" s="232" t="str">
        <f>IF((L245=""),"",MAX(D246:L246))</f>
        <v/>
      </c>
      <c r="N244" s="232" t="str">
        <f>IF(L245="","",MIN(D246:L246))</f>
        <v/>
      </c>
      <c r="O244" s="232" t="str">
        <f>IF((L246=""),"",AVERAGE(D246:L246))</f>
        <v/>
      </c>
      <c r="P244" s="233">
        <v>800</v>
      </c>
      <c r="Q244" s="233">
        <v>1000</v>
      </c>
      <c r="R244" s="232" t="str">
        <f>IF((L245=""),"",((M244-N244)/(M244+N244))*100)</f>
        <v/>
      </c>
      <c r="S244" s="233">
        <v>20</v>
      </c>
      <c r="T244" s="236" t="str">
        <f>IF(L245="","",IF(R341&lt;20,(IF(O244&gt;19000,IF(O244&lt;49000,"Pass","Fail"),"Fail"))))</f>
        <v/>
      </c>
      <c r="U244" s="232"/>
      <c r="V244" s="237"/>
    </row>
    <row r="245" spans="1:22" x14ac:dyDescent="0.3">
      <c r="A245" s="238"/>
      <c r="B245" s="240"/>
      <c r="C245" s="71" t="s">
        <v>89</v>
      </c>
      <c r="M245" s="232"/>
      <c r="N245" s="232"/>
      <c r="O245" s="232"/>
      <c r="P245" s="234"/>
      <c r="Q245" s="234"/>
      <c r="R245" s="232"/>
      <c r="S245" s="234"/>
      <c r="T245" s="236"/>
      <c r="U245" s="232"/>
      <c r="V245" s="237"/>
    </row>
    <row r="246" spans="1:22" ht="39.9" x14ac:dyDescent="0.3">
      <c r="A246" s="238"/>
      <c r="B246" s="241"/>
      <c r="C246" s="71" t="s">
        <v>123</v>
      </c>
      <c r="D246" s="38" t="str">
        <f t="shared" ref="D246:L246" si="78">IF(((D244="")*AND(D245="")),"",(D244-D245)*60/70)</f>
        <v/>
      </c>
      <c r="E246" s="38" t="str">
        <f t="shared" si="78"/>
        <v/>
      </c>
      <c r="F246" s="38" t="str">
        <f t="shared" si="78"/>
        <v/>
      </c>
      <c r="G246" s="38" t="str">
        <f t="shared" si="78"/>
        <v/>
      </c>
      <c r="H246" s="38" t="str">
        <f t="shared" si="78"/>
        <v/>
      </c>
      <c r="I246" s="38" t="str">
        <f t="shared" si="78"/>
        <v/>
      </c>
      <c r="J246" s="38" t="str">
        <f t="shared" si="78"/>
        <v/>
      </c>
      <c r="K246" s="38" t="str">
        <f t="shared" si="78"/>
        <v/>
      </c>
      <c r="L246" s="38" t="str">
        <f t="shared" si="78"/>
        <v/>
      </c>
      <c r="M246" s="232"/>
      <c r="N246" s="232"/>
      <c r="O246" s="232"/>
      <c r="P246" s="235"/>
      <c r="Q246" s="235"/>
      <c r="R246" s="232"/>
      <c r="S246" s="235"/>
      <c r="T246" s="236"/>
      <c r="U246" s="232"/>
      <c r="V246" s="237"/>
    </row>
    <row r="247" spans="1:22" x14ac:dyDescent="0.3">
      <c r="A247" s="238"/>
      <c r="B247" s="239"/>
      <c r="C247" s="71" t="s">
        <v>88</v>
      </c>
      <c r="M247" s="232" t="str">
        <f>IF((L248=""),"",MAX(D249:L249))</f>
        <v/>
      </c>
      <c r="N247" s="232" t="str">
        <f>IF(L248="","",MIN(D249:L249))</f>
        <v/>
      </c>
      <c r="O247" s="232" t="str">
        <f>IF((L249=""),"",AVERAGE(D249:L249))</f>
        <v/>
      </c>
      <c r="P247" s="233">
        <v>800</v>
      </c>
      <c r="Q247" s="233">
        <v>1000</v>
      </c>
      <c r="R247" s="232" t="str">
        <f>IF((L248=""),"",((M247-N247)/(M247+N247))*100)</f>
        <v/>
      </c>
      <c r="S247" s="233">
        <v>20</v>
      </c>
      <c r="T247" s="236" t="str">
        <f>IF(L248="","",IF(R344&lt;20,(IF(O247&gt;19000,IF(O247&lt;49000,"Pass","Fail"),"Fail"))))</f>
        <v/>
      </c>
      <c r="U247" s="232"/>
      <c r="V247" s="237"/>
    </row>
    <row r="248" spans="1:22" x14ac:dyDescent="0.3">
      <c r="A248" s="238"/>
      <c r="B248" s="240"/>
      <c r="C248" s="71" t="s">
        <v>89</v>
      </c>
      <c r="M248" s="232"/>
      <c r="N248" s="232"/>
      <c r="O248" s="232"/>
      <c r="P248" s="234"/>
      <c r="Q248" s="234"/>
      <c r="R248" s="232"/>
      <c r="S248" s="234"/>
      <c r="T248" s="236"/>
      <c r="U248" s="232"/>
      <c r="V248" s="237"/>
    </row>
    <row r="249" spans="1:22" ht="39.9" x14ac:dyDescent="0.3">
      <c r="A249" s="238"/>
      <c r="B249" s="241"/>
      <c r="C249" s="71" t="s">
        <v>123</v>
      </c>
      <c r="D249" s="38" t="str">
        <f t="shared" ref="D249:L249" si="79">IF(((D247="")*AND(D248="")),"",(D247-D248)*60/70)</f>
        <v/>
      </c>
      <c r="E249" s="38" t="str">
        <f t="shared" si="79"/>
        <v/>
      </c>
      <c r="F249" s="38" t="str">
        <f t="shared" si="79"/>
        <v/>
      </c>
      <c r="G249" s="38" t="str">
        <f t="shared" si="79"/>
        <v/>
      </c>
      <c r="H249" s="38" t="str">
        <f t="shared" si="79"/>
        <v/>
      </c>
      <c r="I249" s="38" t="str">
        <f t="shared" si="79"/>
        <v/>
      </c>
      <c r="J249" s="38" t="str">
        <f t="shared" si="79"/>
        <v/>
      </c>
      <c r="K249" s="38" t="str">
        <f t="shared" si="79"/>
        <v/>
      </c>
      <c r="L249" s="38" t="str">
        <f t="shared" si="79"/>
        <v/>
      </c>
      <c r="M249" s="232"/>
      <c r="N249" s="232"/>
      <c r="O249" s="232"/>
      <c r="P249" s="235"/>
      <c r="Q249" s="235"/>
      <c r="R249" s="232"/>
      <c r="S249" s="235"/>
      <c r="T249" s="236"/>
      <c r="U249" s="232"/>
      <c r="V249" s="237"/>
    </row>
    <row r="250" spans="1:22" x14ac:dyDescent="0.3">
      <c r="A250" s="238"/>
      <c r="B250" s="239"/>
      <c r="C250" s="71" t="s">
        <v>88</v>
      </c>
      <c r="M250" s="232" t="str">
        <f>IF((L251=""),"",MAX(D252:L252))</f>
        <v/>
      </c>
      <c r="N250" s="232" t="str">
        <f>IF(L251="","",MIN(D252:L252))</f>
        <v/>
      </c>
      <c r="O250" s="232" t="str">
        <f>IF((L252=""),"",AVERAGE(D252:L252))</f>
        <v/>
      </c>
      <c r="P250" s="233">
        <v>800</v>
      </c>
      <c r="Q250" s="233">
        <v>1000</v>
      </c>
      <c r="R250" s="232" t="str">
        <f>IF((L251=""),"",((M250-N250)/(M250+N250))*100)</f>
        <v/>
      </c>
      <c r="S250" s="233">
        <v>20</v>
      </c>
      <c r="T250" s="236" t="str">
        <f>IF(L251="","",IF(R347&lt;20,(IF(O250&gt;19000,IF(O250&lt;49000,"Pass","Fail"),"Fail"))))</f>
        <v/>
      </c>
      <c r="U250" s="232"/>
      <c r="V250" s="237"/>
    </row>
    <row r="251" spans="1:22" x14ac:dyDescent="0.3">
      <c r="A251" s="238"/>
      <c r="B251" s="240"/>
      <c r="C251" s="71" t="s">
        <v>89</v>
      </c>
      <c r="M251" s="232"/>
      <c r="N251" s="232"/>
      <c r="O251" s="232"/>
      <c r="P251" s="234"/>
      <c r="Q251" s="234"/>
      <c r="R251" s="232"/>
      <c r="S251" s="234"/>
      <c r="T251" s="236"/>
      <c r="U251" s="232"/>
      <c r="V251" s="237"/>
    </row>
    <row r="252" spans="1:22" ht="39.9" x14ac:dyDescent="0.3">
      <c r="A252" s="238"/>
      <c r="B252" s="241"/>
      <c r="C252" s="71" t="s">
        <v>123</v>
      </c>
      <c r="D252" s="38" t="str">
        <f t="shared" ref="D252:L252" si="80">IF(((D250="")*AND(D251="")),"",(D250-D251)*60/70)</f>
        <v/>
      </c>
      <c r="E252" s="38" t="str">
        <f t="shared" si="80"/>
        <v/>
      </c>
      <c r="F252" s="38" t="str">
        <f t="shared" si="80"/>
        <v/>
      </c>
      <c r="G252" s="38" t="str">
        <f t="shared" si="80"/>
        <v/>
      </c>
      <c r="H252" s="38" t="str">
        <f t="shared" si="80"/>
        <v/>
      </c>
      <c r="I252" s="38" t="str">
        <f t="shared" si="80"/>
        <v/>
      </c>
      <c r="J252" s="38" t="str">
        <f t="shared" si="80"/>
        <v/>
      </c>
      <c r="K252" s="38" t="str">
        <f t="shared" si="80"/>
        <v/>
      </c>
      <c r="L252" s="38" t="str">
        <f t="shared" si="80"/>
        <v/>
      </c>
      <c r="M252" s="232"/>
      <c r="N252" s="232"/>
      <c r="O252" s="232"/>
      <c r="P252" s="235"/>
      <c r="Q252" s="235"/>
      <c r="R252" s="232"/>
      <c r="S252" s="235"/>
      <c r="T252" s="236"/>
      <c r="U252" s="232"/>
      <c r="V252" s="237"/>
    </row>
    <row r="253" spans="1:22" x14ac:dyDescent="0.3">
      <c r="A253" s="238"/>
      <c r="B253" s="239"/>
      <c r="C253" s="71" t="s">
        <v>88</v>
      </c>
      <c r="M253" s="232" t="str">
        <f>IF((L254=""),"",MAX(D255:L255))</f>
        <v/>
      </c>
      <c r="N253" s="232" t="str">
        <f>IF(L254="","",MIN(D255:L255))</f>
        <v/>
      </c>
      <c r="O253" s="232" t="str">
        <f>IF((L255=""),"",AVERAGE(D255:L255))</f>
        <v/>
      </c>
      <c r="P253" s="233">
        <v>800</v>
      </c>
      <c r="Q253" s="233">
        <v>1000</v>
      </c>
      <c r="R253" s="232" t="str">
        <f>IF((L254=""),"",((M253-N253)/(M253+N253))*100)</f>
        <v/>
      </c>
      <c r="S253" s="233">
        <v>20</v>
      </c>
      <c r="T253" s="236" t="str">
        <f>IF(L254="","",IF(R350&lt;20,(IF(O253&gt;19000,IF(O253&lt;49000,"Pass","Fail"),"Fail"))))</f>
        <v/>
      </c>
      <c r="U253" s="232"/>
      <c r="V253" s="237"/>
    </row>
    <row r="254" spans="1:22" x14ac:dyDescent="0.3">
      <c r="A254" s="238"/>
      <c r="B254" s="240"/>
      <c r="C254" s="71" t="s">
        <v>89</v>
      </c>
      <c r="M254" s="232"/>
      <c r="N254" s="232"/>
      <c r="O254" s="232"/>
      <c r="P254" s="234"/>
      <c r="Q254" s="234"/>
      <c r="R254" s="232"/>
      <c r="S254" s="234"/>
      <c r="T254" s="236"/>
      <c r="U254" s="232"/>
      <c r="V254" s="237"/>
    </row>
    <row r="255" spans="1:22" ht="39.9" x14ac:dyDescent="0.3">
      <c r="A255" s="238"/>
      <c r="B255" s="241"/>
      <c r="C255" s="71" t="s">
        <v>123</v>
      </c>
      <c r="D255" s="38" t="str">
        <f t="shared" ref="D255:L255" si="81">IF(((D253="")*AND(D254="")),"",(D253-D254)*60/70)</f>
        <v/>
      </c>
      <c r="E255" s="38" t="str">
        <f t="shared" si="81"/>
        <v/>
      </c>
      <c r="F255" s="38" t="str">
        <f t="shared" si="81"/>
        <v/>
      </c>
      <c r="G255" s="38" t="str">
        <f t="shared" si="81"/>
        <v/>
      </c>
      <c r="H255" s="38" t="str">
        <f t="shared" si="81"/>
        <v/>
      </c>
      <c r="I255" s="38" t="str">
        <f t="shared" si="81"/>
        <v/>
      </c>
      <c r="J255" s="38" t="str">
        <f t="shared" si="81"/>
        <v/>
      </c>
      <c r="K255" s="38" t="str">
        <f t="shared" si="81"/>
        <v/>
      </c>
      <c r="L255" s="38" t="str">
        <f t="shared" si="81"/>
        <v/>
      </c>
      <c r="M255" s="232"/>
      <c r="N255" s="232"/>
      <c r="O255" s="232"/>
      <c r="P255" s="235"/>
      <c r="Q255" s="235"/>
      <c r="R255" s="232"/>
      <c r="S255" s="235"/>
      <c r="T255" s="236"/>
      <c r="U255" s="232"/>
      <c r="V255" s="237"/>
    </row>
    <row r="256" spans="1:22" x14ac:dyDescent="0.3">
      <c r="A256" s="238"/>
      <c r="B256" s="239"/>
      <c r="C256" s="71" t="s">
        <v>88</v>
      </c>
      <c r="M256" s="232" t="str">
        <f>IF((L257=""),"",MAX(D258:L258))</f>
        <v/>
      </c>
      <c r="N256" s="232" t="str">
        <f>IF(L257="","",MIN(D258:L258))</f>
        <v/>
      </c>
      <c r="O256" s="232" t="str">
        <f>IF((L258=""),"",AVERAGE(D258:L258))</f>
        <v/>
      </c>
      <c r="P256" s="233">
        <v>800</v>
      </c>
      <c r="Q256" s="233">
        <v>1000</v>
      </c>
      <c r="R256" s="232" t="str">
        <f>IF((L257=""),"",((M256-N256)/(M256+N256))*100)</f>
        <v/>
      </c>
      <c r="S256" s="233">
        <v>20</v>
      </c>
      <c r="T256" s="236" t="str">
        <f>IF(L257="","",IF(R353&lt;20,(IF(O256&gt;19000,IF(O256&lt;49000,"Pass","Fail"),"Fail"))))</f>
        <v/>
      </c>
      <c r="U256" s="232"/>
      <c r="V256" s="237"/>
    </row>
    <row r="257" spans="1:22" x14ac:dyDescent="0.3">
      <c r="A257" s="238"/>
      <c r="B257" s="240"/>
      <c r="C257" s="71" t="s">
        <v>89</v>
      </c>
      <c r="M257" s="232"/>
      <c r="N257" s="232"/>
      <c r="O257" s="232"/>
      <c r="P257" s="234"/>
      <c r="Q257" s="234"/>
      <c r="R257" s="232"/>
      <c r="S257" s="234"/>
      <c r="T257" s="236"/>
      <c r="U257" s="232"/>
      <c r="V257" s="237"/>
    </row>
    <row r="258" spans="1:22" ht="39.9" x14ac:dyDescent="0.3">
      <c r="A258" s="238"/>
      <c r="B258" s="241"/>
      <c r="C258" s="71" t="s">
        <v>123</v>
      </c>
      <c r="D258" s="38" t="str">
        <f t="shared" ref="D258:L258" si="82">IF(((D256="")*AND(D257="")),"",(D256-D257)*60/70)</f>
        <v/>
      </c>
      <c r="E258" s="38" t="str">
        <f t="shared" si="82"/>
        <v/>
      </c>
      <c r="F258" s="38" t="str">
        <f t="shared" si="82"/>
        <v/>
      </c>
      <c r="G258" s="38" t="str">
        <f t="shared" si="82"/>
        <v/>
      </c>
      <c r="H258" s="38" t="str">
        <f t="shared" si="82"/>
        <v/>
      </c>
      <c r="I258" s="38" t="str">
        <f t="shared" si="82"/>
        <v/>
      </c>
      <c r="J258" s="38" t="str">
        <f t="shared" si="82"/>
        <v/>
      </c>
      <c r="K258" s="38" t="str">
        <f t="shared" si="82"/>
        <v/>
      </c>
      <c r="L258" s="38" t="str">
        <f t="shared" si="82"/>
        <v/>
      </c>
      <c r="M258" s="232"/>
      <c r="N258" s="232"/>
      <c r="O258" s="232"/>
      <c r="P258" s="235"/>
      <c r="Q258" s="235"/>
      <c r="R258" s="232"/>
      <c r="S258" s="235"/>
      <c r="T258" s="236"/>
      <c r="U258" s="232"/>
      <c r="V258" s="237"/>
    </row>
    <row r="259" spans="1:22" x14ac:dyDescent="0.3">
      <c r="A259" s="238"/>
      <c r="B259" s="239"/>
      <c r="C259" s="71" t="s">
        <v>88</v>
      </c>
      <c r="M259" s="232" t="str">
        <f>IF((L260=""),"",MAX(D261:L261))</f>
        <v/>
      </c>
      <c r="N259" s="232" t="str">
        <f>IF(L260="","",MIN(D261:L261))</f>
        <v/>
      </c>
      <c r="O259" s="232" t="str">
        <f>IF((L261=""),"",AVERAGE(D261:L261))</f>
        <v/>
      </c>
      <c r="P259" s="233">
        <v>800</v>
      </c>
      <c r="Q259" s="233">
        <v>1000</v>
      </c>
      <c r="R259" s="232" t="str">
        <f>IF((L260=""),"",((M259-N259)/(M259+N259))*100)</f>
        <v/>
      </c>
      <c r="S259" s="233">
        <v>20</v>
      </c>
      <c r="T259" s="236" t="str">
        <f>IF(L260="","",IF(R356&lt;20,(IF(O259&gt;19000,IF(O259&lt;49000,"Pass","Fail"),"Fail"))))</f>
        <v/>
      </c>
      <c r="U259" s="232"/>
      <c r="V259" s="237"/>
    </row>
    <row r="260" spans="1:22" x14ac:dyDescent="0.3">
      <c r="A260" s="238"/>
      <c r="B260" s="240"/>
      <c r="C260" s="71" t="s">
        <v>89</v>
      </c>
      <c r="M260" s="232"/>
      <c r="N260" s="232"/>
      <c r="O260" s="232"/>
      <c r="P260" s="234"/>
      <c r="Q260" s="234"/>
      <c r="R260" s="232"/>
      <c r="S260" s="234"/>
      <c r="T260" s="236"/>
      <c r="U260" s="232"/>
      <c r="V260" s="237"/>
    </row>
    <row r="261" spans="1:22" ht="39.9" x14ac:dyDescent="0.3">
      <c r="A261" s="238"/>
      <c r="B261" s="241"/>
      <c r="C261" s="71" t="s">
        <v>123</v>
      </c>
      <c r="D261" s="38" t="str">
        <f t="shared" ref="D261:L261" si="83">IF(((D259="")*AND(D260="")),"",(D259-D260)*60/70)</f>
        <v/>
      </c>
      <c r="E261" s="38" t="str">
        <f t="shared" si="83"/>
        <v/>
      </c>
      <c r="F261" s="38" t="str">
        <f t="shared" si="83"/>
        <v/>
      </c>
      <c r="G261" s="38" t="str">
        <f t="shared" si="83"/>
        <v/>
      </c>
      <c r="H261" s="38" t="str">
        <f t="shared" si="83"/>
        <v/>
      </c>
      <c r="I261" s="38" t="str">
        <f t="shared" si="83"/>
        <v/>
      </c>
      <c r="J261" s="38" t="str">
        <f t="shared" si="83"/>
        <v/>
      </c>
      <c r="K261" s="38" t="str">
        <f t="shared" si="83"/>
        <v/>
      </c>
      <c r="L261" s="38" t="str">
        <f t="shared" si="83"/>
        <v/>
      </c>
      <c r="M261" s="232"/>
      <c r="N261" s="232"/>
      <c r="O261" s="232"/>
      <c r="P261" s="235"/>
      <c r="Q261" s="235"/>
      <c r="R261" s="232"/>
      <c r="S261" s="235"/>
      <c r="T261" s="236"/>
      <c r="U261" s="232"/>
      <c r="V261" s="237"/>
    </row>
    <row r="262" spans="1:22" x14ac:dyDescent="0.3">
      <c r="A262" s="238"/>
      <c r="B262" s="239"/>
      <c r="C262" s="71" t="s">
        <v>88</v>
      </c>
      <c r="M262" s="232" t="str">
        <f>IF((L263=""),"",MAX(D264:L264))</f>
        <v/>
      </c>
      <c r="N262" s="232" t="str">
        <f>IF(L263="","",MIN(D264:L264))</f>
        <v/>
      </c>
      <c r="O262" s="232" t="str">
        <f>IF((L264=""),"",AVERAGE(D264:L264))</f>
        <v/>
      </c>
      <c r="P262" s="233">
        <v>800</v>
      </c>
      <c r="Q262" s="233">
        <v>1000</v>
      </c>
      <c r="R262" s="232" t="str">
        <f>IF((L263=""),"",((M262-N262)/(M262+N262))*100)</f>
        <v/>
      </c>
      <c r="S262" s="233">
        <v>20</v>
      </c>
      <c r="T262" s="236" t="str">
        <f>IF(L263="","",IF(R359&lt;20,(IF(O262&gt;19000,IF(O262&lt;49000,"Pass","Fail"),"Fail"))))</f>
        <v/>
      </c>
      <c r="U262" s="232"/>
      <c r="V262" s="237"/>
    </row>
    <row r="263" spans="1:22" x14ac:dyDescent="0.3">
      <c r="A263" s="238"/>
      <c r="B263" s="240"/>
      <c r="C263" s="71" t="s">
        <v>89</v>
      </c>
      <c r="M263" s="232"/>
      <c r="N263" s="232"/>
      <c r="O263" s="232"/>
      <c r="P263" s="234"/>
      <c r="Q263" s="234"/>
      <c r="R263" s="232"/>
      <c r="S263" s="234"/>
      <c r="T263" s="236"/>
      <c r="U263" s="232"/>
      <c r="V263" s="237"/>
    </row>
    <row r="264" spans="1:22" ht="39.9" x14ac:dyDescent="0.3">
      <c r="A264" s="238"/>
      <c r="B264" s="241"/>
      <c r="C264" s="71" t="s">
        <v>123</v>
      </c>
      <c r="D264" s="38" t="str">
        <f t="shared" ref="D264:L264" si="84">IF(((D262="")*AND(D263="")),"",(D262-D263)*60/70)</f>
        <v/>
      </c>
      <c r="E264" s="38" t="str">
        <f t="shared" si="84"/>
        <v/>
      </c>
      <c r="F264" s="38" t="str">
        <f t="shared" si="84"/>
        <v/>
      </c>
      <c r="G264" s="38" t="str">
        <f t="shared" si="84"/>
        <v/>
      </c>
      <c r="H264" s="38" t="str">
        <f t="shared" si="84"/>
        <v/>
      </c>
      <c r="I264" s="38" t="str">
        <f t="shared" si="84"/>
        <v/>
      </c>
      <c r="J264" s="38" t="str">
        <f t="shared" si="84"/>
        <v/>
      </c>
      <c r="K264" s="38" t="str">
        <f t="shared" si="84"/>
        <v/>
      </c>
      <c r="L264" s="38" t="str">
        <f t="shared" si="84"/>
        <v/>
      </c>
      <c r="M264" s="232"/>
      <c r="N264" s="232"/>
      <c r="O264" s="232"/>
      <c r="P264" s="235"/>
      <c r="Q264" s="235"/>
      <c r="R264" s="232"/>
      <c r="S264" s="235"/>
      <c r="T264" s="236"/>
      <c r="U264" s="232"/>
      <c r="V264" s="237"/>
    </row>
    <row r="265" spans="1:22" x14ac:dyDescent="0.3">
      <c r="A265" s="238"/>
      <c r="B265" s="239"/>
      <c r="C265" s="71" t="s">
        <v>88</v>
      </c>
      <c r="M265" s="232" t="str">
        <f>IF((L266=""),"",MAX(D267:L267))</f>
        <v/>
      </c>
      <c r="N265" s="232" t="str">
        <f>IF(L266="","",MIN(D267:L267))</f>
        <v/>
      </c>
      <c r="O265" s="232" t="str">
        <f>IF((L267=""),"",AVERAGE(D267:L267))</f>
        <v/>
      </c>
      <c r="P265" s="233">
        <v>800</v>
      </c>
      <c r="Q265" s="233">
        <v>1000</v>
      </c>
      <c r="R265" s="232" t="str">
        <f>IF((L266=""),"",((M265-N265)/(M265+N265))*100)</f>
        <v/>
      </c>
      <c r="S265" s="233">
        <v>20</v>
      </c>
      <c r="T265" s="236" t="str">
        <f>IF(L266="","",IF(R362&lt;20,(IF(O265&gt;19000,IF(O265&lt;49000,"Pass","Fail"),"Fail"))))</f>
        <v/>
      </c>
      <c r="U265" s="232"/>
      <c r="V265" s="237"/>
    </row>
    <row r="266" spans="1:22" x14ac:dyDescent="0.3">
      <c r="A266" s="238"/>
      <c r="B266" s="240"/>
      <c r="C266" s="71" t="s">
        <v>89</v>
      </c>
      <c r="M266" s="232"/>
      <c r="N266" s="232"/>
      <c r="O266" s="232"/>
      <c r="P266" s="234"/>
      <c r="Q266" s="234"/>
      <c r="R266" s="232"/>
      <c r="S266" s="234"/>
      <c r="T266" s="236"/>
      <c r="U266" s="232"/>
      <c r="V266" s="237"/>
    </row>
    <row r="267" spans="1:22" ht="39.9" x14ac:dyDescent="0.3">
      <c r="A267" s="238"/>
      <c r="B267" s="241"/>
      <c r="C267" s="71" t="s">
        <v>123</v>
      </c>
      <c r="D267" s="38" t="str">
        <f t="shared" ref="D267:L267" si="85">IF(((D265="")*AND(D266="")),"",(D265-D266)*60/70)</f>
        <v/>
      </c>
      <c r="E267" s="38" t="str">
        <f t="shared" si="85"/>
        <v/>
      </c>
      <c r="F267" s="38" t="str">
        <f t="shared" si="85"/>
        <v/>
      </c>
      <c r="G267" s="38" t="str">
        <f t="shared" si="85"/>
        <v/>
      </c>
      <c r="H267" s="38" t="str">
        <f t="shared" si="85"/>
        <v/>
      </c>
      <c r="I267" s="38" t="str">
        <f t="shared" si="85"/>
        <v/>
      </c>
      <c r="J267" s="38" t="str">
        <f t="shared" si="85"/>
        <v/>
      </c>
      <c r="K267" s="38" t="str">
        <f t="shared" si="85"/>
        <v/>
      </c>
      <c r="L267" s="38" t="str">
        <f t="shared" si="85"/>
        <v/>
      </c>
      <c r="M267" s="232"/>
      <c r="N267" s="232"/>
      <c r="O267" s="232"/>
      <c r="P267" s="235"/>
      <c r="Q267" s="235"/>
      <c r="R267" s="232"/>
      <c r="S267" s="235"/>
      <c r="T267" s="236"/>
      <c r="U267" s="232"/>
      <c r="V267" s="237"/>
    </row>
    <row r="268" spans="1:22" x14ac:dyDescent="0.3">
      <c r="A268" s="238"/>
      <c r="B268" s="239"/>
      <c r="C268" s="71" t="s">
        <v>88</v>
      </c>
      <c r="M268" s="232" t="str">
        <f>IF((L269=""),"",MAX(D270:L270))</f>
        <v/>
      </c>
      <c r="N268" s="232" t="str">
        <f>IF(L269="","",MIN(D270:L270))</f>
        <v/>
      </c>
      <c r="O268" s="232" t="str">
        <f>IF((L270=""),"",AVERAGE(D270:L270))</f>
        <v/>
      </c>
      <c r="P268" s="233">
        <v>800</v>
      </c>
      <c r="Q268" s="233">
        <v>1000</v>
      </c>
      <c r="R268" s="232" t="str">
        <f>IF((L269=""),"",((M268-N268)/(M268+N268))*100)</f>
        <v/>
      </c>
      <c r="S268" s="233">
        <v>20</v>
      </c>
      <c r="T268" s="236" t="str">
        <f>IF(L269="","",IF(R365&lt;20,(IF(O268&gt;19000,IF(O268&lt;49000,"Pass","Fail"),"Fail"))))</f>
        <v/>
      </c>
      <c r="U268" s="232"/>
      <c r="V268" s="237"/>
    </row>
    <row r="269" spans="1:22" x14ac:dyDescent="0.3">
      <c r="A269" s="238"/>
      <c r="B269" s="240"/>
      <c r="C269" s="71" t="s">
        <v>89</v>
      </c>
      <c r="M269" s="232"/>
      <c r="N269" s="232"/>
      <c r="O269" s="232"/>
      <c r="P269" s="234"/>
      <c r="Q269" s="234"/>
      <c r="R269" s="232"/>
      <c r="S269" s="234"/>
      <c r="T269" s="236"/>
      <c r="U269" s="232"/>
      <c r="V269" s="237"/>
    </row>
    <row r="270" spans="1:22" ht="39.9" x14ac:dyDescent="0.3">
      <c r="A270" s="238"/>
      <c r="B270" s="241"/>
      <c r="C270" s="71" t="s">
        <v>123</v>
      </c>
      <c r="D270" s="38" t="str">
        <f t="shared" ref="D270:L270" si="86">IF(((D268="")*AND(D269="")),"",(D268-D269)*60/70)</f>
        <v/>
      </c>
      <c r="E270" s="38" t="str">
        <f t="shared" si="86"/>
        <v/>
      </c>
      <c r="F270" s="38" t="str">
        <f t="shared" si="86"/>
        <v/>
      </c>
      <c r="G270" s="38" t="str">
        <f t="shared" si="86"/>
        <v/>
      </c>
      <c r="H270" s="38" t="str">
        <f t="shared" si="86"/>
        <v/>
      </c>
      <c r="I270" s="38" t="str">
        <f t="shared" si="86"/>
        <v/>
      </c>
      <c r="J270" s="38" t="str">
        <f t="shared" si="86"/>
        <v/>
      </c>
      <c r="K270" s="38" t="str">
        <f t="shared" si="86"/>
        <v/>
      </c>
      <c r="L270" s="38" t="str">
        <f t="shared" si="86"/>
        <v/>
      </c>
      <c r="M270" s="232"/>
      <c r="N270" s="232"/>
      <c r="O270" s="232"/>
      <c r="P270" s="235"/>
      <c r="Q270" s="235"/>
      <c r="R270" s="232"/>
      <c r="S270" s="235"/>
      <c r="T270" s="236"/>
      <c r="U270" s="232"/>
      <c r="V270" s="237"/>
    </row>
    <row r="271" spans="1:22" x14ac:dyDescent="0.3">
      <c r="A271" s="238"/>
      <c r="B271" s="239"/>
      <c r="C271" s="71" t="s">
        <v>88</v>
      </c>
      <c r="M271" s="232" t="str">
        <f>IF((L272=""),"",MAX(D273:L273))</f>
        <v/>
      </c>
      <c r="N271" s="232" t="str">
        <f>IF(L272="","",MIN(D273:L273))</f>
        <v/>
      </c>
      <c r="O271" s="232" t="str">
        <f>IF((L273=""),"",AVERAGE(D273:L273))</f>
        <v/>
      </c>
      <c r="P271" s="233">
        <v>800</v>
      </c>
      <c r="Q271" s="233">
        <v>1000</v>
      </c>
      <c r="R271" s="232" t="str">
        <f>IF((L272=""),"",((M271-N271)/(M271+N271))*100)</f>
        <v/>
      </c>
      <c r="S271" s="233">
        <v>20</v>
      </c>
      <c r="T271" s="236" t="str">
        <f>IF(L272="","",IF(R368&lt;20,(IF(O271&gt;19000,IF(O271&lt;49000,"Pass","Fail"),"Fail"))))</f>
        <v/>
      </c>
      <c r="U271" s="232"/>
      <c r="V271" s="237"/>
    </row>
    <row r="272" spans="1:22" x14ac:dyDescent="0.3">
      <c r="A272" s="238"/>
      <c r="B272" s="240"/>
      <c r="C272" s="71" t="s">
        <v>89</v>
      </c>
      <c r="M272" s="232"/>
      <c r="N272" s="232"/>
      <c r="O272" s="232"/>
      <c r="P272" s="234"/>
      <c r="Q272" s="234"/>
      <c r="R272" s="232"/>
      <c r="S272" s="234"/>
      <c r="T272" s="236"/>
      <c r="U272" s="232"/>
      <c r="V272" s="237"/>
    </row>
    <row r="273" spans="1:22" ht="39.9" x14ac:dyDescent="0.3">
      <c r="A273" s="238"/>
      <c r="B273" s="241"/>
      <c r="C273" s="71" t="s">
        <v>123</v>
      </c>
      <c r="D273" s="38" t="str">
        <f t="shared" ref="D273:L273" si="87">IF(((D271="")*AND(D272="")),"",(D271-D272)*60/70)</f>
        <v/>
      </c>
      <c r="E273" s="38" t="str">
        <f t="shared" si="87"/>
        <v/>
      </c>
      <c r="F273" s="38" t="str">
        <f t="shared" si="87"/>
        <v/>
      </c>
      <c r="G273" s="38" t="str">
        <f t="shared" si="87"/>
        <v/>
      </c>
      <c r="H273" s="38" t="str">
        <f t="shared" si="87"/>
        <v/>
      </c>
      <c r="I273" s="38" t="str">
        <f t="shared" si="87"/>
        <v/>
      </c>
      <c r="J273" s="38" t="str">
        <f t="shared" si="87"/>
        <v/>
      </c>
      <c r="K273" s="38" t="str">
        <f t="shared" si="87"/>
        <v/>
      </c>
      <c r="L273" s="38" t="str">
        <f t="shared" si="87"/>
        <v/>
      </c>
      <c r="M273" s="232"/>
      <c r="N273" s="232"/>
      <c r="O273" s="232"/>
      <c r="P273" s="235"/>
      <c r="Q273" s="235"/>
      <c r="R273" s="232"/>
      <c r="S273" s="235"/>
      <c r="T273" s="236"/>
      <c r="U273" s="232"/>
      <c r="V273" s="237"/>
    </row>
    <row r="274" spans="1:22" x14ac:dyDescent="0.3">
      <c r="A274" s="238"/>
      <c r="B274" s="239"/>
      <c r="C274" s="71" t="s">
        <v>88</v>
      </c>
      <c r="M274" s="232" t="str">
        <f>IF((L275=""),"",MAX(D276:L276))</f>
        <v/>
      </c>
      <c r="N274" s="232" t="str">
        <f>IF(L275="","",MIN(D276:L276))</f>
        <v/>
      </c>
      <c r="O274" s="232" t="str">
        <f>IF((L276=""),"",AVERAGE(D276:L276))</f>
        <v/>
      </c>
      <c r="P274" s="233">
        <v>800</v>
      </c>
      <c r="Q274" s="233">
        <v>1000</v>
      </c>
      <c r="R274" s="232" t="str">
        <f>IF((L275=""),"",((M274-N274)/(M274+N274))*100)</f>
        <v/>
      </c>
      <c r="S274" s="233">
        <v>20</v>
      </c>
      <c r="T274" s="236" t="str">
        <f>IF(L275="","",IF(R371&lt;20,(IF(O274&gt;19000,IF(O274&lt;49000,"Pass","Fail"),"Fail"))))</f>
        <v/>
      </c>
      <c r="U274" s="232"/>
      <c r="V274" s="237"/>
    </row>
    <row r="275" spans="1:22" x14ac:dyDescent="0.3">
      <c r="A275" s="238"/>
      <c r="B275" s="240"/>
      <c r="C275" s="71" t="s">
        <v>89</v>
      </c>
      <c r="M275" s="232"/>
      <c r="N275" s="232"/>
      <c r="O275" s="232"/>
      <c r="P275" s="234"/>
      <c r="Q275" s="234"/>
      <c r="R275" s="232"/>
      <c r="S275" s="234"/>
      <c r="T275" s="236"/>
      <c r="U275" s="232"/>
      <c r="V275" s="237"/>
    </row>
    <row r="276" spans="1:22" ht="39.9" x14ac:dyDescent="0.3">
      <c r="A276" s="238"/>
      <c r="B276" s="241"/>
      <c r="C276" s="71" t="s">
        <v>123</v>
      </c>
      <c r="D276" s="38" t="str">
        <f t="shared" ref="D276:L276" si="88">IF(((D274="")*AND(D275="")),"",(D274-D275)*60/70)</f>
        <v/>
      </c>
      <c r="E276" s="38" t="str">
        <f t="shared" si="88"/>
        <v/>
      </c>
      <c r="F276" s="38" t="str">
        <f t="shared" si="88"/>
        <v/>
      </c>
      <c r="G276" s="38" t="str">
        <f t="shared" si="88"/>
        <v/>
      </c>
      <c r="H276" s="38" t="str">
        <f t="shared" si="88"/>
        <v/>
      </c>
      <c r="I276" s="38" t="str">
        <f t="shared" si="88"/>
        <v/>
      </c>
      <c r="J276" s="38" t="str">
        <f t="shared" si="88"/>
        <v/>
      </c>
      <c r="K276" s="38" t="str">
        <f t="shared" si="88"/>
        <v/>
      </c>
      <c r="L276" s="38" t="str">
        <f t="shared" si="88"/>
        <v/>
      </c>
      <c r="M276" s="232"/>
      <c r="N276" s="232"/>
      <c r="O276" s="232"/>
      <c r="P276" s="235"/>
      <c r="Q276" s="235"/>
      <c r="R276" s="232"/>
      <c r="S276" s="235"/>
      <c r="T276" s="236"/>
      <c r="U276" s="232"/>
      <c r="V276" s="237"/>
    </row>
    <row r="277" spans="1:22" x14ac:dyDescent="0.3">
      <c r="A277" s="238"/>
      <c r="B277" s="239"/>
      <c r="C277" s="71" t="s">
        <v>88</v>
      </c>
      <c r="M277" s="232" t="str">
        <f>IF((L278=""),"",MAX(D279:L279))</f>
        <v/>
      </c>
      <c r="N277" s="232" t="str">
        <f>IF(L278="","",MIN(D279:L279))</f>
        <v/>
      </c>
      <c r="O277" s="232" t="str">
        <f>IF((L279=""),"",AVERAGE(D279:L279))</f>
        <v/>
      </c>
      <c r="P277" s="233">
        <v>800</v>
      </c>
      <c r="Q277" s="233">
        <v>1000</v>
      </c>
      <c r="R277" s="232" t="str">
        <f>IF((L278=""),"",((M277-N277)/(M277+N277))*100)</f>
        <v/>
      </c>
      <c r="S277" s="233">
        <v>20</v>
      </c>
      <c r="T277" s="236" t="str">
        <f>IF(L278="","",IF(R374&lt;20,(IF(O277&gt;19000,IF(O277&lt;49000,"Pass","Fail"),"Fail"))))</f>
        <v/>
      </c>
      <c r="U277" s="232"/>
      <c r="V277" s="237"/>
    </row>
    <row r="278" spans="1:22" x14ac:dyDescent="0.3">
      <c r="A278" s="238"/>
      <c r="B278" s="240"/>
      <c r="C278" s="71" t="s">
        <v>89</v>
      </c>
      <c r="M278" s="232"/>
      <c r="N278" s="232"/>
      <c r="O278" s="232"/>
      <c r="P278" s="234"/>
      <c r="Q278" s="234"/>
      <c r="R278" s="232"/>
      <c r="S278" s="234"/>
      <c r="T278" s="236"/>
      <c r="U278" s="232"/>
      <c r="V278" s="237"/>
    </row>
    <row r="279" spans="1:22" ht="39.9" x14ac:dyDescent="0.3">
      <c r="A279" s="238"/>
      <c r="B279" s="241"/>
      <c r="C279" s="71" t="s">
        <v>123</v>
      </c>
      <c r="D279" s="38" t="str">
        <f t="shared" ref="D279:L279" si="89">IF(((D277="")*AND(D278="")),"",(D277-D278)*60/70)</f>
        <v/>
      </c>
      <c r="E279" s="38" t="str">
        <f t="shared" si="89"/>
        <v/>
      </c>
      <c r="F279" s="38" t="str">
        <f t="shared" si="89"/>
        <v/>
      </c>
      <c r="G279" s="38" t="str">
        <f t="shared" si="89"/>
        <v/>
      </c>
      <c r="H279" s="38" t="str">
        <f t="shared" si="89"/>
        <v/>
      </c>
      <c r="I279" s="38" t="str">
        <f t="shared" si="89"/>
        <v/>
      </c>
      <c r="J279" s="38" t="str">
        <f t="shared" si="89"/>
        <v/>
      </c>
      <c r="K279" s="38" t="str">
        <f t="shared" si="89"/>
        <v/>
      </c>
      <c r="L279" s="38" t="str">
        <f t="shared" si="89"/>
        <v/>
      </c>
      <c r="M279" s="232"/>
      <c r="N279" s="232"/>
      <c r="O279" s="232"/>
      <c r="P279" s="235"/>
      <c r="Q279" s="235"/>
      <c r="R279" s="232"/>
      <c r="S279" s="235"/>
      <c r="T279" s="236"/>
      <c r="U279" s="232"/>
      <c r="V279" s="237"/>
    </row>
    <row r="280" spans="1:22" x14ac:dyDescent="0.3">
      <c r="A280" s="238"/>
      <c r="B280" s="239"/>
      <c r="C280" s="71" t="s">
        <v>88</v>
      </c>
      <c r="M280" s="232" t="str">
        <f>IF((L281=""),"",MAX(D282:L282))</f>
        <v/>
      </c>
      <c r="N280" s="232" t="str">
        <f>IF(L281="","",MIN(D282:L282))</f>
        <v/>
      </c>
      <c r="O280" s="232" t="str">
        <f>IF((L282=""),"",AVERAGE(D282:L282))</f>
        <v/>
      </c>
      <c r="P280" s="233">
        <v>800</v>
      </c>
      <c r="Q280" s="233">
        <v>1000</v>
      </c>
      <c r="R280" s="232" t="str">
        <f>IF((L281=""),"",((M280-N280)/(M280+N280))*100)</f>
        <v/>
      </c>
      <c r="S280" s="233">
        <v>20</v>
      </c>
      <c r="T280" s="236" t="str">
        <f>IF(L281="","",IF(R377&lt;20,(IF(O280&gt;19000,IF(O280&lt;49000,"Pass","Fail"),"Fail"))))</f>
        <v/>
      </c>
      <c r="U280" s="232"/>
      <c r="V280" s="237"/>
    </row>
    <row r="281" spans="1:22" x14ac:dyDescent="0.3">
      <c r="A281" s="238"/>
      <c r="B281" s="240"/>
      <c r="C281" s="71" t="s">
        <v>89</v>
      </c>
      <c r="M281" s="232"/>
      <c r="N281" s="232"/>
      <c r="O281" s="232"/>
      <c r="P281" s="234"/>
      <c r="Q281" s="234"/>
      <c r="R281" s="232"/>
      <c r="S281" s="234"/>
      <c r="T281" s="236"/>
      <c r="U281" s="232"/>
      <c r="V281" s="237"/>
    </row>
    <row r="282" spans="1:22" ht="39.9" x14ac:dyDescent="0.3">
      <c r="A282" s="238"/>
      <c r="B282" s="241"/>
      <c r="C282" s="71" t="s">
        <v>123</v>
      </c>
      <c r="D282" s="38" t="str">
        <f t="shared" ref="D282:L282" si="90">IF(((D280="")*AND(D281="")),"",(D280-D281)*60/70)</f>
        <v/>
      </c>
      <c r="E282" s="38" t="str">
        <f t="shared" si="90"/>
        <v/>
      </c>
      <c r="F282" s="38" t="str">
        <f t="shared" si="90"/>
        <v/>
      </c>
      <c r="G282" s="38" t="str">
        <f t="shared" si="90"/>
        <v/>
      </c>
      <c r="H282" s="38" t="str">
        <f t="shared" si="90"/>
        <v/>
      </c>
      <c r="I282" s="38" t="str">
        <f t="shared" si="90"/>
        <v/>
      </c>
      <c r="J282" s="38" t="str">
        <f t="shared" si="90"/>
        <v/>
      </c>
      <c r="K282" s="38" t="str">
        <f t="shared" si="90"/>
        <v/>
      </c>
      <c r="L282" s="38" t="str">
        <f t="shared" si="90"/>
        <v/>
      </c>
      <c r="M282" s="232"/>
      <c r="N282" s="232"/>
      <c r="O282" s="232"/>
      <c r="P282" s="235"/>
      <c r="Q282" s="235"/>
      <c r="R282" s="232"/>
      <c r="S282" s="235"/>
      <c r="T282" s="236"/>
      <c r="U282" s="232"/>
      <c r="V282" s="237"/>
    </row>
    <row r="283" spans="1:22" x14ac:dyDescent="0.3">
      <c r="A283" s="238"/>
      <c r="B283" s="239"/>
      <c r="C283" s="71" t="s">
        <v>88</v>
      </c>
      <c r="M283" s="232" t="str">
        <f>IF((L284=""),"",MAX(D285:L285))</f>
        <v/>
      </c>
      <c r="N283" s="232" t="str">
        <f>IF(L284="","",MIN(D285:L285))</f>
        <v/>
      </c>
      <c r="O283" s="232" t="str">
        <f>IF((L285=""),"",AVERAGE(D285:L285))</f>
        <v/>
      </c>
      <c r="P283" s="233">
        <v>800</v>
      </c>
      <c r="Q283" s="233">
        <v>1000</v>
      </c>
      <c r="R283" s="232" t="str">
        <f>IF((L284=""),"",((M283-N283)/(M283+N283))*100)</f>
        <v/>
      </c>
      <c r="S283" s="233">
        <v>20</v>
      </c>
      <c r="T283" s="236" t="str">
        <f>IF(L284="","",IF(R380&lt;20,(IF(O283&gt;19000,IF(O283&lt;49000,"Pass","Fail"),"Fail"))))</f>
        <v/>
      </c>
      <c r="U283" s="232"/>
      <c r="V283" s="237"/>
    </row>
    <row r="284" spans="1:22" x14ac:dyDescent="0.3">
      <c r="A284" s="238"/>
      <c r="B284" s="240"/>
      <c r="C284" s="71" t="s">
        <v>89</v>
      </c>
      <c r="M284" s="232"/>
      <c r="N284" s="232"/>
      <c r="O284" s="232"/>
      <c r="P284" s="234"/>
      <c r="Q284" s="234"/>
      <c r="R284" s="232"/>
      <c r="S284" s="234"/>
      <c r="T284" s="236"/>
      <c r="U284" s="232"/>
      <c r="V284" s="237"/>
    </row>
    <row r="285" spans="1:22" ht="39.9" x14ac:dyDescent="0.3">
      <c r="A285" s="238"/>
      <c r="B285" s="241"/>
      <c r="C285" s="71" t="s">
        <v>123</v>
      </c>
      <c r="D285" s="38" t="str">
        <f t="shared" ref="D285:L285" si="91">IF(((D283="")*AND(D284="")),"",(D283-D284)*60/70)</f>
        <v/>
      </c>
      <c r="E285" s="38" t="str">
        <f t="shared" si="91"/>
        <v/>
      </c>
      <c r="F285" s="38" t="str">
        <f t="shared" si="91"/>
        <v/>
      </c>
      <c r="G285" s="38" t="str">
        <f t="shared" si="91"/>
        <v/>
      </c>
      <c r="H285" s="38" t="str">
        <f t="shared" si="91"/>
        <v/>
      </c>
      <c r="I285" s="38" t="str">
        <f t="shared" si="91"/>
        <v/>
      </c>
      <c r="J285" s="38" t="str">
        <f t="shared" si="91"/>
        <v/>
      </c>
      <c r="K285" s="38" t="str">
        <f t="shared" si="91"/>
        <v/>
      </c>
      <c r="L285" s="38" t="str">
        <f t="shared" si="91"/>
        <v/>
      </c>
      <c r="M285" s="232"/>
      <c r="N285" s="232"/>
      <c r="O285" s="232"/>
      <c r="P285" s="235"/>
      <c r="Q285" s="235"/>
      <c r="R285" s="232"/>
      <c r="S285" s="235"/>
      <c r="T285" s="236"/>
      <c r="U285" s="232"/>
      <c r="V285" s="237"/>
    </row>
    <row r="286" spans="1:22" x14ac:dyDescent="0.3">
      <c r="A286" s="238"/>
      <c r="B286" s="239"/>
      <c r="C286" s="71" t="s">
        <v>88</v>
      </c>
      <c r="M286" s="232" t="str">
        <f>IF((L287=""),"",MAX(D288:L288))</f>
        <v/>
      </c>
      <c r="N286" s="232" t="str">
        <f>IF(L287="","",MIN(D288:L288))</f>
        <v/>
      </c>
      <c r="O286" s="232" t="str">
        <f>IF((L288=""),"",AVERAGE(D288:L288))</f>
        <v/>
      </c>
      <c r="P286" s="233">
        <v>800</v>
      </c>
      <c r="Q286" s="233">
        <v>1000</v>
      </c>
      <c r="R286" s="232" t="str">
        <f>IF((L287=""),"",((M286-N286)/(M286+N286))*100)</f>
        <v/>
      </c>
      <c r="S286" s="233">
        <v>20</v>
      </c>
      <c r="T286" s="236" t="str">
        <f>IF(L287="","",IF(R383&lt;20,(IF(O286&gt;19000,IF(O286&lt;49000,"Pass","Fail"),"Fail"))))</f>
        <v/>
      </c>
      <c r="U286" s="232"/>
      <c r="V286" s="237"/>
    </row>
    <row r="287" spans="1:22" x14ac:dyDescent="0.3">
      <c r="A287" s="238"/>
      <c r="B287" s="240"/>
      <c r="C287" s="71" t="s">
        <v>89</v>
      </c>
      <c r="M287" s="232"/>
      <c r="N287" s="232"/>
      <c r="O287" s="232"/>
      <c r="P287" s="234"/>
      <c r="Q287" s="234"/>
      <c r="R287" s="232"/>
      <c r="S287" s="234"/>
      <c r="T287" s="236"/>
      <c r="U287" s="232"/>
      <c r="V287" s="237"/>
    </row>
    <row r="288" spans="1:22" ht="39.9" x14ac:dyDescent="0.3">
      <c r="A288" s="238"/>
      <c r="B288" s="241"/>
      <c r="C288" s="71" t="s">
        <v>123</v>
      </c>
      <c r="D288" s="38" t="str">
        <f t="shared" ref="D288:L288" si="92">IF(((D286="")*AND(D287="")),"",(D286-D287)*60/70)</f>
        <v/>
      </c>
      <c r="E288" s="38" t="str">
        <f t="shared" si="92"/>
        <v/>
      </c>
      <c r="F288" s="38" t="str">
        <f t="shared" si="92"/>
        <v/>
      </c>
      <c r="G288" s="38" t="str">
        <f t="shared" si="92"/>
        <v/>
      </c>
      <c r="H288" s="38" t="str">
        <f t="shared" si="92"/>
        <v/>
      </c>
      <c r="I288" s="38" t="str">
        <f t="shared" si="92"/>
        <v/>
      </c>
      <c r="J288" s="38" t="str">
        <f t="shared" si="92"/>
        <v/>
      </c>
      <c r="K288" s="38" t="str">
        <f t="shared" si="92"/>
        <v/>
      </c>
      <c r="L288" s="38" t="str">
        <f t="shared" si="92"/>
        <v/>
      </c>
      <c r="M288" s="232"/>
      <c r="N288" s="232"/>
      <c r="O288" s="232"/>
      <c r="P288" s="235"/>
      <c r="Q288" s="235"/>
      <c r="R288" s="232"/>
      <c r="S288" s="235"/>
      <c r="T288" s="236"/>
      <c r="U288" s="232"/>
      <c r="V288" s="237"/>
    </row>
    <row r="289" spans="1:22" x14ac:dyDescent="0.3">
      <c r="A289" s="238"/>
      <c r="B289" s="239"/>
      <c r="C289" s="71" t="s">
        <v>88</v>
      </c>
      <c r="M289" s="232" t="str">
        <f>IF((L290=""),"",MAX(D291:L291))</f>
        <v/>
      </c>
      <c r="N289" s="232" t="str">
        <f>IF(L290="","",MIN(D291:L291))</f>
        <v/>
      </c>
      <c r="O289" s="232" t="str">
        <f>IF((L291=""),"",AVERAGE(D291:L291))</f>
        <v/>
      </c>
      <c r="P289" s="233">
        <v>800</v>
      </c>
      <c r="Q289" s="233">
        <v>1000</v>
      </c>
      <c r="R289" s="232" t="str">
        <f>IF((L290=""),"",((M289-N289)/(M289+N289))*100)</f>
        <v/>
      </c>
      <c r="S289" s="233">
        <v>20</v>
      </c>
      <c r="T289" s="236" t="str">
        <f>IF(L290="","",IF(R386&lt;20,(IF(O289&gt;19000,IF(O289&lt;49000,"Pass","Fail"),"Fail"))))</f>
        <v/>
      </c>
      <c r="U289" s="232"/>
      <c r="V289" s="237"/>
    </row>
    <row r="290" spans="1:22" x14ac:dyDescent="0.3">
      <c r="A290" s="238"/>
      <c r="B290" s="240"/>
      <c r="C290" s="71" t="s">
        <v>89</v>
      </c>
      <c r="M290" s="232"/>
      <c r="N290" s="232"/>
      <c r="O290" s="232"/>
      <c r="P290" s="234"/>
      <c r="Q290" s="234"/>
      <c r="R290" s="232"/>
      <c r="S290" s="234"/>
      <c r="T290" s="236"/>
      <c r="U290" s="232"/>
      <c r="V290" s="237"/>
    </row>
    <row r="291" spans="1:22" ht="39.9" x14ac:dyDescent="0.3">
      <c r="A291" s="238"/>
      <c r="B291" s="241"/>
      <c r="C291" s="71" t="s">
        <v>123</v>
      </c>
      <c r="D291" s="38" t="str">
        <f t="shared" ref="D291:L291" si="93">IF(((D289="")*AND(D290="")),"",(D289-D290)*60/70)</f>
        <v/>
      </c>
      <c r="E291" s="38" t="str">
        <f t="shared" si="93"/>
        <v/>
      </c>
      <c r="F291" s="38" t="str">
        <f t="shared" si="93"/>
        <v/>
      </c>
      <c r="G291" s="38" t="str">
        <f t="shared" si="93"/>
        <v/>
      </c>
      <c r="H291" s="38" t="str">
        <f t="shared" si="93"/>
        <v/>
      </c>
      <c r="I291" s="38" t="str">
        <f t="shared" si="93"/>
        <v/>
      </c>
      <c r="J291" s="38" t="str">
        <f t="shared" si="93"/>
        <v/>
      </c>
      <c r="K291" s="38" t="str">
        <f t="shared" si="93"/>
        <v/>
      </c>
      <c r="L291" s="38" t="str">
        <f t="shared" si="93"/>
        <v/>
      </c>
      <c r="M291" s="232"/>
      <c r="N291" s="232"/>
      <c r="O291" s="232"/>
      <c r="P291" s="235"/>
      <c r="Q291" s="235"/>
      <c r="R291" s="232"/>
      <c r="S291" s="235"/>
      <c r="T291" s="236"/>
      <c r="U291" s="232"/>
      <c r="V291" s="237"/>
    </row>
    <row r="292" spans="1:22" x14ac:dyDescent="0.3">
      <c r="A292" s="238"/>
      <c r="B292" s="239"/>
      <c r="C292" s="71" t="s">
        <v>88</v>
      </c>
      <c r="M292" s="232" t="str">
        <f>IF((L293=""),"",MAX(D294:L294))</f>
        <v/>
      </c>
      <c r="N292" s="232" t="str">
        <f>IF(L293="","",MIN(D294:L294))</f>
        <v/>
      </c>
      <c r="O292" s="232" t="str">
        <f>IF((L294=""),"",AVERAGE(D294:L294))</f>
        <v/>
      </c>
      <c r="P292" s="233">
        <v>19000</v>
      </c>
      <c r="Q292" s="233">
        <v>49000</v>
      </c>
      <c r="R292" s="232" t="str">
        <f>IF((L293=""),"",((M292-N292)/(M292+N292))*100)</f>
        <v/>
      </c>
      <c r="S292" s="233">
        <v>20</v>
      </c>
      <c r="T292" s="236" t="str">
        <f>IF(L293="","",IF(R389&lt;20,(IF(O292&gt;19000,IF(O292&lt;49000,"Pass","Fail"),"Fail"))))</f>
        <v/>
      </c>
      <c r="U292" s="232"/>
      <c r="V292" s="237"/>
    </row>
    <row r="293" spans="1:22" x14ac:dyDescent="0.3">
      <c r="A293" s="238"/>
      <c r="B293" s="240"/>
      <c r="C293" s="71" t="s">
        <v>89</v>
      </c>
      <c r="M293" s="232"/>
      <c r="N293" s="232"/>
      <c r="O293" s="232"/>
      <c r="P293" s="234"/>
      <c r="Q293" s="234"/>
      <c r="R293" s="232"/>
      <c r="S293" s="234"/>
      <c r="T293" s="236"/>
      <c r="U293" s="232"/>
      <c r="V293" s="237"/>
    </row>
    <row r="294" spans="1:22" ht="39.9" x14ac:dyDescent="0.3">
      <c r="A294" s="238"/>
      <c r="B294" s="241"/>
      <c r="C294" s="71" t="s">
        <v>123</v>
      </c>
      <c r="D294" s="38" t="str">
        <f t="shared" ref="D294:L294" si="94">IF(((D292="")*AND(D293="")),"",(D292-D293)*60/70)</f>
        <v/>
      </c>
      <c r="E294" s="38" t="str">
        <f t="shared" si="94"/>
        <v/>
      </c>
      <c r="F294" s="38" t="str">
        <f t="shared" si="94"/>
        <v/>
      </c>
      <c r="G294" s="38" t="str">
        <f t="shared" si="94"/>
        <v/>
      </c>
      <c r="H294" s="38" t="str">
        <f t="shared" si="94"/>
        <v/>
      </c>
      <c r="I294" s="38" t="str">
        <f t="shared" si="94"/>
        <v/>
      </c>
      <c r="J294" s="38" t="str">
        <f t="shared" si="94"/>
        <v/>
      </c>
      <c r="K294" s="38" t="str">
        <f t="shared" si="94"/>
        <v/>
      </c>
      <c r="L294" s="38" t="str">
        <f t="shared" si="94"/>
        <v/>
      </c>
      <c r="M294" s="232"/>
      <c r="N294" s="232"/>
      <c r="O294" s="232"/>
      <c r="P294" s="235"/>
      <c r="Q294" s="235"/>
      <c r="R294" s="232"/>
      <c r="S294" s="235"/>
      <c r="T294" s="236"/>
      <c r="U294" s="232"/>
      <c r="V294" s="237"/>
    </row>
    <row r="295" spans="1:22" x14ac:dyDescent="0.3">
      <c r="A295" s="238"/>
      <c r="B295" s="239"/>
      <c r="C295" s="71" t="s">
        <v>88</v>
      </c>
      <c r="M295" s="232" t="str">
        <f>IF((L296=""),"",MAX(D297:L297))</f>
        <v/>
      </c>
      <c r="N295" s="232" t="str">
        <f>IF(L296="","",MIN(D297:L297))</f>
        <v/>
      </c>
      <c r="O295" s="232" t="str">
        <f>IF((L297=""),"",AVERAGE(D297:L297))</f>
        <v/>
      </c>
      <c r="P295" s="233">
        <v>19000</v>
      </c>
      <c r="Q295" s="233">
        <v>49000</v>
      </c>
      <c r="R295" s="232" t="str">
        <f>IF((L296=""),"",((M295-N295)/(M295+N295))*100)</f>
        <v/>
      </c>
      <c r="S295" s="233">
        <v>20</v>
      </c>
      <c r="T295" s="236" t="str">
        <f>IF(L296="","",IF(R392&lt;20,(IF(O295&gt;19000,IF(O295&lt;49000,"Pass","Fail"),"Fail"))))</f>
        <v/>
      </c>
      <c r="U295" s="232"/>
      <c r="V295" s="237"/>
    </row>
    <row r="296" spans="1:22" x14ac:dyDescent="0.3">
      <c r="A296" s="238"/>
      <c r="B296" s="240"/>
      <c r="C296" s="71" t="s">
        <v>89</v>
      </c>
      <c r="M296" s="232"/>
      <c r="N296" s="232"/>
      <c r="O296" s="232"/>
      <c r="P296" s="234"/>
      <c r="Q296" s="234"/>
      <c r="R296" s="232"/>
      <c r="S296" s="234"/>
      <c r="T296" s="236"/>
      <c r="U296" s="232"/>
      <c r="V296" s="237"/>
    </row>
    <row r="297" spans="1:22" ht="39.9" x14ac:dyDescent="0.3">
      <c r="A297" s="238"/>
      <c r="B297" s="241"/>
      <c r="C297" s="71" t="s">
        <v>123</v>
      </c>
      <c r="D297" s="38" t="str">
        <f t="shared" ref="D297:L297" si="95">IF(((D295="")*AND(D296="")),"",(D295-D296)*60/70)</f>
        <v/>
      </c>
      <c r="E297" s="38" t="str">
        <f t="shared" si="95"/>
        <v/>
      </c>
      <c r="F297" s="38" t="str">
        <f t="shared" si="95"/>
        <v/>
      </c>
      <c r="G297" s="38" t="str">
        <f t="shared" si="95"/>
        <v/>
      </c>
      <c r="H297" s="38" t="str">
        <f t="shared" si="95"/>
        <v/>
      </c>
      <c r="I297" s="38" t="str">
        <f t="shared" si="95"/>
        <v/>
      </c>
      <c r="J297" s="38" t="str">
        <f t="shared" si="95"/>
        <v/>
      </c>
      <c r="K297" s="38" t="str">
        <f t="shared" si="95"/>
        <v/>
      </c>
      <c r="L297" s="38" t="str">
        <f t="shared" si="95"/>
        <v/>
      </c>
      <c r="M297" s="232"/>
      <c r="N297" s="232"/>
      <c r="O297" s="232"/>
      <c r="P297" s="235"/>
      <c r="Q297" s="235"/>
      <c r="R297" s="232"/>
      <c r="S297" s="235"/>
      <c r="T297" s="236"/>
      <c r="U297" s="232"/>
      <c r="V297" s="237"/>
    </row>
    <row r="298" spans="1:22" x14ac:dyDescent="0.3">
      <c r="A298" s="238"/>
      <c r="B298" s="239"/>
      <c r="C298" s="71" t="s">
        <v>88</v>
      </c>
      <c r="M298" s="232" t="str">
        <f>IF((L299=""),"",MAX(D300:L300))</f>
        <v/>
      </c>
      <c r="N298" s="232" t="str">
        <f>IF(L299="","",MIN(D300:L300))</f>
        <v/>
      </c>
      <c r="O298" s="232" t="str">
        <f>IF((L300=""),"",AVERAGE(D300:L300))</f>
        <v/>
      </c>
      <c r="P298" s="233">
        <v>19000</v>
      </c>
      <c r="Q298" s="233">
        <v>49000</v>
      </c>
      <c r="R298" s="232" t="str">
        <f>IF((L299=""),"",((M298-N298)/(M298+N298))*100)</f>
        <v/>
      </c>
      <c r="S298" s="233">
        <v>20</v>
      </c>
      <c r="T298" s="236" t="str">
        <f>IF(L299="","",IF(R395&lt;20,(IF(O298&gt;19000,IF(O298&lt;49000,"Pass","Fail"),"Fail"))))</f>
        <v/>
      </c>
      <c r="U298" s="232"/>
      <c r="V298" s="237"/>
    </row>
    <row r="299" spans="1:22" x14ac:dyDescent="0.3">
      <c r="A299" s="238"/>
      <c r="B299" s="240"/>
      <c r="C299" s="71" t="s">
        <v>89</v>
      </c>
      <c r="M299" s="232"/>
      <c r="N299" s="232"/>
      <c r="O299" s="232"/>
      <c r="P299" s="234"/>
      <c r="Q299" s="234"/>
      <c r="R299" s="232"/>
      <c r="S299" s="234"/>
      <c r="T299" s="236"/>
      <c r="U299" s="232"/>
      <c r="V299" s="237"/>
    </row>
    <row r="300" spans="1:22" ht="39.9" x14ac:dyDescent="0.3">
      <c r="A300" s="238"/>
      <c r="B300" s="241"/>
      <c r="C300" s="71" t="s">
        <v>123</v>
      </c>
      <c r="D300" s="38" t="str">
        <f t="shared" ref="D300:L300" si="96">IF(((D298="")*AND(D299="")),"",(D298-D299)*60/70)</f>
        <v/>
      </c>
      <c r="E300" s="38" t="str">
        <f t="shared" si="96"/>
        <v/>
      </c>
      <c r="F300" s="38" t="str">
        <f t="shared" si="96"/>
        <v/>
      </c>
      <c r="G300" s="38" t="str">
        <f t="shared" si="96"/>
        <v/>
      </c>
      <c r="H300" s="38" t="str">
        <f t="shared" si="96"/>
        <v/>
      </c>
      <c r="I300" s="38" t="str">
        <f t="shared" si="96"/>
        <v/>
      </c>
      <c r="J300" s="38" t="str">
        <f t="shared" si="96"/>
        <v/>
      </c>
      <c r="K300" s="38" t="str">
        <f t="shared" si="96"/>
        <v/>
      </c>
      <c r="L300" s="38" t="str">
        <f t="shared" si="96"/>
        <v/>
      </c>
      <c r="M300" s="232"/>
      <c r="N300" s="232"/>
      <c r="O300" s="232"/>
      <c r="P300" s="235"/>
      <c r="Q300" s="235"/>
      <c r="R300" s="232"/>
      <c r="S300" s="235"/>
      <c r="T300" s="236"/>
      <c r="U300" s="232"/>
      <c r="V300" s="237"/>
    </row>
    <row r="301" spans="1:22" x14ac:dyDescent="0.3">
      <c r="A301" s="238"/>
      <c r="B301" s="239"/>
      <c r="C301" s="71" t="s">
        <v>88</v>
      </c>
      <c r="M301" s="232" t="str">
        <f>IF((L302=""),"",MAX(D303:L303))</f>
        <v/>
      </c>
      <c r="N301" s="232" t="str">
        <f>IF(L302="","",MIN(D303:L303))</f>
        <v/>
      </c>
      <c r="O301" s="232" t="str">
        <f>IF((L303=""),"",AVERAGE(D303:L303))</f>
        <v/>
      </c>
      <c r="P301" s="233">
        <v>19000</v>
      </c>
      <c r="Q301" s="233">
        <v>49000</v>
      </c>
      <c r="R301" s="232" t="str">
        <f>IF((L302=""),"",((M301-N301)/(M301+N301))*100)</f>
        <v/>
      </c>
      <c r="S301" s="233">
        <v>20</v>
      </c>
      <c r="T301" s="236" t="str">
        <f>IF(L302="","",IF(R398&lt;20,(IF(O301&gt;19000,IF(O301&lt;49000,"Pass","Fail"),"Fail"))))</f>
        <v/>
      </c>
      <c r="U301" s="232"/>
      <c r="V301" s="237"/>
    </row>
    <row r="302" spans="1:22" x14ac:dyDescent="0.3">
      <c r="A302" s="238"/>
      <c r="B302" s="240"/>
      <c r="C302" s="71" t="s">
        <v>89</v>
      </c>
      <c r="M302" s="232"/>
      <c r="N302" s="232"/>
      <c r="O302" s="232"/>
      <c r="P302" s="234"/>
      <c r="Q302" s="234"/>
      <c r="R302" s="232"/>
      <c r="S302" s="234"/>
      <c r="T302" s="236"/>
      <c r="U302" s="232"/>
      <c r="V302" s="237"/>
    </row>
    <row r="303" spans="1:22" ht="39.9" x14ac:dyDescent="0.3">
      <c r="A303" s="238"/>
      <c r="B303" s="241"/>
      <c r="C303" s="71" t="s">
        <v>123</v>
      </c>
      <c r="D303" s="38" t="str">
        <f t="shared" ref="D303:L303" si="97">IF(((D301="")*AND(D302="")),"",(D301-D302)*60/70)</f>
        <v/>
      </c>
      <c r="E303" s="38" t="str">
        <f t="shared" si="97"/>
        <v/>
      </c>
      <c r="F303" s="38" t="str">
        <f t="shared" si="97"/>
        <v/>
      </c>
      <c r="G303" s="38" t="str">
        <f t="shared" si="97"/>
        <v/>
      </c>
      <c r="H303" s="38" t="str">
        <f t="shared" si="97"/>
        <v/>
      </c>
      <c r="I303" s="38" t="str">
        <f t="shared" si="97"/>
        <v/>
      </c>
      <c r="J303" s="38" t="str">
        <f t="shared" si="97"/>
        <v/>
      </c>
      <c r="K303" s="38" t="str">
        <f t="shared" si="97"/>
        <v/>
      </c>
      <c r="L303" s="38" t="str">
        <f t="shared" si="97"/>
        <v/>
      </c>
      <c r="M303" s="232"/>
      <c r="N303" s="232"/>
      <c r="O303" s="232"/>
      <c r="P303" s="235"/>
      <c r="Q303" s="235"/>
      <c r="R303" s="232"/>
      <c r="S303" s="235"/>
      <c r="T303" s="236"/>
      <c r="U303" s="232"/>
      <c r="V303" s="237"/>
    </row>
    <row r="304" spans="1:22" x14ac:dyDescent="0.3">
      <c r="A304" s="238"/>
      <c r="B304" s="239"/>
      <c r="C304" s="71" t="s">
        <v>88</v>
      </c>
      <c r="M304" s="232" t="str">
        <f>IF((L305=""),"",MAX(D306:L306))</f>
        <v/>
      </c>
      <c r="N304" s="232" t="str">
        <f>IF(L305="","",MIN(D306:L306))</f>
        <v/>
      </c>
      <c r="O304" s="232" t="str">
        <f>IF((L306=""),"",AVERAGE(D306:L306))</f>
        <v/>
      </c>
      <c r="P304" s="233">
        <v>19000</v>
      </c>
      <c r="Q304" s="233">
        <v>49000</v>
      </c>
      <c r="R304" s="232" t="str">
        <f>IF((L305=""),"",((M304-N304)/(M304+N304))*100)</f>
        <v/>
      </c>
      <c r="S304" s="233">
        <v>20</v>
      </c>
      <c r="T304" s="236" t="str">
        <f>IF(L305="","",IF(R401&lt;20,(IF(O304&gt;19000,IF(O304&lt;49000,"Pass","Fail"),"Fail"))))</f>
        <v/>
      </c>
      <c r="U304" s="232"/>
      <c r="V304" s="237"/>
    </row>
    <row r="305" spans="1:22" x14ac:dyDescent="0.3">
      <c r="A305" s="238"/>
      <c r="B305" s="240"/>
      <c r="C305" s="71" t="s">
        <v>89</v>
      </c>
      <c r="M305" s="232"/>
      <c r="N305" s="232"/>
      <c r="O305" s="232"/>
      <c r="P305" s="234"/>
      <c r="Q305" s="234"/>
      <c r="R305" s="232"/>
      <c r="S305" s="234"/>
      <c r="T305" s="236"/>
      <c r="U305" s="232"/>
      <c r="V305" s="237"/>
    </row>
    <row r="306" spans="1:22" ht="39.9" x14ac:dyDescent="0.3">
      <c r="A306" s="238"/>
      <c r="B306" s="241"/>
      <c r="C306" s="71" t="s">
        <v>123</v>
      </c>
      <c r="D306" s="38" t="str">
        <f t="shared" ref="D306:L306" si="98">IF(((D304="")*AND(D305="")),"",(D304-D305)*60/70)</f>
        <v/>
      </c>
      <c r="E306" s="38" t="str">
        <f t="shared" si="98"/>
        <v/>
      </c>
      <c r="F306" s="38" t="str">
        <f t="shared" si="98"/>
        <v/>
      </c>
      <c r="G306" s="38" t="str">
        <f t="shared" si="98"/>
        <v/>
      </c>
      <c r="H306" s="38" t="str">
        <f t="shared" si="98"/>
        <v/>
      </c>
      <c r="I306" s="38" t="str">
        <f t="shared" si="98"/>
        <v/>
      </c>
      <c r="J306" s="38" t="str">
        <f t="shared" si="98"/>
        <v/>
      </c>
      <c r="K306" s="38" t="str">
        <f t="shared" si="98"/>
        <v/>
      </c>
      <c r="L306" s="38" t="str">
        <f t="shared" si="98"/>
        <v/>
      </c>
      <c r="M306" s="232"/>
      <c r="N306" s="232"/>
      <c r="O306" s="232"/>
      <c r="P306" s="235"/>
      <c r="Q306" s="235"/>
      <c r="R306" s="232"/>
      <c r="S306" s="235"/>
      <c r="T306" s="236"/>
      <c r="U306" s="232"/>
      <c r="V306" s="237"/>
    </row>
    <row r="307" spans="1:22" x14ac:dyDescent="0.3">
      <c r="A307" s="238"/>
      <c r="B307" s="239"/>
      <c r="C307" s="71" t="s">
        <v>88</v>
      </c>
      <c r="M307" s="232" t="str">
        <f>IF((L308=""),"",MAX(D309:L309))</f>
        <v/>
      </c>
      <c r="N307" s="232" t="str">
        <f>IF(L308="","",MIN(D309:L309))</f>
        <v/>
      </c>
      <c r="O307" s="232" t="str">
        <f>IF((L309=""),"",AVERAGE(D309:L309))</f>
        <v/>
      </c>
      <c r="P307" s="233">
        <v>19000</v>
      </c>
      <c r="Q307" s="233">
        <v>49000</v>
      </c>
      <c r="R307" s="232" t="str">
        <f>IF((L308=""),"",((M307-N307)/(M307+N307))*100)</f>
        <v/>
      </c>
      <c r="S307" s="233">
        <v>20</v>
      </c>
      <c r="T307" s="236" t="str">
        <f>IF(L308="","",IF(R404&lt;20,(IF(O307&gt;19000,IF(O307&lt;49000,"Pass","Fail"),"Fail"))))</f>
        <v/>
      </c>
      <c r="U307" s="232"/>
      <c r="V307" s="237"/>
    </row>
    <row r="308" spans="1:22" x14ac:dyDescent="0.3">
      <c r="A308" s="238"/>
      <c r="B308" s="240"/>
      <c r="C308" s="71" t="s">
        <v>89</v>
      </c>
      <c r="M308" s="232"/>
      <c r="N308" s="232"/>
      <c r="O308" s="232"/>
      <c r="P308" s="234"/>
      <c r="Q308" s="234"/>
      <c r="R308" s="232"/>
      <c r="S308" s="234"/>
      <c r="T308" s="236"/>
      <c r="U308" s="232"/>
      <c r="V308" s="237"/>
    </row>
    <row r="309" spans="1:22" ht="39.9" x14ac:dyDescent="0.3">
      <c r="A309" s="238"/>
      <c r="B309" s="241"/>
      <c r="C309" s="71" t="s">
        <v>123</v>
      </c>
      <c r="D309" s="38" t="str">
        <f t="shared" ref="D309:L309" si="99">IF(((D307="")*AND(D308="")),"",(D307-D308)*60/70)</f>
        <v/>
      </c>
      <c r="E309" s="38" t="str">
        <f t="shared" si="99"/>
        <v/>
      </c>
      <c r="F309" s="38" t="str">
        <f t="shared" si="99"/>
        <v/>
      </c>
      <c r="G309" s="38" t="str">
        <f t="shared" si="99"/>
        <v/>
      </c>
      <c r="H309" s="38" t="str">
        <f t="shared" si="99"/>
        <v/>
      </c>
      <c r="I309" s="38" t="str">
        <f t="shared" si="99"/>
        <v/>
      </c>
      <c r="J309" s="38" t="str">
        <f t="shared" si="99"/>
        <v/>
      </c>
      <c r="K309" s="38" t="str">
        <f t="shared" si="99"/>
        <v/>
      </c>
      <c r="L309" s="38" t="str">
        <f t="shared" si="99"/>
        <v/>
      </c>
      <c r="M309" s="232"/>
      <c r="N309" s="232"/>
      <c r="O309" s="232"/>
      <c r="P309" s="235"/>
      <c r="Q309" s="235"/>
      <c r="R309" s="232"/>
      <c r="S309" s="235"/>
      <c r="T309" s="236"/>
      <c r="U309" s="232"/>
      <c r="V309" s="237"/>
    </row>
    <row r="310" spans="1:22" x14ac:dyDescent="0.3">
      <c r="A310" s="238"/>
      <c r="B310" s="239"/>
      <c r="C310" s="71" t="s">
        <v>88</v>
      </c>
      <c r="M310" s="232" t="str">
        <f>IF((L311=""),"",MAX(D312:L312))</f>
        <v/>
      </c>
      <c r="N310" s="232" t="str">
        <f>IF(L311="","",MIN(D312:L312))</f>
        <v/>
      </c>
      <c r="O310" s="232" t="str">
        <f>IF((L312=""),"",AVERAGE(D312:L312))</f>
        <v/>
      </c>
      <c r="P310" s="233">
        <v>19000</v>
      </c>
      <c r="Q310" s="233">
        <v>49000</v>
      </c>
      <c r="R310" s="232" t="str">
        <f>IF((L311=""),"",((M310-N310)/(M310+N310))*100)</f>
        <v/>
      </c>
      <c r="S310" s="233">
        <v>20</v>
      </c>
      <c r="T310" s="236" t="str">
        <f>IF(L311="","",IF(R407&lt;20,(IF(O310&gt;19000,IF(O310&lt;49000,"Pass","Fail"),"Fail"))))</f>
        <v/>
      </c>
      <c r="U310" s="232"/>
      <c r="V310" s="237"/>
    </row>
    <row r="311" spans="1:22" x14ac:dyDescent="0.3">
      <c r="A311" s="238"/>
      <c r="B311" s="240"/>
      <c r="C311" s="71" t="s">
        <v>89</v>
      </c>
      <c r="M311" s="232"/>
      <c r="N311" s="232"/>
      <c r="O311" s="232"/>
      <c r="P311" s="234"/>
      <c r="Q311" s="234"/>
      <c r="R311" s="232"/>
      <c r="S311" s="234"/>
      <c r="T311" s="236"/>
      <c r="U311" s="232"/>
      <c r="V311" s="237"/>
    </row>
    <row r="312" spans="1:22" ht="39.9" x14ac:dyDescent="0.3">
      <c r="A312" s="238"/>
      <c r="B312" s="241"/>
      <c r="C312" s="71" t="s">
        <v>123</v>
      </c>
      <c r="D312" s="38" t="str">
        <f t="shared" ref="D312:L312" si="100">IF(((D310="")*AND(D311="")),"",(D310-D311)*60/70)</f>
        <v/>
      </c>
      <c r="E312" s="38" t="str">
        <f t="shared" si="100"/>
        <v/>
      </c>
      <c r="F312" s="38" t="str">
        <f t="shared" si="100"/>
        <v/>
      </c>
      <c r="G312" s="38" t="str">
        <f t="shared" si="100"/>
        <v/>
      </c>
      <c r="H312" s="38" t="str">
        <f t="shared" si="100"/>
        <v/>
      </c>
      <c r="I312" s="38" t="str">
        <f t="shared" si="100"/>
        <v/>
      </c>
      <c r="J312" s="38" t="str">
        <f t="shared" si="100"/>
        <v/>
      </c>
      <c r="K312" s="38" t="str">
        <f t="shared" si="100"/>
        <v/>
      </c>
      <c r="L312" s="38" t="str">
        <f t="shared" si="100"/>
        <v/>
      </c>
      <c r="M312" s="232"/>
      <c r="N312" s="232"/>
      <c r="O312" s="232"/>
      <c r="P312" s="235"/>
      <c r="Q312" s="235"/>
      <c r="R312" s="232"/>
      <c r="S312" s="235"/>
      <c r="T312" s="236"/>
      <c r="U312" s="232"/>
      <c r="V312" s="237"/>
    </row>
    <row r="313" spans="1:22" x14ac:dyDescent="0.3">
      <c r="A313" s="238"/>
      <c r="B313" s="239"/>
      <c r="C313" s="71" t="s">
        <v>88</v>
      </c>
      <c r="M313" s="232" t="str">
        <f>IF((L314=""),"",MAX(D315:L315))</f>
        <v/>
      </c>
      <c r="N313" s="232" t="str">
        <f>IF(L314="","",MIN(D315:L315))</f>
        <v/>
      </c>
      <c r="O313" s="232" t="str">
        <f>IF((L315=""),"",AVERAGE(D315:L315))</f>
        <v/>
      </c>
      <c r="P313" s="233">
        <v>19000</v>
      </c>
      <c r="Q313" s="233">
        <v>49000</v>
      </c>
      <c r="R313" s="232" t="str">
        <f>IF((L314=""),"",((M313-N313)/(M313+N313))*100)</f>
        <v/>
      </c>
      <c r="S313" s="233">
        <v>20</v>
      </c>
      <c r="T313" s="236" t="str">
        <f>IF(L314="","",IF(R410&lt;20,(IF(O313&gt;19000,IF(O313&lt;49000,"Pass","Fail"),"Fail"))))</f>
        <v/>
      </c>
      <c r="U313" s="232"/>
      <c r="V313" s="237"/>
    </row>
    <row r="314" spans="1:22" x14ac:dyDescent="0.3">
      <c r="A314" s="238"/>
      <c r="B314" s="240"/>
      <c r="C314" s="71" t="s">
        <v>89</v>
      </c>
      <c r="M314" s="232"/>
      <c r="N314" s="232"/>
      <c r="O314" s="232"/>
      <c r="P314" s="234"/>
      <c r="Q314" s="234"/>
      <c r="R314" s="232"/>
      <c r="S314" s="234"/>
      <c r="T314" s="236"/>
      <c r="U314" s="232"/>
      <c r="V314" s="237"/>
    </row>
    <row r="315" spans="1:22" ht="39.9" x14ac:dyDescent="0.3">
      <c r="A315" s="238"/>
      <c r="B315" s="241"/>
      <c r="C315" s="71" t="s">
        <v>123</v>
      </c>
      <c r="D315" s="38" t="str">
        <f t="shared" ref="D315:L315" si="101">IF(((D313="")*AND(D314="")),"",(D313-D314)*60/70)</f>
        <v/>
      </c>
      <c r="E315" s="38" t="str">
        <f t="shared" si="101"/>
        <v/>
      </c>
      <c r="F315" s="38" t="str">
        <f t="shared" si="101"/>
        <v/>
      </c>
      <c r="G315" s="38" t="str">
        <f t="shared" si="101"/>
        <v/>
      </c>
      <c r="H315" s="38" t="str">
        <f t="shared" si="101"/>
        <v/>
      </c>
      <c r="I315" s="38" t="str">
        <f t="shared" si="101"/>
        <v/>
      </c>
      <c r="J315" s="38" t="str">
        <f t="shared" si="101"/>
        <v/>
      </c>
      <c r="K315" s="38" t="str">
        <f t="shared" si="101"/>
        <v/>
      </c>
      <c r="L315" s="38" t="str">
        <f t="shared" si="101"/>
        <v/>
      </c>
      <c r="M315" s="232"/>
      <c r="N315" s="232"/>
      <c r="O315" s="232"/>
      <c r="P315" s="235"/>
      <c r="Q315" s="235"/>
      <c r="R315" s="232"/>
      <c r="S315" s="235"/>
      <c r="T315" s="236"/>
      <c r="U315" s="232"/>
      <c r="V315" s="237"/>
    </row>
    <row r="316" spans="1:22" x14ac:dyDescent="0.3">
      <c r="A316" s="238"/>
      <c r="B316" s="239"/>
      <c r="C316" s="71" t="s">
        <v>88</v>
      </c>
      <c r="M316" s="232" t="str">
        <f>IF((L317=""),"",MAX(D318:L318))</f>
        <v/>
      </c>
      <c r="N316" s="232" t="str">
        <f>IF(L317="","",MIN(D318:L318))</f>
        <v/>
      </c>
      <c r="O316" s="232" t="str">
        <f>IF((L318=""),"",AVERAGE(D318:L318))</f>
        <v/>
      </c>
      <c r="P316" s="233">
        <v>19000</v>
      </c>
      <c r="Q316" s="233">
        <v>49000</v>
      </c>
      <c r="R316" s="232" t="str">
        <f>IF((L317=""),"",((M316-N316)/(M316+N316))*100)</f>
        <v/>
      </c>
      <c r="S316" s="233">
        <v>20</v>
      </c>
      <c r="T316" s="236" t="str">
        <f>IF(L317="","",IF(R413&lt;20,(IF(O316&gt;19000,IF(O316&lt;49000,"Pass","Fail"),"Fail"))))</f>
        <v/>
      </c>
      <c r="U316" s="232"/>
      <c r="V316" s="237"/>
    </row>
    <row r="317" spans="1:22" x14ac:dyDescent="0.3">
      <c r="A317" s="238"/>
      <c r="B317" s="240"/>
      <c r="C317" s="71" t="s">
        <v>89</v>
      </c>
      <c r="M317" s="232"/>
      <c r="N317" s="232"/>
      <c r="O317" s="232"/>
      <c r="P317" s="234"/>
      <c r="Q317" s="234"/>
      <c r="R317" s="232"/>
      <c r="S317" s="234"/>
      <c r="T317" s="236"/>
      <c r="U317" s="232"/>
      <c r="V317" s="237"/>
    </row>
    <row r="318" spans="1:22" ht="39.9" x14ac:dyDescent="0.3">
      <c r="A318" s="238"/>
      <c r="B318" s="241"/>
      <c r="C318" s="71" t="s">
        <v>123</v>
      </c>
      <c r="D318" s="38" t="str">
        <f t="shared" ref="D318:L318" si="102">IF(((D316="")*AND(D317="")),"",(D316-D317)*60/70)</f>
        <v/>
      </c>
      <c r="E318" s="38" t="str">
        <f t="shared" si="102"/>
        <v/>
      </c>
      <c r="F318" s="38" t="str">
        <f t="shared" si="102"/>
        <v/>
      </c>
      <c r="G318" s="38" t="str">
        <f t="shared" si="102"/>
        <v/>
      </c>
      <c r="H318" s="38" t="str">
        <f t="shared" si="102"/>
        <v/>
      </c>
      <c r="I318" s="38" t="str">
        <f t="shared" si="102"/>
        <v/>
      </c>
      <c r="J318" s="38" t="str">
        <f t="shared" si="102"/>
        <v/>
      </c>
      <c r="K318" s="38" t="str">
        <f t="shared" si="102"/>
        <v/>
      </c>
      <c r="L318" s="38" t="str">
        <f t="shared" si="102"/>
        <v/>
      </c>
      <c r="M318" s="232"/>
      <c r="N318" s="232"/>
      <c r="O318" s="232"/>
      <c r="P318" s="235"/>
      <c r="Q318" s="235"/>
      <c r="R318" s="232"/>
      <c r="S318" s="235"/>
      <c r="T318" s="236"/>
      <c r="U318" s="232"/>
      <c r="V318" s="237"/>
    </row>
    <row r="319" spans="1:22" x14ac:dyDescent="0.3">
      <c r="A319" s="238"/>
      <c r="B319" s="239"/>
      <c r="C319" s="71" t="s">
        <v>88</v>
      </c>
      <c r="M319" s="232" t="str">
        <f>IF((L320=""),"",MAX(D321:L321))</f>
        <v/>
      </c>
      <c r="N319" s="232" t="str">
        <f>IF(L320="","",MIN(D321:L321))</f>
        <v/>
      </c>
      <c r="O319" s="232" t="str">
        <f>IF((L321=""),"",AVERAGE(D321:L321))</f>
        <v/>
      </c>
      <c r="P319" s="233">
        <v>19000</v>
      </c>
      <c r="Q319" s="233">
        <v>49000</v>
      </c>
      <c r="R319" s="232" t="str">
        <f>IF((L320=""),"",((M319-N319)/(M319+N319))*100)</f>
        <v/>
      </c>
      <c r="S319" s="233">
        <v>20</v>
      </c>
      <c r="T319" s="236" t="str">
        <f>IF(L320="","",IF(R416&lt;20,(IF(O319&gt;19000,IF(O319&lt;49000,"Pass","Fail"),"Fail"))))</f>
        <v/>
      </c>
      <c r="U319" s="232"/>
      <c r="V319" s="237"/>
    </row>
    <row r="320" spans="1:22" x14ac:dyDescent="0.3">
      <c r="A320" s="238"/>
      <c r="B320" s="240"/>
      <c r="C320" s="71" t="s">
        <v>89</v>
      </c>
      <c r="M320" s="232"/>
      <c r="N320" s="232"/>
      <c r="O320" s="232"/>
      <c r="P320" s="234"/>
      <c r="Q320" s="234"/>
      <c r="R320" s="232"/>
      <c r="S320" s="234"/>
      <c r="T320" s="236"/>
      <c r="U320" s="232"/>
      <c r="V320" s="237"/>
    </row>
    <row r="321" spans="1:22" ht="39.9" x14ac:dyDescent="0.3">
      <c r="A321" s="238"/>
      <c r="B321" s="241"/>
      <c r="C321" s="71" t="s">
        <v>123</v>
      </c>
      <c r="D321" s="38" t="str">
        <f t="shared" ref="D321:L321" si="103">IF(((D319="")*AND(D320="")),"",(D319-D320)*60/70)</f>
        <v/>
      </c>
      <c r="E321" s="38" t="str">
        <f t="shared" si="103"/>
        <v/>
      </c>
      <c r="F321" s="38" t="str">
        <f t="shared" si="103"/>
        <v/>
      </c>
      <c r="G321" s="38" t="str">
        <f t="shared" si="103"/>
        <v/>
      </c>
      <c r="H321" s="38" t="str">
        <f t="shared" si="103"/>
        <v/>
      </c>
      <c r="I321" s="38" t="str">
        <f t="shared" si="103"/>
        <v/>
      </c>
      <c r="J321" s="38" t="str">
        <f t="shared" si="103"/>
        <v/>
      </c>
      <c r="K321" s="38" t="str">
        <f t="shared" si="103"/>
        <v/>
      </c>
      <c r="L321" s="38" t="str">
        <f t="shared" si="103"/>
        <v/>
      </c>
      <c r="M321" s="232"/>
      <c r="N321" s="232"/>
      <c r="O321" s="232"/>
      <c r="P321" s="235"/>
      <c r="Q321" s="235"/>
      <c r="R321" s="232"/>
      <c r="S321" s="235"/>
      <c r="T321" s="236"/>
      <c r="U321" s="232"/>
      <c r="V321" s="237"/>
    </row>
    <row r="322" spans="1:22" x14ac:dyDescent="0.3">
      <c r="A322" s="238"/>
      <c r="B322" s="239"/>
      <c r="C322" s="71" t="s">
        <v>88</v>
      </c>
      <c r="M322" s="232" t="str">
        <f>IF((L323=""),"",MAX(D324:L324))</f>
        <v/>
      </c>
      <c r="N322" s="232" t="str">
        <f>IF(L323="","",MIN(D324:L324))</f>
        <v/>
      </c>
      <c r="O322" s="232" t="str">
        <f>IF((L324=""),"",AVERAGE(D324:L324))</f>
        <v/>
      </c>
      <c r="P322" s="233">
        <v>19000</v>
      </c>
      <c r="Q322" s="233">
        <v>49000</v>
      </c>
      <c r="R322" s="232" t="str">
        <f>IF((L323=""),"",((M322-N322)/(M322+N322))*100)</f>
        <v/>
      </c>
      <c r="S322" s="233">
        <v>20</v>
      </c>
      <c r="T322" s="236" t="str">
        <f>IF(L323="","",IF(R419&lt;20,(IF(O322&gt;19000,IF(O322&lt;49000,"Pass","Fail"),"Fail"))))</f>
        <v/>
      </c>
      <c r="U322" s="232"/>
      <c r="V322" s="237"/>
    </row>
    <row r="323" spans="1:22" x14ac:dyDescent="0.3">
      <c r="A323" s="238"/>
      <c r="B323" s="240"/>
      <c r="C323" s="71" t="s">
        <v>89</v>
      </c>
      <c r="M323" s="232"/>
      <c r="N323" s="232"/>
      <c r="O323" s="232"/>
      <c r="P323" s="234"/>
      <c r="Q323" s="234"/>
      <c r="R323" s="232"/>
      <c r="S323" s="234"/>
      <c r="T323" s="236"/>
      <c r="U323" s="232"/>
      <c r="V323" s="237"/>
    </row>
    <row r="324" spans="1:22" ht="39.9" x14ac:dyDescent="0.3">
      <c r="A324" s="238"/>
      <c r="B324" s="241"/>
      <c r="C324" s="71" t="s">
        <v>123</v>
      </c>
      <c r="D324" s="38" t="str">
        <f t="shared" ref="D324:L324" si="104">IF(((D322="")*AND(D323="")),"",(D322-D323)*60/70)</f>
        <v/>
      </c>
      <c r="E324" s="38" t="str">
        <f t="shared" si="104"/>
        <v/>
      </c>
      <c r="F324" s="38" t="str">
        <f t="shared" si="104"/>
        <v/>
      </c>
      <c r="G324" s="38" t="str">
        <f t="shared" si="104"/>
        <v/>
      </c>
      <c r="H324" s="38" t="str">
        <f t="shared" si="104"/>
        <v/>
      </c>
      <c r="I324" s="38" t="str">
        <f t="shared" si="104"/>
        <v/>
      </c>
      <c r="J324" s="38" t="str">
        <f t="shared" si="104"/>
        <v/>
      </c>
      <c r="K324" s="38" t="str">
        <f t="shared" si="104"/>
        <v/>
      </c>
      <c r="L324" s="38" t="str">
        <f t="shared" si="104"/>
        <v/>
      </c>
      <c r="M324" s="232"/>
      <c r="N324" s="232"/>
      <c r="O324" s="232"/>
      <c r="P324" s="235"/>
      <c r="Q324" s="235"/>
      <c r="R324" s="232"/>
      <c r="S324" s="235"/>
      <c r="T324" s="236"/>
      <c r="U324" s="232"/>
      <c r="V324" s="237"/>
    </row>
    <row r="325" spans="1:22" x14ac:dyDescent="0.3">
      <c r="A325" s="238"/>
      <c r="B325" s="239"/>
      <c r="C325" s="71" t="s">
        <v>88</v>
      </c>
      <c r="M325" s="232" t="str">
        <f>IF((L326=""),"",MAX(D327:L327))</f>
        <v/>
      </c>
      <c r="N325" s="232" t="str">
        <f>IF(L326="","",MIN(D327:L327))</f>
        <v/>
      </c>
      <c r="O325" s="232" t="str">
        <f>IF((L327=""),"",AVERAGE(D327:L327))</f>
        <v/>
      </c>
      <c r="P325" s="233">
        <v>19000</v>
      </c>
      <c r="Q325" s="233">
        <v>49000</v>
      </c>
      <c r="R325" s="232" t="str">
        <f>IF((L326=""),"",((M325-N325)/(M325+N325))*100)</f>
        <v/>
      </c>
      <c r="S325" s="233">
        <v>20</v>
      </c>
      <c r="T325" s="236" t="str">
        <f>IF(L326="","",IF(R422&lt;20,(IF(O325&gt;19000,IF(O325&lt;49000,"Pass","Fail"),"Fail"))))</f>
        <v/>
      </c>
      <c r="U325" s="232"/>
      <c r="V325" s="237"/>
    </row>
    <row r="326" spans="1:22" x14ac:dyDescent="0.3">
      <c r="A326" s="238"/>
      <c r="B326" s="240"/>
      <c r="C326" s="71" t="s">
        <v>89</v>
      </c>
      <c r="M326" s="232"/>
      <c r="N326" s="232"/>
      <c r="O326" s="232"/>
      <c r="P326" s="234"/>
      <c r="Q326" s="234"/>
      <c r="R326" s="232"/>
      <c r="S326" s="234"/>
      <c r="T326" s="236"/>
      <c r="U326" s="232"/>
      <c r="V326" s="237"/>
    </row>
    <row r="327" spans="1:22" ht="39.9" x14ac:dyDescent="0.3">
      <c r="A327" s="238"/>
      <c r="B327" s="241"/>
      <c r="C327" s="71" t="s">
        <v>123</v>
      </c>
      <c r="D327" s="38" t="str">
        <f t="shared" ref="D327:L327" si="105">IF(((D325="")*AND(D326="")),"",(D325-D326)*60/70)</f>
        <v/>
      </c>
      <c r="E327" s="38" t="str">
        <f t="shared" si="105"/>
        <v/>
      </c>
      <c r="F327" s="38" t="str">
        <f t="shared" si="105"/>
        <v/>
      </c>
      <c r="G327" s="38" t="str">
        <f t="shared" si="105"/>
        <v/>
      </c>
      <c r="H327" s="38" t="str">
        <f t="shared" si="105"/>
        <v/>
      </c>
      <c r="I327" s="38" t="str">
        <f t="shared" si="105"/>
        <v/>
      </c>
      <c r="J327" s="38" t="str">
        <f t="shared" si="105"/>
        <v/>
      </c>
      <c r="K327" s="38" t="str">
        <f t="shared" si="105"/>
        <v/>
      </c>
      <c r="L327" s="38" t="str">
        <f t="shared" si="105"/>
        <v/>
      </c>
      <c r="M327" s="232"/>
      <c r="N327" s="232"/>
      <c r="O327" s="232"/>
      <c r="P327" s="235"/>
      <c r="Q327" s="235"/>
      <c r="R327" s="232"/>
      <c r="S327" s="235"/>
      <c r="T327" s="236"/>
      <c r="U327" s="232"/>
      <c r="V327" s="237"/>
    </row>
    <row r="328" spans="1:22" x14ac:dyDescent="0.3">
      <c r="A328" s="238"/>
      <c r="B328" s="239"/>
      <c r="C328" s="71" t="s">
        <v>88</v>
      </c>
      <c r="M328" s="232" t="str">
        <f>IF((L329=""),"",MAX(D330:L330))</f>
        <v/>
      </c>
      <c r="N328" s="232" t="str">
        <f>IF(L329="","",MIN(D330:L330))</f>
        <v/>
      </c>
      <c r="O328" s="232" t="str">
        <f>IF((L330=""),"",AVERAGE(D330:L330))</f>
        <v/>
      </c>
      <c r="P328" s="233">
        <v>19000</v>
      </c>
      <c r="Q328" s="233">
        <v>49000</v>
      </c>
      <c r="R328" s="232" t="str">
        <f>IF((L329=""),"",((M328-N328)/(M328+N328))*100)</f>
        <v/>
      </c>
      <c r="S328" s="233">
        <v>20</v>
      </c>
      <c r="T328" s="236" t="str">
        <f>IF(L329="","",IF(R425&lt;20,(IF(O328&gt;19000,IF(O328&lt;49000,"Pass","Fail"),"Fail"))))</f>
        <v/>
      </c>
      <c r="U328" s="232"/>
      <c r="V328" s="237"/>
    </row>
    <row r="329" spans="1:22" x14ac:dyDescent="0.3">
      <c r="A329" s="238"/>
      <c r="B329" s="240"/>
      <c r="C329" s="71" t="s">
        <v>89</v>
      </c>
      <c r="M329" s="232"/>
      <c r="N329" s="232"/>
      <c r="O329" s="232"/>
      <c r="P329" s="234"/>
      <c r="Q329" s="234"/>
      <c r="R329" s="232"/>
      <c r="S329" s="234"/>
      <c r="T329" s="236"/>
      <c r="U329" s="232"/>
      <c r="V329" s="237"/>
    </row>
    <row r="330" spans="1:22" ht="39.9" x14ac:dyDescent="0.3">
      <c r="A330" s="238"/>
      <c r="B330" s="241"/>
      <c r="C330" s="71" t="s">
        <v>123</v>
      </c>
      <c r="D330" s="38" t="str">
        <f t="shared" ref="D330:L330" si="106">IF(((D328="")*AND(D329="")),"",(D328-D329)*60/70)</f>
        <v/>
      </c>
      <c r="E330" s="38" t="str">
        <f t="shared" si="106"/>
        <v/>
      </c>
      <c r="F330" s="38" t="str">
        <f t="shared" si="106"/>
        <v/>
      </c>
      <c r="G330" s="38" t="str">
        <f t="shared" si="106"/>
        <v/>
      </c>
      <c r="H330" s="38" t="str">
        <f t="shared" si="106"/>
        <v/>
      </c>
      <c r="I330" s="38" t="str">
        <f t="shared" si="106"/>
        <v/>
      </c>
      <c r="J330" s="38" t="str">
        <f t="shared" si="106"/>
        <v/>
      </c>
      <c r="K330" s="38" t="str">
        <f t="shared" si="106"/>
        <v/>
      </c>
      <c r="L330" s="38" t="str">
        <f t="shared" si="106"/>
        <v/>
      </c>
      <c r="M330" s="232"/>
      <c r="N330" s="232"/>
      <c r="O330" s="232"/>
      <c r="P330" s="235"/>
      <c r="Q330" s="235"/>
      <c r="R330" s="232"/>
      <c r="S330" s="235"/>
      <c r="T330" s="236"/>
      <c r="U330" s="232"/>
      <c r="V330" s="237"/>
    </row>
    <row r="331" spans="1:22" x14ac:dyDescent="0.3">
      <c r="A331" s="238"/>
      <c r="B331" s="239"/>
      <c r="C331" s="71" t="s">
        <v>88</v>
      </c>
      <c r="M331" s="232" t="str">
        <f>IF((L332=""),"",MAX(D333:L333))</f>
        <v/>
      </c>
      <c r="N331" s="232" t="str">
        <f>IF(L332="","",MIN(D333:L333))</f>
        <v/>
      </c>
      <c r="O331" s="232" t="str">
        <f>IF((L333=""),"",AVERAGE(D333:L333))</f>
        <v/>
      </c>
      <c r="P331" s="233">
        <v>19000</v>
      </c>
      <c r="Q331" s="233">
        <v>49000</v>
      </c>
      <c r="R331" s="232" t="str">
        <f>IF((L332=""),"",((M331-N331)/(M331+N331))*100)</f>
        <v/>
      </c>
      <c r="S331" s="233">
        <v>20</v>
      </c>
      <c r="T331" s="236" t="str">
        <f>IF(L332="","",IF(R428&lt;20,(IF(O331&gt;19000,IF(O331&lt;49000,"Pass","Fail"),"Fail"))))</f>
        <v/>
      </c>
      <c r="U331" s="232"/>
      <c r="V331" s="237"/>
    </row>
    <row r="332" spans="1:22" x14ac:dyDescent="0.3">
      <c r="A332" s="238"/>
      <c r="B332" s="240"/>
      <c r="C332" s="71" t="s">
        <v>89</v>
      </c>
      <c r="M332" s="232"/>
      <c r="N332" s="232"/>
      <c r="O332" s="232"/>
      <c r="P332" s="234"/>
      <c r="Q332" s="234"/>
      <c r="R332" s="232"/>
      <c r="S332" s="234"/>
      <c r="T332" s="236"/>
      <c r="U332" s="232"/>
      <c r="V332" s="237"/>
    </row>
    <row r="333" spans="1:22" ht="39.9" x14ac:dyDescent="0.3">
      <c r="A333" s="238"/>
      <c r="B333" s="241"/>
      <c r="C333" s="71" t="s">
        <v>123</v>
      </c>
      <c r="D333" s="38" t="str">
        <f t="shared" ref="D333:L333" si="107">IF(((D331="")*AND(D332="")),"",(D331-D332)*60/70)</f>
        <v/>
      </c>
      <c r="E333" s="38" t="str">
        <f t="shared" si="107"/>
        <v/>
      </c>
      <c r="F333" s="38" t="str">
        <f t="shared" si="107"/>
        <v/>
      </c>
      <c r="G333" s="38" t="str">
        <f t="shared" si="107"/>
        <v/>
      </c>
      <c r="H333" s="38" t="str">
        <f t="shared" si="107"/>
        <v/>
      </c>
      <c r="I333" s="38" t="str">
        <f t="shared" si="107"/>
        <v/>
      </c>
      <c r="J333" s="38" t="str">
        <f t="shared" si="107"/>
        <v/>
      </c>
      <c r="K333" s="38" t="str">
        <f t="shared" si="107"/>
        <v/>
      </c>
      <c r="L333" s="38" t="str">
        <f t="shared" si="107"/>
        <v/>
      </c>
      <c r="M333" s="232"/>
      <c r="N333" s="232"/>
      <c r="O333" s="232"/>
      <c r="P333" s="235"/>
      <c r="Q333" s="235"/>
      <c r="R333" s="232"/>
      <c r="S333" s="235"/>
      <c r="T333" s="236"/>
      <c r="U333" s="232"/>
      <c r="V333" s="237"/>
    </row>
    <row r="334" spans="1:22" x14ac:dyDescent="0.3">
      <c r="A334" s="238"/>
      <c r="B334" s="239"/>
      <c r="C334" s="71" t="s">
        <v>88</v>
      </c>
      <c r="M334" s="232" t="str">
        <f>IF((L335=""),"",MAX(D336:L336))</f>
        <v/>
      </c>
      <c r="N334" s="232" t="str">
        <f>IF(L335="","",MIN(D336:L336))</f>
        <v/>
      </c>
      <c r="O334" s="232" t="str">
        <f>IF((L336=""),"",AVERAGE(D336:L336))</f>
        <v/>
      </c>
      <c r="P334" s="233">
        <v>19000</v>
      </c>
      <c r="Q334" s="233">
        <v>49000</v>
      </c>
      <c r="R334" s="232" t="str">
        <f>IF((L335=""),"",((M334-N334)/(M334+N334))*100)</f>
        <v/>
      </c>
      <c r="S334" s="233">
        <v>20</v>
      </c>
      <c r="T334" s="236" t="str">
        <f>IF(L335="","",IF(R431&lt;20,(IF(O334&gt;19000,IF(O334&lt;49000,"Pass","Fail"),"Fail"))))</f>
        <v/>
      </c>
      <c r="U334" s="232"/>
      <c r="V334" s="237"/>
    </row>
    <row r="335" spans="1:22" x14ac:dyDescent="0.3">
      <c r="A335" s="238"/>
      <c r="B335" s="240"/>
      <c r="C335" s="71" t="s">
        <v>89</v>
      </c>
      <c r="M335" s="232"/>
      <c r="N335" s="232"/>
      <c r="O335" s="232"/>
      <c r="P335" s="234"/>
      <c r="Q335" s="234"/>
      <c r="R335" s="232"/>
      <c r="S335" s="234"/>
      <c r="T335" s="236"/>
      <c r="U335" s="232"/>
      <c r="V335" s="237"/>
    </row>
    <row r="336" spans="1:22" ht="39.9" x14ac:dyDescent="0.3">
      <c r="A336" s="238"/>
      <c r="B336" s="241"/>
      <c r="C336" s="71" t="s">
        <v>123</v>
      </c>
      <c r="D336" s="38" t="str">
        <f t="shared" ref="D336:L336" si="108">IF(((D334="")*AND(D335="")),"",(D334-D335)*60/70)</f>
        <v/>
      </c>
      <c r="E336" s="38" t="str">
        <f t="shared" si="108"/>
        <v/>
      </c>
      <c r="F336" s="38" t="str">
        <f t="shared" si="108"/>
        <v/>
      </c>
      <c r="G336" s="38" t="str">
        <f t="shared" si="108"/>
        <v/>
      </c>
      <c r="H336" s="38" t="str">
        <f t="shared" si="108"/>
        <v/>
      </c>
      <c r="I336" s="38" t="str">
        <f t="shared" si="108"/>
        <v/>
      </c>
      <c r="J336" s="38" t="str">
        <f t="shared" si="108"/>
        <v/>
      </c>
      <c r="K336" s="38" t="str">
        <f t="shared" si="108"/>
        <v/>
      </c>
      <c r="L336" s="38" t="str">
        <f t="shared" si="108"/>
        <v/>
      </c>
      <c r="M336" s="232"/>
      <c r="N336" s="232"/>
      <c r="O336" s="232"/>
      <c r="P336" s="235"/>
      <c r="Q336" s="235"/>
      <c r="R336" s="232"/>
      <c r="S336" s="235"/>
      <c r="T336" s="236"/>
      <c r="U336" s="232"/>
      <c r="V336" s="237"/>
    </row>
    <row r="337" spans="1:22" x14ac:dyDescent="0.3">
      <c r="A337" s="238"/>
      <c r="B337" s="239"/>
      <c r="C337" s="71" t="s">
        <v>88</v>
      </c>
      <c r="M337" s="232" t="str">
        <f>IF((L338=""),"",MAX(D339:L339))</f>
        <v/>
      </c>
      <c r="N337" s="232" t="str">
        <f>IF(L338="","",MIN(D339:L339))</f>
        <v/>
      </c>
      <c r="O337" s="232" t="str">
        <f>IF((L339=""),"",AVERAGE(D339:L339))</f>
        <v/>
      </c>
      <c r="P337" s="233">
        <v>19000</v>
      </c>
      <c r="Q337" s="233">
        <v>49000</v>
      </c>
      <c r="R337" s="232" t="str">
        <f>IF((L338=""),"",((M337-N337)/(M337+N337))*100)</f>
        <v/>
      </c>
      <c r="S337" s="233">
        <v>20</v>
      </c>
      <c r="T337" s="236" t="str">
        <f>IF(L338="","",IF(R434&lt;20,(IF(O337&gt;19000,IF(O337&lt;49000,"Pass","Fail"),"Fail"))))</f>
        <v/>
      </c>
      <c r="U337" s="232"/>
      <c r="V337" s="237"/>
    </row>
    <row r="338" spans="1:22" x14ac:dyDescent="0.3">
      <c r="A338" s="238"/>
      <c r="B338" s="240"/>
      <c r="C338" s="71" t="s">
        <v>89</v>
      </c>
      <c r="M338" s="232"/>
      <c r="N338" s="232"/>
      <c r="O338" s="232"/>
      <c r="P338" s="234"/>
      <c r="Q338" s="234"/>
      <c r="R338" s="232"/>
      <c r="S338" s="234"/>
      <c r="T338" s="236"/>
      <c r="U338" s="232"/>
      <c r="V338" s="237"/>
    </row>
    <row r="339" spans="1:22" ht="39.9" x14ac:dyDescent="0.3">
      <c r="A339" s="238"/>
      <c r="B339" s="241"/>
      <c r="C339" s="71" t="s">
        <v>123</v>
      </c>
      <c r="D339" s="38" t="str">
        <f t="shared" ref="D339:L339" si="109">IF(((D337="")*AND(D338="")),"",(D337-D338)*60/70)</f>
        <v/>
      </c>
      <c r="E339" s="38" t="str">
        <f t="shared" si="109"/>
        <v/>
      </c>
      <c r="F339" s="38" t="str">
        <f t="shared" si="109"/>
        <v/>
      </c>
      <c r="G339" s="38" t="str">
        <f t="shared" si="109"/>
        <v/>
      </c>
      <c r="H339" s="38" t="str">
        <f t="shared" si="109"/>
        <v/>
      </c>
      <c r="I339" s="38" t="str">
        <f t="shared" si="109"/>
        <v/>
      </c>
      <c r="J339" s="38" t="str">
        <f t="shared" si="109"/>
        <v/>
      </c>
      <c r="K339" s="38" t="str">
        <f t="shared" si="109"/>
        <v/>
      </c>
      <c r="L339" s="38" t="str">
        <f t="shared" si="109"/>
        <v/>
      </c>
      <c r="M339" s="232"/>
      <c r="N339" s="232"/>
      <c r="O339" s="232"/>
      <c r="P339" s="235"/>
      <c r="Q339" s="235"/>
      <c r="R339" s="232"/>
      <c r="S339" s="235"/>
      <c r="T339" s="236"/>
      <c r="U339" s="232"/>
      <c r="V339" s="237"/>
    </row>
    <row r="340" spans="1:22" x14ac:dyDescent="0.3">
      <c r="A340" s="238"/>
      <c r="B340" s="239"/>
      <c r="C340" s="71" t="s">
        <v>88</v>
      </c>
      <c r="M340" s="232" t="str">
        <f>IF((L341=""),"",MAX(D342:L342))</f>
        <v/>
      </c>
      <c r="N340" s="232" t="str">
        <f>IF(L341="","",MIN(D342:L342))</f>
        <v/>
      </c>
      <c r="O340" s="232" t="str">
        <f>IF((L342=""),"",AVERAGE(D342:L342))</f>
        <v/>
      </c>
      <c r="P340" s="233">
        <v>19000</v>
      </c>
      <c r="Q340" s="233">
        <v>49000</v>
      </c>
      <c r="R340" s="232" t="str">
        <f>IF((L341=""),"",((M340-N340)/(M340+N340))*100)</f>
        <v/>
      </c>
      <c r="S340" s="233">
        <v>20</v>
      </c>
      <c r="T340" s="236" t="str">
        <f>IF(L341="","",IF(R437&lt;20,(IF(O340&gt;19000,IF(O340&lt;49000,"Pass","Fail"),"Fail"))))</f>
        <v/>
      </c>
      <c r="U340" s="232"/>
      <c r="V340" s="237"/>
    </row>
    <row r="341" spans="1:22" x14ac:dyDescent="0.3">
      <c r="A341" s="238"/>
      <c r="B341" s="240"/>
      <c r="C341" s="71" t="s">
        <v>89</v>
      </c>
      <c r="M341" s="232"/>
      <c r="N341" s="232"/>
      <c r="O341" s="232"/>
      <c r="P341" s="234"/>
      <c r="Q341" s="234"/>
      <c r="R341" s="232"/>
      <c r="S341" s="234"/>
      <c r="T341" s="236"/>
      <c r="U341" s="232"/>
      <c r="V341" s="237"/>
    </row>
    <row r="342" spans="1:22" ht="39.9" x14ac:dyDescent="0.3">
      <c r="A342" s="238"/>
      <c r="B342" s="241"/>
      <c r="C342" s="71" t="s">
        <v>123</v>
      </c>
      <c r="D342" s="38" t="str">
        <f t="shared" ref="D342:L342" si="110">IF(((D340="")*AND(D341="")),"",(D340-D341)*60/70)</f>
        <v/>
      </c>
      <c r="E342" s="38" t="str">
        <f t="shared" si="110"/>
        <v/>
      </c>
      <c r="F342" s="38" t="str">
        <f t="shared" si="110"/>
        <v/>
      </c>
      <c r="G342" s="38" t="str">
        <f t="shared" si="110"/>
        <v/>
      </c>
      <c r="H342" s="38" t="str">
        <f t="shared" si="110"/>
        <v/>
      </c>
      <c r="I342" s="38" t="str">
        <f t="shared" si="110"/>
        <v/>
      </c>
      <c r="J342" s="38" t="str">
        <f t="shared" si="110"/>
        <v/>
      </c>
      <c r="K342" s="38" t="str">
        <f t="shared" si="110"/>
        <v/>
      </c>
      <c r="L342" s="38" t="str">
        <f t="shared" si="110"/>
        <v/>
      </c>
      <c r="M342" s="232"/>
      <c r="N342" s="232"/>
      <c r="O342" s="232"/>
      <c r="P342" s="235"/>
      <c r="Q342" s="235"/>
      <c r="R342" s="232"/>
      <c r="S342" s="235"/>
      <c r="T342" s="236"/>
      <c r="U342" s="232"/>
      <c r="V342" s="237"/>
    </row>
    <row r="343" spans="1:22" x14ac:dyDescent="0.3">
      <c r="A343" s="238"/>
      <c r="B343" s="239"/>
      <c r="C343" s="71" t="s">
        <v>88</v>
      </c>
      <c r="M343" s="232" t="str">
        <f>IF((L344=""),"",MAX(D345:L345))</f>
        <v/>
      </c>
      <c r="N343" s="232" t="str">
        <f>IF(L344="","",MIN(D345:L345))</f>
        <v/>
      </c>
      <c r="O343" s="232" t="str">
        <f>IF((L345=""),"",AVERAGE(D345:L345))</f>
        <v/>
      </c>
      <c r="P343" s="233">
        <v>19000</v>
      </c>
      <c r="Q343" s="233">
        <v>49000</v>
      </c>
      <c r="R343" s="232" t="str">
        <f>IF((L344=""),"",((M343-N343)/(M343+N343))*100)</f>
        <v/>
      </c>
      <c r="S343" s="233">
        <v>20</v>
      </c>
      <c r="T343" s="236" t="str">
        <f>IF(L344="","",IF(R440&lt;20,(IF(O343&gt;19000,IF(O343&lt;49000,"Pass","Fail"),"Fail"))))</f>
        <v/>
      </c>
      <c r="U343" s="232"/>
      <c r="V343" s="237"/>
    </row>
    <row r="344" spans="1:22" x14ac:dyDescent="0.3">
      <c r="A344" s="238"/>
      <c r="B344" s="240"/>
      <c r="C344" s="71" t="s">
        <v>89</v>
      </c>
      <c r="M344" s="232"/>
      <c r="N344" s="232"/>
      <c r="O344" s="232"/>
      <c r="P344" s="234"/>
      <c r="Q344" s="234"/>
      <c r="R344" s="232"/>
      <c r="S344" s="234"/>
      <c r="T344" s="236"/>
      <c r="U344" s="232"/>
      <c r="V344" s="237"/>
    </row>
    <row r="345" spans="1:22" ht="39.9" x14ac:dyDescent="0.3">
      <c r="A345" s="238"/>
      <c r="B345" s="241"/>
      <c r="C345" s="71" t="s">
        <v>123</v>
      </c>
      <c r="D345" s="38" t="str">
        <f t="shared" ref="D345:L345" si="111">IF(((D343="")*AND(D344="")),"",(D343-D344)*60/70)</f>
        <v/>
      </c>
      <c r="E345" s="38" t="str">
        <f t="shared" si="111"/>
        <v/>
      </c>
      <c r="F345" s="38" t="str">
        <f t="shared" si="111"/>
        <v/>
      </c>
      <c r="G345" s="38" t="str">
        <f t="shared" si="111"/>
        <v/>
      </c>
      <c r="H345" s="38" t="str">
        <f t="shared" si="111"/>
        <v/>
      </c>
      <c r="I345" s="38" t="str">
        <f t="shared" si="111"/>
        <v/>
      </c>
      <c r="J345" s="38" t="str">
        <f t="shared" si="111"/>
        <v/>
      </c>
      <c r="K345" s="38" t="str">
        <f t="shared" si="111"/>
        <v/>
      </c>
      <c r="L345" s="38" t="str">
        <f t="shared" si="111"/>
        <v/>
      </c>
      <c r="M345" s="232"/>
      <c r="N345" s="232"/>
      <c r="O345" s="232"/>
      <c r="P345" s="235"/>
      <c r="Q345" s="235"/>
      <c r="R345" s="232"/>
      <c r="S345" s="235"/>
      <c r="T345" s="236"/>
      <c r="U345" s="232"/>
      <c r="V345" s="237"/>
    </row>
    <row r="346" spans="1:22" x14ac:dyDescent="0.3">
      <c r="A346" s="238"/>
      <c r="B346" s="239"/>
      <c r="C346" s="71" t="s">
        <v>88</v>
      </c>
      <c r="M346" s="232" t="str">
        <f>IF((L347=""),"",MAX(D348:L348))</f>
        <v/>
      </c>
      <c r="N346" s="232" t="str">
        <f>IF(L347="","",MIN(D348:L348))</f>
        <v/>
      </c>
      <c r="O346" s="232" t="str">
        <f>IF((L348=""),"",AVERAGE(D348:L348))</f>
        <v/>
      </c>
      <c r="P346" s="233">
        <v>19000</v>
      </c>
      <c r="Q346" s="233">
        <v>49000</v>
      </c>
      <c r="R346" s="232" t="str">
        <f>IF((L347=""),"",((M346-N346)/(M346+N346))*100)</f>
        <v/>
      </c>
      <c r="S346" s="233">
        <v>20</v>
      </c>
      <c r="T346" s="236" t="str">
        <f>IF(L347="","",IF(R443&lt;20,(IF(O346&gt;19000,IF(O346&lt;49000,"Pass","Fail"),"Fail"))))</f>
        <v/>
      </c>
      <c r="U346" s="232"/>
      <c r="V346" s="237"/>
    </row>
    <row r="347" spans="1:22" x14ac:dyDescent="0.3">
      <c r="A347" s="238"/>
      <c r="B347" s="240"/>
      <c r="C347" s="71" t="s">
        <v>89</v>
      </c>
      <c r="M347" s="232"/>
      <c r="N347" s="232"/>
      <c r="O347" s="232"/>
      <c r="P347" s="234"/>
      <c r="Q347" s="234"/>
      <c r="R347" s="232"/>
      <c r="S347" s="234"/>
      <c r="T347" s="236"/>
      <c r="U347" s="232"/>
      <c r="V347" s="237"/>
    </row>
    <row r="348" spans="1:22" ht="39.9" x14ac:dyDescent="0.3">
      <c r="A348" s="238"/>
      <c r="B348" s="241"/>
      <c r="C348" s="71" t="s">
        <v>123</v>
      </c>
      <c r="D348" s="38" t="str">
        <f t="shared" ref="D348:L348" si="112">IF(((D346="")*AND(D347="")),"",(D346-D347)*60/70)</f>
        <v/>
      </c>
      <c r="E348" s="38" t="str">
        <f t="shared" si="112"/>
        <v/>
      </c>
      <c r="F348" s="38" t="str">
        <f t="shared" si="112"/>
        <v/>
      </c>
      <c r="G348" s="38" t="str">
        <f t="shared" si="112"/>
        <v/>
      </c>
      <c r="H348" s="38" t="str">
        <f t="shared" si="112"/>
        <v/>
      </c>
      <c r="I348" s="38" t="str">
        <f t="shared" si="112"/>
        <v/>
      </c>
      <c r="J348" s="38" t="str">
        <f t="shared" si="112"/>
        <v/>
      </c>
      <c r="K348" s="38" t="str">
        <f t="shared" si="112"/>
        <v/>
      </c>
      <c r="L348" s="38" t="str">
        <f t="shared" si="112"/>
        <v/>
      </c>
      <c r="M348" s="232"/>
      <c r="N348" s="232"/>
      <c r="O348" s="232"/>
      <c r="P348" s="235"/>
      <c r="Q348" s="235"/>
      <c r="R348" s="232"/>
      <c r="S348" s="235"/>
      <c r="T348" s="236"/>
      <c r="U348" s="232"/>
      <c r="V348" s="237"/>
    </row>
    <row r="349" spans="1:22" x14ac:dyDescent="0.3">
      <c r="A349" s="238"/>
      <c r="B349" s="239"/>
      <c r="C349" s="71" t="s">
        <v>88</v>
      </c>
      <c r="M349" s="232" t="str">
        <f>IF((L350=""),"",MAX(D351:L351))</f>
        <v/>
      </c>
      <c r="N349" s="232" t="str">
        <f>IF(L350="","",MIN(D351:L351))</f>
        <v/>
      </c>
      <c r="O349" s="232" t="str">
        <f>IF((L351=""),"",AVERAGE(D351:L351))</f>
        <v/>
      </c>
      <c r="P349" s="233">
        <v>19000</v>
      </c>
      <c r="Q349" s="233">
        <v>49000</v>
      </c>
      <c r="R349" s="232" t="str">
        <f>IF((L350=""),"",((M349-N349)/(M349+N349))*100)</f>
        <v/>
      </c>
      <c r="S349" s="233">
        <v>20</v>
      </c>
      <c r="T349" s="236" t="str">
        <f>IF(L350="","",IF(R446&lt;20,(IF(O349&gt;19000,IF(O349&lt;49000,"Pass","Fail"),"Fail"))))</f>
        <v/>
      </c>
      <c r="U349" s="232"/>
      <c r="V349" s="237"/>
    </row>
    <row r="350" spans="1:22" x14ac:dyDescent="0.3">
      <c r="A350" s="238"/>
      <c r="B350" s="240"/>
      <c r="C350" s="71" t="s">
        <v>89</v>
      </c>
      <c r="M350" s="232"/>
      <c r="N350" s="232"/>
      <c r="O350" s="232"/>
      <c r="P350" s="234"/>
      <c r="Q350" s="234"/>
      <c r="R350" s="232"/>
      <c r="S350" s="234"/>
      <c r="T350" s="236"/>
      <c r="U350" s="232"/>
      <c r="V350" s="237"/>
    </row>
    <row r="351" spans="1:22" ht="39.9" x14ac:dyDescent="0.3">
      <c r="A351" s="238"/>
      <c r="B351" s="241"/>
      <c r="C351" s="71" t="s">
        <v>123</v>
      </c>
      <c r="D351" s="38" t="str">
        <f t="shared" ref="D351:L351" si="113">IF(((D349="")*AND(D350="")),"",(D349-D350)*60/70)</f>
        <v/>
      </c>
      <c r="E351" s="38" t="str">
        <f t="shared" si="113"/>
        <v/>
      </c>
      <c r="F351" s="38" t="str">
        <f t="shared" si="113"/>
        <v/>
      </c>
      <c r="G351" s="38" t="str">
        <f t="shared" si="113"/>
        <v/>
      </c>
      <c r="H351" s="38" t="str">
        <f t="shared" si="113"/>
        <v/>
      </c>
      <c r="I351" s="38" t="str">
        <f t="shared" si="113"/>
        <v/>
      </c>
      <c r="J351" s="38" t="str">
        <f t="shared" si="113"/>
        <v/>
      </c>
      <c r="K351" s="38" t="str">
        <f t="shared" si="113"/>
        <v/>
      </c>
      <c r="L351" s="38" t="str">
        <f t="shared" si="113"/>
        <v/>
      </c>
      <c r="M351" s="232"/>
      <c r="N351" s="232"/>
      <c r="O351" s="232"/>
      <c r="P351" s="235"/>
      <c r="Q351" s="235"/>
      <c r="R351" s="232"/>
      <c r="S351" s="235"/>
      <c r="T351" s="236"/>
      <c r="U351" s="232"/>
      <c r="V351" s="237"/>
    </row>
    <row r="352" spans="1:22" x14ac:dyDescent="0.3">
      <c r="A352" s="238"/>
      <c r="B352" s="239"/>
      <c r="C352" s="71" t="s">
        <v>88</v>
      </c>
      <c r="M352" s="232" t="str">
        <f>IF((L353=""),"",MAX(D354:L354))</f>
        <v/>
      </c>
      <c r="N352" s="232" t="str">
        <f>IF(L353="","",MIN(D354:L354))</f>
        <v/>
      </c>
      <c r="O352" s="232" t="str">
        <f>IF((L354=""),"",AVERAGE(D354:L354))</f>
        <v/>
      </c>
      <c r="P352" s="233">
        <v>19000</v>
      </c>
      <c r="Q352" s="233">
        <v>49000</v>
      </c>
      <c r="R352" s="232" t="str">
        <f>IF((L353=""),"",((M352-N352)/(M352+N352))*100)</f>
        <v/>
      </c>
      <c r="S352" s="233">
        <v>20</v>
      </c>
      <c r="T352" s="236" t="str">
        <f>IF(L353="","",IF(R449&lt;20,(IF(O352&gt;19000,IF(O352&lt;49000,"Pass","Fail"),"Fail"))))</f>
        <v/>
      </c>
      <c r="U352" s="232"/>
      <c r="V352" s="237"/>
    </row>
    <row r="353" spans="1:22" x14ac:dyDescent="0.3">
      <c r="A353" s="238"/>
      <c r="B353" s="240"/>
      <c r="C353" s="71" t="s">
        <v>89</v>
      </c>
      <c r="M353" s="232"/>
      <c r="N353" s="232"/>
      <c r="O353" s="232"/>
      <c r="P353" s="234"/>
      <c r="Q353" s="234"/>
      <c r="R353" s="232"/>
      <c r="S353" s="234"/>
      <c r="T353" s="236"/>
      <c r="U353" s="232"/>
      <c r="V353" s="237"/>
    </row>
    <row r="354" spans="1:22" ht="39.9" x14ac:dyDescent="0.3">
      <c r="A354" s="238"/>
      <c r="B354" s="241"/>
      <c r="C354" s="71" t="s">
        <v>123</v>
      </c>
      <c r="D354" s="38" t="str">
        <f t="shared" ref="D354:L354" si="114">IF(((D352="")*AND(D353="")),"",(D352-D353)*60/70)</f>
        <v/>
      </c>
      <c r="E354" s="38" t="str">
        <f t="shared" si="114"/>
        <v/>
      </c>
      <c r="F354" s="38" t="str">
        <f t="shared" si="114"/>
        <v/>
      </c>
      <c r="G354" s="38" t="str">
        <f t="shared" si="114"/>
        <v/>
      </c>
      <c r="H354" s="38" t="str">
        <f t="shared" si="114"/>
        <v/>
      </c>
      <c r="I354" s="38" t="str">
        <f t="shared" si="114"/>
        <v/>
      </c>
      <c r="J354" s="38" t="str">
        <f t="shared" si="114"/>
        <v/>
      </c>
      <c r="K354" s="38" t="str">
        <f t="shared" si="114"/>
        <v/>
      </c>
      <c r="L354" s="38" t="str">
        <f t="shared" si="114"/>
        <v/>
      </c>
      <c r="M354" s="232"/>
      <c r="N354" s="232"/>
      <c r="O354" s="232"/>
      <c r="P354" s="235"/>
      <c r="Q354" s="235"/>
      <c r="R354" s="232"/>
      <c r="S354" s="235"/>
      <c r="T354" s="236"/>
      <c r="U354" s="232"/>
      <c r="V354" s="237"/>
    </row>
    <row r="355" spans="1:22" x14ac:dyDescent="0.3">
      <c r="A355" s="238"/>
      <c r="B355" s="239"/>
      <c r="C355" s="71" t="s">
        <v>88</v>
      </c>
      <c r="M355" s="232" t="str">
        <f>IF((L356=""),"",MAX(D357:L357))</f>
        <v/>
      </c>
      <c r="N355" s="232" t="str">
        <f>IF(L356="","",MIN(D357:L357))</f>
        <v/>
      </c>
      <c r="O355" s="232" t="str">
        <f>IF((L357=""),"",AVERAGE(D357:L357))</f>
        <v/>
      </c>
      <c r="P355" s="233">
        <v>19000</v>
      </c>
      <c r="Q355" s="233">
        <v>49000</v>
      </c>
      <c r="R355" s="232" t="str">
        <f>IF((L356=""),"",((M355-N355)/(M355+N355))*100)</f>
        <v/>
      </c>
      <c r="S355" s="233">
        <v>20</v>
      </c>
      <c r="T355" s="236" t="str">
        <f>IF(L356="","",IF(R452&lt;20,(IF(O355&gt;19000,IF(O355&lt;49000,"Pass","Fail"),"Fail"))))</f>
        <v/>
      </c>
      <c r="U355" s="232"/>
      <c r="V355" s="237"/>
    </row>
    <row r="356" spans="1:22" x14ac:dyDescent="0.3">
      <c r="A356" s="238"/>
      <c r="B356" s="240"/>
      <c r="C356" s="71" t="s">
        <v>89</v>
      </c>
      <c r="M356" s="232"/>
      <c r="N356" s="232"/>
      <c r="O356" s="232"/>
      <c r="P356" s="234"/>
      <c r="Q356" s="234"/>
      <c r="R356" s="232"/>
      <c r="S356" s="234"/>
      <c r="T356" s="236"/>
      <c r="U356" s="232"/>
      <c r="V356" s="237"/>
    </row>
    <row r="357" spans="1:22" ht="39.9" x14ac:dyDescent="0.3">
      <c r="A357" s="238"/>
      <c r="B357" s="241"/>
      <c r="C357" s="71" t="s">
        <v>123</v>
      </c>
      <c r="D357" s="38" t="str">
        <f t="shared" ref="D357:L357" si="115">IF(((D355="")*AND(D356="")),"",(D355-D356)*60/70)</f>
        <v/>
      </c>
      <c r="E357" s="38" t="str">
        <f t="shared" si="115"/>
        <v/>
      </c>
      <c r="F357" s="38" t="str">
        <f t="shared" si="115"/>
        <v/>
      </c>
      <c r="G357" s="38" t="str">
        <f t="shared" si="115"/>
        <v/>
      </c>
      <c r="H357" s="38" t="str">
        <f t="shared" si="115"/>
        <v/>
      </c>
      <c r="I357" s="38" t="str">
        <f t="shared" si="115"/>
        <v/>
      </c>
      <c r="J357" s="38" t="str">
        <f t="shared" si="115"/>
        <v/>
      </c>
      <c r="K357" s="38" t="str">
        <f t="shared" si="115"/>
        <v/>
      </c>
      <c r="L357" s="38" t="str">
        <f t="shared" si="115"/>
        <v/>
      </c>
      <c r="M357" s="232"/>
      <c r="N357" s="232"/>
      <c r="O357" s="232"/>
      <c r="P357" s="235"/>
      <c r="Q357" s="235"/>
      <c r="R357" s="232"/>
      <c r="S357" s="235"/>
      <c r="T357" s="236"/>
      <c r="U357" s="232"/>
      <c r="V357" s="237"/>
    </row>
    <row r="358" spans="1:22" x14ac:dyDescent="0.3">
      <c r="A358" s="238"/>
      <c r="B358" s="239"/>
      <c r="C358" s="71" t="s">
        <v>88</v>
      </c>
      <c r="M358" s="232" t="str">
        <f>IF((L359=""),"",MAX(D360:L360))</f>
        <v/>
      </c>
      <c r="N358" s="232" t="str">
        <f>IF(L359="","",MIN(D360:L360))</f>
        <v/>
      </c>
      <c r="O358" s="232" t="str">
        <f>IF((L360=""),"",AVERAGE(D360:L360))</f>
        <v/>
      </c>
      <c r="P358" s="233">
        <v>19000</v>
      </c>
      <c r="Q358" s="233">
        <v>49000</v>
      </c>
      <c r="R358" s="232" t="str">
        <f>IF((L359=""),"",((M358-N358)/(M358+N358))*100)</f>
        <v/>
      </c>
      <c r="S358" s="233">
        <v>20</v>
      </c>
      <c r="T358" s="236" t="str">
        <f>IF(L359="","",IF(R455&lt;20,(IF(O358&gt;19000,IF(O358&lt;49000,"Pass","Fail"),"Fail"))))</f>
        <v/>
      </c>
      <c r="U358" s="232"/>
      <c r="V358" s="237"/>
    </row>
    <row r="359" spans="1:22" x14ac:dyDescent="0.3">
      <c r="A359" s="238"/>
      <c r="B359" s="240"/>
      <c r="C359" s="71" t="s">
        <v>89</v>
      </c>
      <c r="M359" s="232"/>
      <c r="N359" s="232"/>
      <c r="O359" s="232"/>
      <c r="P359" s="234"/>
      <c r="Q359" s="234"/>
      <c r="R359" s="232"/>
      <c r="S359" s="234"/>
      <c r="T359" s="236"/>
      <c r="U359" s="232"/>
      <c r="V359" s="237"/>
    </row>
    <row r="360" spans="1:22" ht="39.9" x14ac:dyDescent="0.3">
      <c r="A360" s="238"/>
      <c r="B360" s="241"/>
      <c r="C360" s="71" t="s">
        <v>123</v>
      </c>
      <c r="D360" s="38" t="str">
        <f t="shared" ref="D360:L360" si="116">IF(((D358="")*AND(D359="")),"",(D358-D359)*60/70)</f>
        <v/>
      </c>
      <c r="E360" s="38" t="str">
        <f t="shared" si="116"/>
        <v/>
      </c>
      <c r="F360" s="38" t="str">
        <f t="shared" si="116"/>
        <v/>
      </c>
      <c r="G360" s="38" t="str">
        <f t="shared" si="116"/>
        <v/>
      </c>
      <c r="H360" s="38" t="str">
        <f t="shared" si="116"/>
        <v/>
      </c>
      <c r="I360" s="38" t="str">
        <f t="shared" si="116"/>
        <v/>
      </c>
      <c r="J360" s="38" t="str">
        <f t="shared" si="116"/>
        <v/>
      </c>
      <c r="K360" s="38" t="str">
        <f t="shared" si="116"/>
        <v/>
      </c>
      <c r="L360" s="38" t="str">
        <f t="shared" si="116"/>
        <v/>
      </c>
      <c r="M360" s="232"/>
      <c r="N360" s="232"/>
      <c r="O360" s="232"/>
      <c r="P360" s="235"/>
      <c r="Q360" s="235"/>
      <c r="R360" s="232"/>
      <c r="S360" s="235"/>
      <c r="T360" s="236"/>
      <c r="U360" s="232"/>
      <c r="V360" s="237"/>
    </row>
    <row r="361" spans="1:22" x14ac:dyDescent="0.3">
      <c r="A361" s="238"/>
      <c r="B361" s="239"/>
      <c r="C361" s="71" t="s">
        <v>88</v>
      </c>
      <c r="M361" s="232" t="str">
        <f>IF((L362=""),"",MAX(D363:L363))</f>
        <v/>
      </c>
      <c r="N361" s="232" t="str">
        <f>IF(L362="","",MIN(D363:L363))</f>
        <v/>
      </c>
      <c r="O361" s="232" t="str">
        <f>IF((L363=""),"",AVERAGE(D363:L363))</f>
        <v/>
      </c>
      <c r="P361" s="233">
        <v>19000</v>
      </c>
      <c r="Q361" s="233">
        <v>49000</v>
      </c>
      <c r="R361" s="232" t="str">
        <f>IF((L362=""),"",((M361-N361)/(M361+N361))*100)</f>
        <v/>
      </c>
      <c r="S361" s="233">
        <v>20</v>
      </c>
      <c r="T361" s="236" t="str">
        <f>IF(L362="","",IF(R458&lt;20,(IF(O361&gt;19000,IF(O361&lt;49000,"Pass","Fail"),"Fail"))))</f>
        <v/>
      </c>
      <c r="U361" s="232"/>
      <c r="V361" s="237"/>
    </row>
    <row r="362" spans="1:22" x14ac:dyDescent="0.3">
      <c r="A362" s="238"/>
      <c r="B362" s="240"/>
      <c r="C362" s="71" t="s">
        <v>89</v>
      </c>
      <c r="M362" s="232"/>
      <c r="N362" s="232"/>
      <c r="O362" s="232"/>
      <c r="P362" s="234"/>
      <c r="Q362" s="234"/>
      <c r="R362" s="232"/>
      <c r="S362" s="234"/>
      <c r="T362" s="236"/>
      <c r="U362" s="232"/>
      <c r="V362" s="237"/>
    </row>
    <row r="363" spans="1:22" ht="39.9" x14ac:dyDescent="0.3">
      <c r="A363" s="238"/>
      <c r="B363" s="241"/>
      <c r="C363" s="71" t="s">
        <v>123</v>
      </c>
      <c r="D363" s="38" t="str">
        <f t="shared" ref="D363:L363" si="117">IF(((D361="")*AND(D362="")),"",(D361-D362)*60/70)</f>
        <v/>
      </c>
      <c r="E363" s="38" t="str">
        <f t="shared" si="117"/>
        <v/>
      </c>
      <c r="F363" s="38" t="str">
        <f t="shared" si="117"/>
        <v/>
      </c>
      <c r="G363" s="38" t="str">
        <f t="shared" si="117"/>
        <v/>
      </c>
      <c r="H363" s="38" t="str">
        <f t="shared" si="117"/>
        <v/>
      </c>
      <c r="I363" s="38" t="str">
        <f t="shared" si="117"/>
        <v/>
      </c>
      <c r="J363" s="38" t="str">
        <f t="shared" si="117"/>
        <v/>
      </c>
      <c r="K363" s="38" t="str">
        <f t="shared" si="117"/>
        <v/>
      </c>
      <c r="L363" s="38" t="str">
        <f t="shared" si="117"/>
        <v/>
      </c>
      <c r="M363" s="232"/>
      <c r="N363" s="232"/>
      <c r="O363" s="232"/>
      <c r="P363" s="235"/>
      <c r="Q363" s="235"/>
      <c r="R363" s="232"/>
      <c r="S363" s="235"/>
      <c r="T363" s="236"/>
      <c r="U363" s="232"/>
      <c r="V363" s="237"/>
    </row>
    <row r="364" spans="1:22" x14ac:dyDescent="0.3">
      <c r="A364" s="238"/>
      <c r="B364" s="239"/>
      <c r="C364" s="71" t="s">
        <v>88</v>
      </c>
      <c r="M364" s="232" t="str">
        <f>IF((L365=""),"",MAX(D366:L366))</f>
        <v/>
      </c>
      <c r="N364" s="232" t="str">
        <f>IF(L365="","",MIN(D366:L366))</f>
        <v/>
      </c>
      <c r="O364" s="232" t="str">
        <f>IF((L366=""),"",AVERAGE(D366:L366))</f>
        <v/>
      </c>
      <c r="P364" s="233">
        <v>19000</v>
      </c>
      <c r="Q364" s="233">
        <v>49000</v>
      </c>
      <c r="R364" s="232" t="str">
        <f>IF((L365=""),"",((M364-N364)/(M364+N364))*100)</f>
        <v/>
      </c>
      <c r="S364" s="233">
        <v>20</v>
      </c>
      <c r="T364" s="236" t="str">
        <f>IF(L365="","",IF(R461&lt;20,(IF(O364&gt;19000,IF(O364&lt;49000,"Pass","Fail"),"Fail"))))</f>
        <v/>
      </c>
      <c r="U364" s="232"/>
      <c r="V364" s="237"/>
    </row>
    <row r="365" spans="1:22" x14ac:dyDescent="0.3">
      <c r="A365" s="238"/>
      <c r="B365" s="240"/>
      <c r="C365" s="71" t="s">
        <v>89</v>
      </c>
      <c r="M365" s="232"/>
      <c r="N365" s="232"/>
      <c r="O365" s="232"/>
      <c r="P365" s="234"/>
      <c r="Q365" s="234"/>
      <c r="R365" s="232"/>
      <c r="S365" s="234"/>
      <c r="T365" s="236"/>
      <c r="U365" s="232"/>
      <c r="V365" s="237"/>
    </row>
    <row r="366" spans="1:22" ht="39.9" x14ac:dyDescent="0.3">
      <c r="A366" s="238"/>
      <c r="B366" s="241"/>
      <c r="C366" s="71" t="s">
        <v>123</v>
      </c>
      <c r="D366" s="38" t="str">
        <f t="shared" ref="D366:L366" si="118">IF(((D364="")*AND(D365="")),"",(D364-D365)*60/70)</f>
        <v/>
      </c>
      <c r="E366" s="38" t="str">
        <f t="shared" si="118"/>
        <v/>
      </c>
      <c r="F366" s="38" t="str">
        <f t="shared" si="118"/>
        <v/>
      </c>
      <c r="G366" s="38" t="str">
        <f t="shared" si="118"/>
        <v/>
      </c>
      <c r="H366" s="38" t="str">
        <f t="shared" si="118"/>
        <v/>
      </c>
      <c r="I366" s="38" t="str">
        <f t="shared" si="118"/>
        <v/>
      </c>
      <c r="J366" s="38" t="str">
        <f t="shared" si="118"/>
        <v/>
      </c>
      <c r="K366" s="38" t="str">
        <f t="shared" si="118"/>
        <v/>
      </c>
      <c r="L366" s="38" t="str">
        <f t="shared" si="118"/>
        <v/>
      </c>
      <c r="M366" s="232"/>
      <c r="N366" s="232"/>
      <c r="O366" s="232"/>
      <c r="P366" s="235"/>
      <c r="Q366" s="235"/>
      <c r="R366" s="232"/>
      <c r="S366" s="235"/>
      <c r="T366" s="236"/>
      <c r="U366" s="232"/>
      <c r="V366" s="237"/>
    </row>
    <row r="367" spans="1:22" x14ac:dyDescent="0.3">
      <c r="A367" s="238"/>
      <c r="B367" s="239"/>
      <c r="C367" s="71" t="s">
        <v>88</v>
      </c>
      <c r="M367" s="232" t="str">
        <f>IF((L368=""),"",MAX(D369:L369))</f>
        <v/>
      </c>
      <c r="N367" s="232" t="str">
        <f>IF(L368="","",MIN(D369:L369))</f>
        <v/>
      </c>
      <c r="O367" s="232" t="str">
        <f>IF((L369=""),"",AVERAGE(D369:L369))</f>
        <v/>
      </c>
      <c r="P367" s="233">
        <v>19000</v>
      </c>
      <c r="Q367" s="233">
        <v>49000</v>
      </c>
      <c r="R367" s="232" t="str">
        <f>IF((L368=""),"",((M367-N367)/(M367+N367))*100)</f>
        <v/>
      </c>
      <c r="S367" s="233">
        <v>20</v>
      </c>
      <c r="T367" s="236" t="str">
        <f>IF(L368="","",IF(R464&lt;20,(IF(O367&gt;19000,IF(O367&lt;49000,"Pass","Fail"),"Fail"))))</f>
        <v/>
      </c>
      <c r="U367" s="232"/>
      <c r="V367" s="237"/>
    </row>
    <row r="368" spans="1:22" x14ac:dyDescent="0.3">
      <c r="A368" s="238"/>
      <c r="B368" s="240"/>
      <c r="C368" s="71" t="s">
        <v>89</v>
      </c>
      <c r="M368" s="232"/>
      <c r="N368" s="232"/>
      <c r="O368" s="232"/>
      <c r="P368" s="234"/>
      <c r="Q368" s="234"/>
      <c r="R368" s="232"/>
      <c r="S368" s="234"/>
      <c r="T368" s="236"/>
      <c r="U368" s="232"/>
      <c r="V368" s="237"/>
    </row>
    <row r="369" spans="1:22" ht="39.9" x14ac:dyDescent="0.3">
      <c r="A369" s="238"/>
      <c r="B369" s="241"/>
      <c r="C369" s="71" t="s">
        <v>123</v>
      </c>
      <c r="D369" s="38" t="str">
        <f t="shared" ref="D369:L369" si="119">IF(((D367="")*AND(D368="")),"",(D367-D368)*60/70)</f>
        <v/>
      </c>
      <c r="E369" s="38" t="str">
        <f t="shared" si="119"/>
        <v/>
      </c>
      <c r="F369" s="38" t="str">
        <f t="shared" si="119"/>
        <v/>
      </c>
      <c r="G369" s="38" t="str">
        <f t="shared" si="119"/>
        <v/>
      </c>
      <c r="H369" s="38" t="str">
        <f t="shared" si="119"/>
        <v/>
      </c>
      <c r="I369" s="38" t="str">
        <f t="shared" si="119"/>
        <v/>
      </c>
      <c r="J369" s="38" t="str">
        <f t="shared" si="119"/>
        <v/>
      </c>
      <c r="K369" s="38" t="str">
        <f t="shared" si="119"/>
        <v/>
      </c>
      <c r="L369" s="38" t="str">
        <f t="shared" si="119"/>
        <v/>
      </c>
      <c r="M369" s="232"/>
      <c r="N369" s="232"/>
      <c r="O369" s="232"/>
      <c r="P369" s="235"/>
      <c r="Q369" s="235"/>
      <c r="R369" s="232"/>
      <c r="S369" s="235"/>
      <c r="T369" s="236"/>
      <c r="U369" s="232"/>
      <c r="V369" s="237"/>
    </row>
    <row r="370" spans="1:22" x14ac:dyDescent="0.3">
      <c r="A370" s="238"/>
      <c r="B370" s="239"/>
      <c r="C370" s="71" t="s">
        <v>88</v>
      </c>
      <c r="M370" s="232" t="str">
        <f>IF((L371=""),"",MAX(D372:L372))</f>
        <v/>
      </c>
      <c r="N370" s="232" t="str">
        <f>IF(L371="","",MIN(D372:L372))</f>
        <v/>
      </c>
      <c r="O370" s="232" t="str">
        <f>IF((L372=""),"",AVERAGE(D372:L372))</f>
        <v/>
      </c>
      <c r="P370" s="233">
        <v>19000</v>
      </c>
      <c r="Q370" s="233">
        <v>49000</v>
      </c>
      <c r="R370" s="232" t="str">
        <f>IF((L371=""),"",((M370-N370)/(M370+N370))*100)</f>
        <v/>
      </c>
      <c r="S370" s="233">
        <v>20</v>
      </c>
      <c r="T370" s="236" t="str">
        <f>IF(L371="","",IF(R467&lt;20,(IF(O370&gt;19000,IF(O370&lt;49000,"Pass","Fail"),"Fail"))))</f>
        <v/>
      </c>
      <c r="U370" s="232"/>
      <c r="V370" s="237"/>
    </row>
    <row r="371" spans="1:22" x14ac:dyDescent="0.3">
      <c r="A371" s="238"/>
      <c r="B371" s="240"/>
      <c r="C371" s="71" t="s">
        <v>89</v>
      </c>
      <c r="M371" s="232"/>
      <c r="N371" s="232"/>
      <c r="O371" s="232"/>
      <c r="P371" s="234"/>
      <c r="Q371" s="234"/>
      <c r="R371" s="232"/>
      <c r="S371" s="234"/>
      <c r="T371" s="236"/>
      <c r="U371" s="232"/>
      <c r="V371" s="237"/>
    </row>
    <row r="372" spans="1:22" ht="39.9" x14ac:dyDescent="0.3">
      <c r="A372" s="238"/>
      <c r="B372" s="241"/>
      <c r="C372" s="71" t="s">
        <v>123</v>
      </c>
      <c r="D372" s="38" t="str">
        <f t="shared" ref="D372:L372" si="120">IF(((D370="")*AND(D371="")),"",(D370-D371)*60/70)</f>
        <v/>
      </c>
      <c r="E372" s="38" t="str">
        <f t="shared" si="120"/>
        <v/>
      </c>
      <c r="F372" s="38" t="str">
        <f t="shared" si="120"/>
        <v/>
      </c>
      <c r="G372" s="38" t="str">
        <f t="shared" si="120"/>
        <v/>
      </c>
      <c r="H372" s="38" t="str">
        <f t="shared" si="120"/>
        <v/>
      </c>
      <c r="I372" s="38" t="str">
        <f t="shared" si="120"/>
        <v/>
      </c>
      <c r="J372" s="38" t="str">
        <f t="shared" si="120"/>
        <v/>
      </c>
      <c r="K372" s="38" t="str">
        <f t="shared" si="120"/>
        <v/>
      </c>
      <c r="L372" s="38" t="str">
        <f t="shared" si="120"/>
        <v/>
      </c>
      <c r="M372" s="232"/>
      <c r="N372" s="232"/>
      <c r="O372" s="232"/>
      <c r="P372" s="235"/>
      <c r="Q372" s="235"/>
      <c r="R372" s="232"/>
      <c r="S372" s="235"/>
      <c r="T372" s="236"/>
      <c r="U372" s="232"/>
      <c r="V372" s="237"/>
    </row>
    <row r="373" spans="1:22" x14ac:dyDescent="0.3">
      <c r="A373" s="238"/>
      <c r="B373" s="239"/>
      <c r="C373" s="71" t="s">
        <v>88</v>
      </c>
      <c r="M373" s="232" t="str">
        <f>IF((L374=""),"",MAX(D375:L375))</f>
        <v/>
      </c>
      <c r="N373" s="232" t="str">
        <f>IF(L374="","",MIN(D375:L375))</f>
        <v/>
      </c>
      <c r="O373" s="232" t="str">
        <f>IF((L375=""),"",AVERAGE(D375:L375))</f>
        <v/>
      </c>
      <c r="P373" s="233">
        <v>19000</v>
      </c>
      <c r="Q373" s="233">
        <v>49000</v>
      </c>
      <c r="R373" s="232" t="str">
        <f>IF((L374=""),"",((M373-N373)/(M373+N373))*100)</f>
        <v/>
      </c>
      <c r="S373" s="233">
        <v>20</v>
      </c>
      <c r="T373" s="236" t="str">
        <f>IF(L374="","",IF(R470&lt;20,(IF(O373&gt;19000,IF(O373&lt;49000,"Pass","Fail"),"Fail"))))</f>
        <v/>
      </c>
      <c r="U373" s="232"/>
      <c r="V373" s="237"/>
    </row>
    <row r="374" spans="1:22" x14ac:dyDescent="0.3">
      <c r="A374" s="238"/>
      <c r="B374" s="240"/>
      <c r="C374" s="71" t="s">
        <v>89</v>
      </c>
      <c r="M374" s="232"/>
      <c r="N374" s="232"/>
      <c r="O374" s="232"/>
      <c r="P374" s="234"/>
      <c r="Q374" s="234"/>
      <c r="R374" s="232"/>
      <c r="S374" s="234"/>
      <c r="T374" s="236"/>
      <c r="U374" s="232"/>
      <c r="V374" s="237"/>
    </row>
    <row r="375" spans="1:22" ht="39.9" x14ac:dyDescent="0.3">
      <c r="A375" s="238"/>
      <c r="B375" s="241"/>
      <c r="C375" s="71" t="s">
        <v>123</v>
      </c>
      <c r="D375" s="38" t="str">
        <f t="shared" ref="D375:L375" si="121">IF(((D373="")*AND(D374="")),"",(D373-D374)*60/70)</f>
        <v/>
      </c>
      <c r="E375" s="38" t="str">
        <f t="shared" si="121"/>
        <v/>
      </c>
      <c r="F375" s="38" t="str">
        <f t="shared" si="121"/>
        <v/>
      </c>
      <c r="G375" s="38" t="str">
        <f t="shared" si="121"/>
        <v/>
      </c>
      <c r="H375" s="38" t="str">
        <f t="shared" si="121"/>
        <v/>
      </c>
      <c r="I375" s="38" t="str">
        <f t="shared" si="121"/>
        <v/>
      </c>
      <c r="J375" s="38" t="str">
        <f t="shared" si="121"/>
        <v/>
      </c>
      <c r="K375" s="38" t="str">
        <f t="shared" si="121"/>
        <v/>
      </c>
      <c r="L375" s="38" t="str">
        <f t="shared" si="121"/>
        <v/>
      </c>
      <c r="M375" s="232"/>
      <c r="N375" s="232"/>
      <c r="O375" s="232"/>
      <c r="P375" s="235"/>
      <c r="Q375" s="235"/>
      <c r="R375" s="232"/>
      <c r="S375" s="235"/>
      <c r="T375" s="236"/>
      <c r="U375" s="232"/>
      <c r="V375" s="237"/>
    </row>
    <row r="376" spans="1:22" x14ac:dyDescent="0.3">
      <c r="A376" s="238"/>
      <c r="B376" s="239"/>
      <c r="C376" s="71" t="s">
        <v>88</v>
      </c>
      <c r="M376" s="232" t="str">
        <f>IF((L377=""),"",MAX(D378:L378))</f>
        <v/>
      </c>
      <c r="N376" s="232" t="str">
        <f>IF(L377="","",MIN(D378:L378))</f>
        <v/>
      </c>
      <c r="O376" s="232" t="str">
        <f>IF((L378=""),"",AVERAGE(D378:L378))</f>
        <v/>
      </c>
      <c r="P376" s="233">
        <v>19000</v>
      </c>
      <c r="Q376" s="233">
        <v>49000</v>
      </c>
      <c r="R376" s="232" t="str">
        <f>IF((L377=""),"",((M376-N376)/(M376+N376))*100)</f>
        <v/>
      </c>
      <c r="S376" s="233">
        <v>20</v>
      </c>
      <c r="T376" s="236" t="str">
        <f>IF(L377="","",IF(R473&lt;20,(IF(O376&gt;19000,IF(O376&lt;49000,"Pass","Fail"),"Fail"))))</f>
        <v/>
      </c>
      <c r="U376" s="232"/>
      <c r="V376" s="237"/>
    </row>
    <row r="377" spans="1:22" x14ac:dyDescent="0.3">
      <c r="A377" s="238"/>
      <c r="B377" s="240"/>
      <c r="C377" s="71" t="s">
        <v>89</v>
      </c>
      <c r="M377" s="232"/>
      <c r="N377" s="232"/>
      <c r="O377" s="232"/>
      <c r="P377" s="234"/>
      <c r="Q377" s="234"/>
      <c r="R377" s="232"/>
      <c r="S377" s="234"/>
      <c r="T377" s="236"/>
      <c r="U377" s="232"/>
      <c r="V377" s="237"/>
    </row>
    <row r="378" spans="1:22" ht="39.9" x14ac:dyDescent="0.3">
      <c r="A378" s="238"/>
      <c r="B378" s="241"/>
      <c r="C378" s="71" t="s">
        <v>123</v>
      </c>
      <c r="D378" s="38" t="str">
        <f t="shared" ref="D378:L378" si="122">IF(((D376="")*AND(D377="")),"",(D376-D377)*60/70)</f>
        <v/>
      </c>
      <c r="E378" s="38" t="str">
        <f t="shared" si="122"/>
        <v/>
      </c>
      <c r="F378" s="38" t="str">
        <f t="shared" si="122"/>
        <v/>
      </c>
      <c r="G378" s="38" t="str">
        <f t="shared" si="122"/>
        <v/>
      </c>
      <c r="H378" s="38" t="str">
        <f t="shared" si="122"/>
        <v/>
      </c>
      <c r="I378" s="38" t="str">
        <f t="shared" si="122"/>
        <v/>
      </c>
      <c r="J378" s="38" t="str">
        <f t="shared" si="122"/>
        <v/>
      </c>
      <c r="K378" s="38" t="str">
        <f t="shared" si="122"/>
        <v/>
      </c>
      <c r="L378" s="38" t="str">
        <f t="shared" si="122"/>
        <v/>
      </c>
      <c r="M378" s="232"/>
      <c r="N378" s="232"/>
      <c r="O378" s="232"/>
      <c r="P378" s="235"/>
      <c r="Q378" s="235"/>
      <c r="R378" s="232"/>
      <c r="S378" s="235"/>
      <c r="T378" s="236"/>
      <c r="U378" s="232"/>
      <c r="V378" s="237"/>
    </row>
    <row r="379" spans="1:22" x14ac:dyDescent="0.3">
      <c r="A379" s="238"/>
      <c r="B379" s="239"/>
      <c r="C379" s="71" t="s">
        <v>88</v>
      </c>
      <c r="M379" s="232" t="str">
        <f>IF((L380=""),"",MAX(D381:L381))</f>
        <v/>
      </c>
      <c r="N379" s="232" t="str">
        <f>IF(L380="","",MIN(D381:L381))</f>
        <v/>
      </c>
      <c r="O379" s="232" t="str">
        <f>IF((L381=""),"",AVERAGE(D381:L381))</f>
        <v/>
      </c>
      <c r="P379" s="233">
        <v>19000</v>
      </c>
      <c r="Q379" s="233">
        <v>49000</v>
      </c>
      <c r="R379" s="232" t="str">
        <f>IF((L380=""),"",((M379-N379)/(M379+N379))*100)</f>
        <v/>
      </c>
      <c r="S379" s="233">
        <v>20</v>
      </c>
      <c r="T379" s="236" t="str">
        <f>IF(L380="","",IF(R476&lt;20,(IF(O379&gt;19000,IF(O379&lt;49000,"Pass","Fail"),"Fail"))))</f>
        <v/>
      </c>
      <c r="U379" s="232"/>
      <c r="V379" s="237"/>
    </row>
    <row r="380" spans="1:22" x14ac:dyDescent="0.3">
      <c r="A380" s="238"/>
      <c r="B380" s="240"/>
      <c r="C380" s="71" t="s">
        <v>89</v>
      </c>
      <c r="M380" s="232"/>
      <c r="N380" s="232"/>
      <c r="O380" s="232"/>
      <c r="P380" s="234"/>
      <c r="Q380" s="234"/>
      <c r="R380" s="232"/>
      <c r="S380" s="234"/>
      <c r="T380" s="236"/>
      <c r="U380" s="232"/>
      <c r="V380" s="237"/>
    </row>
    <row r="381" spans="1:22" ht="39.9" x14ac:dyDescent="0.3">
      <c r="A381" s="238"/>
      <c r="B381" s="241"/>
      <c r="C381" s="71" t="s">
        <v>123</v>
      </c>
      <c r="D381" s="38" t="str">
        <f t="shared" ref="D381:L381" si="123">IF(((D379="")*AND(D380="")),"",(D379-D380)*60/70)</f>
        <v/>
      </c>
      <c r="E381" s="38" t="str">
        <f t="shared" si="123"/>
        <v/>
      </c>
      <c r="F381" s="38" t="str">
        <f t="shared" si="123"/>
        <v/>
      </c>
      <c r="G381" s="38" t="str">
        <f t="shared" si="123"/>
        <v/>
      </c>
      <c r="H381" s="38" t="str">
        <f t="shared" si="123"/>
        <v/>
      </c>
      <c r="I381" s="38" t="str">
        <f t="shared" si="123"/>
        <v/>
      </c>
      <c r="J381" s="38" t="str">
        <f t="shared" si="123"/>
        <v/>
      </c>
      <c r="K381" s="38" t="str">
        <f t="shared" si="123"/>
        <v/>
      </c>
      <c r="L381" s="38" t="str">
        <f t="shared" si="123"/>
        <v/>
      </c>
      <c r="M381" s="232"/>
      <c r="N381" s="232"/>
      <c r="O381" s="232"/>
      <c r="P381" s="235"/>
      <c r="Q381" s="235"/>
      <c r="R381" s="232"/>
      <c r="S381" s="235"/>
      <c r="T381" s="236"/>
      <c r="U381" s="232"/>
      <c r="V381" s="237"/>
    </row>
    <row r="382" spans="1:22" x14ac:dyDescent="0.3">
      <c r="A382" s="238"/>
      <c r="B382" s="239"/>
      <c r="C382" s="71" t="s">
        <v>88</v>
      </c>
      <c r="M382" s="232" t="str">
        <f>IF((L383=""),"",MAX(D384:L384))</f>
        <v/>
      </c>
      <c r="N382" s="232" t="str">
        <f>IF(L383="","",MIN(D384:L384))</f>
        <v/>
      </c>
      <c r="O382" s="232" t="str">
        <f>IF((L384=""),"",AVERAGE(D384:L384))</f>
        <v/>
      </c>
      <c r="P382" s="233">
        <v>19000</v>
      </c>
      <c r="Q382" s="233">
        <v>49000</v>
      </c>
      <c r="R382" s="232" t="str">
        <f>IF((L383=""),"",((M382-N382)/(M382+N382))*100)</f>
        <v/>
      </c>
      <c r="S382" s="233">
        <v>20</v>
      </c>
      <c r="T382" s="236" t="str">
        <f>IF(L383="","",IF(R479&lt;20,(IF(O382&gt;19000,IF(O382&lt;49000,"Pass","Fail"),"Fail"))))</f>
        <v/>
      </c>
      <c r="U382" s="232"/>
      <c r="V382" s="237"/>
    </row>
    <row r="383" spans="1:22" x14ac:dyDescent="0.3">
      <c r="A383" s="238"/>
      <c r="B383" s="240"/>
      <c r="C383" s="71" t="s">
        <v>89</v>
      </c>
      <c r="M383" s="232"/>
      <c r="N383" s="232"/>
      <c r="O383" s="232"/>
      <c r="P383" s="234"/>
      <c r="Q383" s="234"/>
      <c r="R383" s="232"/>
      <c r="S383" s="234"/>
      <c r="T383" s="236"/>
      <c r="U383" s="232"/>
      <c r="V383" s="237"/>
    </row>
    <row r="384" spans="1:22" ht="39.9" x14ac:dyDescent="0.3">
      <c r="A384" s="238"/>
      <c r="B384" s="241"/>
      <c r="C384" s="71" t="s">
        <v>123</v>
      </c>
      <c r="D384" s="38" t="str">
        <f t="shared" ref="D384:L384" si="124">IF(((D382="")*AND(D383="")),"",(D382-D383)*60/70)</f>
        <v/>
      </c>
      <c r="E384" s="38" t="str">
        <f t="shared" si="124"/>
        <v/>
      </c>
      <c r="F384" s="38" t="str">
        <f t="shared" si="124"/>
        <v/>
      </c>
      <c r="G384" s="38" t="str">
        <f t="shared" si="124"/>
        <v/>
      </c>
      <c r="H384" s="38" t="str">
        <f t="shared" si="124"/>
        <v/>
      </c>
      <c r="I384" s="38" t="str">
        <f t="shared" si="124"/>
        <v/>
      </c>
      <c r="J384" s="38" t="str">
        <f t="shared" si="124"/>
        <v/>
      </c>
      <c r="K384" s="38" t="str">
        <f t="shared" si="124"/>
        <v/>
      </c>
      <c r="L384" s="38" t="str">
        <f t="shared" si="124"/>
        <v/>
      </c>
      <c r="M384" s="232"/>
      <c r="N384" s="232"/>
      <c r="O384" s="232"/>
      <c r="P384" s="235"/>
      <c r="Q384" s="235"/>
      <c r="R384" s="232"/>
      <c r="S384" s="235"/>
      <c r="T384" s="236"/>
      <c r="U384" s="232"/>
      <c r="V384" s="237"/>
    </row>
    <row r="385" spans="1:22" x14ac:dyDescent="0.3">
      <c r="A385" s="238"/>
      <c r="B385" s="239"/>
      <c r="C385" s="71" t="s">
        <v>88</v>
      </c>
      <c r="M385" s="232" t="str">
        <f>IF((L386=""),"",MAX(D387:L387))</f>
        <v/>
      </c>
      <c r="N385" s="232" t="str">
        <f>IF(L386="","",MIN(D387:L387))</f>
        <v/>
      </c>
      <c r="O385" s="232" t="str">
        <f>IF((L387=""),"",AVERAGE(D387:L387))</f>
        <v/>
      </c>
      <c r="P385" s="233">
        <v>19000</v>
      </c>
      <c r="Q385" s="233">
        <v>49000</v>
      </c>
      <c r="R385" s="232" t="str">
        <f>IF((L386=""),"",((M385-N385)/(M385+N385))*100)</f>
        <v/>
      </c>
      <c r="S385" s="233">
        <v>20</v>
      </c>
      <c r="T385" s="236" t="str">
        <f>IF(L386="","",IF(R482&lt;20,(IF(O385&gt;19000,IF(O385&lt;49000,"Pass","Fail"),"Fail"))))</f>
        <v/>
      </c>
      <c r="U385" s="232"/>
      <c r="V385" s="237"/>
    </row>
    <row r="386" spans="1:22" x14ac:dyDescent="0.3">
      <c r="A386" s="238"/>
      <c r="B386" s="240"/>
      <c r="C386" s="71" t="s">
        <v>89</v>
      </c>
      <c r="M386" s="232"/>
      <c r="N386" s="232"/>
      <c r="O386" s="232"/>
      <c r="P386" s="234"/>
      <c r="Q386" s="234"/>
      <c r="R386" s="232"/>
      <c r="S386" s="234"/>
      <c r="T386" s="236"/>
      <c r="U386" s="232"/>
      <c r="V386" s="237"/>
    </row>
    <row r="387" spans="1:22" ht="39.9" x14ac:dyDescent="0.3">
      <c r="A387" s="238"/>
      <c r="B387" s="241"/>
      <c r="C387" s="71" t="s">
        <v>123</v>
      </c>
      <c r="D387" s="38" t="str">
        <f t="shared" ref="D387:L387" si="125">IF(((D385="")*AND(D386="")),"",(D385-D386)*60/70)</f>
        <v/>
      </c>
      <c r="E387" s="38" t="str">
        <f t="shared" si="125"/>
        <v/>
      </c>
      <c r="F387" s="38" t="str">
        <f t="shared" si="125"/>
        <v/>
      </c>
      <c r="G387" s="38" t="str">
        <f t="shared" si="125"/>
        <v/>
      </c>
      <c r="H387" s="38" t="str">
        <f t="shared" si="125"/>
        <v/>
      </c>
      <c r="I387" s="38" t="str">
        <f t="shared" si="125"/>
        <v/>
      </c>
      <c r="J387" s="38" t="str">
        <f t="shared" si="125"/>
        <v/>
      </c>
      <c r="K387" s="38" t="str">
        <f t="shared" si="125"/>
        <v/>
      </c>
      <c r="L387" s="38" t="str">
        <f t="shared" si="125"/>
        <v/>
      </c>
      <c r="M387" s="232"/>
      <c r="N387" s="232"/>
      <c r="O387" s="232"/>
      <c r="P387" s="235"/>
      <c r="Q387" s="235"/>
      <c r="R387" s="232"/>
      <c r="S387" s="235"/>
      <c r="T387" s="236"/>
      <c r="U387" s="232"/>
      <c r="V387" s="237"/>
    </row>
    <row r="388" spans="1:22" x14ac:dyDescent="0.3">
      <c r="A388" s="238"/>
      <c r="B388" s="239"/>
      <c r="C388" s="71" t="s">
        <v>88</v>
      </c>
      <c r="M388" s="232" t="str">
        <f>IF((L389=""),"",MAX(D390:L390))</f>
        <v/>
      </c>
      <c r="N388" s="232" t="str">
        <f>IF(L389="","",MIN(D390:L390))</f>
        <v/>
      </c>
      <c r="O388" s="232" t="str">
        <f>IF((L390=""),"",AVERAGE(D390:L390))</f>
        <v/>
      </c>
      <c r="P388" s="233">
        <v>19000</v>
      </c>
      <c r="Q388" s="233">
        <v>49000</v>
      </c>
      <c r="R388" s="232" t="str">
        <f>IF((L389=""),"",((M388-N388)/(M388+N388))*100)</f>
        <v/>
      </c>
      <c r="S388" s="233">
        <v>20</v>
      </c>
      <c r="T388" s="236" t="str">
        <f>IF(L389="","",IF(R485&lt;20,(IF(O388&gt;19000,IF(O388&lt;49000,"Pass","Fail"),"Fail"))))</f>
        <v/>
      </c>
      <c r="U388" s="232"/>
      <c r="V388" s="237"/>
    </row>
    <row r="389" spans="1:22" x14ac:dyDescent="0.3">
      <c r="A389" s="238"/>
      <c r="B389" s="240"/>
      <c r="C389" s="71" t="s">
        <v>89</v>
      </c>
      <c r="M389" s="232"/>
      <c r="N389" s="232"/>
      <c r="O389" s="232"/>
      <c r="P389" s="234"/>
      <c r="Q389" s="234"/>
      <c r="R389" s="232"/>
      <c r="S389" s="234"/>
      <c r="T389" s="236"/>
      <c r="U389" s="232"/>
      <c r="V389" s="237"/>
    </row>
    <row r="390" spans="1:22" ht="39.9" x14ac:dyDescent="0.3">
      <c r="A390" s="238"/>
      <c r="B390" s="241"/>
      <c r="C390" s="71" t="s">
        <v>123</v>
      </c>
      <c r="D390" s="38" t="str">
        <f t="shared" ref="D390:L390" si="126">IF(((D388="")*AND(D389="")),"",(D388-D389)*60/70)</f>
        <v/>
      </c>
      <c r="E390" s="38" t="str">
        <f t="shared" si="126"/>
        <v/>
      </c>
      <c r="F390" s="38" t="str">
        <f t="shared" si="126"/>
        <v/>
      </c>
      <c r="G390" s="38" t="str">
        <f t="shared" si="126"/>
        <v/>
      </c>
      <c r="H390" s="38" t="str">
        <f t="shared" si="126"/>
        <v/>
      </c>
      <c r="I390" s="38" t="str">
        <f t="shared" si="126"/>
        <v/>
      </c>
      <c r="J390" s="38" t="str">
        <f t="shared" si="126"/>
        <v/>
      </c>
      <c r="K390" s="38" t="str">
        <f t="shared" si="126"/>
        <v/>
      </c>
      <c r="L390" s="38" t="str">
        <f t="shared" si="126"/>
        <v/>
      </c>
      <c r="M390" s="232"/>
      <c r="N390" s="232"/>
      <c r="O390" s="232"/>
      <c r="P390" s="235"/>
      <c r="Q390" s="235"/>
      <c r="R390" s="232"/>
      <c r="S390" s="235"/>
      <c r="T390" s="236"/>
      <c r="U390" s="232"/>
      <c r="V390" s="237"/>
    </row>
    <row r="391" spans="1:22" x14ac:dyDescent="0.3">
      <c r="A391" s="238"/>
      <c r="B391" s="239"/>
      <c r="C391" s="71" t="s">
        <v>88</v>
      </c>
      <c r="M391" s="232" t="str">
        <f>IF((L392=""),"",MAX(D393:L393))</f>
        <v/>
      </c>
      <c r="N391" s="232" t="str">
        <f>IF(L392="","",MIN(D393:L393))</f>
        <v/>
      </c>
      <c r="O391" s="232" t="str">
        <f>IF((L393=""),"",AVERAGE(D393:L393))</f>
        <v/>
      </c>
      <c r="P391" s="233">
        <v>19000</v>
      </c>
      <c r="Q391" s="233">
        <v>49000</v>
      </c>
      <c r="R391" s="232" t="str">
        <f>IF((L392=""),"",((M391-N391)/(M391+N391))*100)</f>
        <v/>
      </c>
      <c r="S391" s="233">
        <v>20</v>
      </c>
      <c r="T391" s="236" t="str">
        <f>IF(L392="","",IF(R488&lt;20,(IF(O391&gt;19000,IF(O391&lt;49000,"Pass","Fail"),"Fail"))))</f>
        <v/>
      </c>
      <c r="U391" s="232"/>
      <c r="V391" s="237"/>
    </row>
    <row r="392" spans="1:22" x14ac:dyDescent="0.3">
      <c r="A392" s="238"/>
      <c r="B392" s="240"/>
      <c r="C392" s="71" t="s">
        <v>89</v>
      </c>
      <c r="M392" s="232"/>
      <c r="N392" s="232"/>
      <c r="O392" s="232"/>
      <c r="P392" s="234"/>
      <c r="Q392" s="234"/>
      <c r="R392" s="232"/>
      <c r="S392" s="234"/>
      <c r="T392" s="236"/>
      <c r="U392" s="232"/>
      <c r="V392" s="237"/>
    </row>
    <row r="393" spans="1:22" ht="39.9" x14ac:dyDescent="0.3">
      <c r="A393" s="238"/>
      <c r="B393" s="241"/>
      <c r="C393" s="71" t="s">
        <v>123</v>
      </c>
      <c r="D393" s="38" t="str">
        <f t="shared" ref="D393:L393" si="127">IF(((D391="")*AND(D392="")),"",(D391-D392)*60/70)</f>
        <v/>
      </c>
      <c r="E393" s="38" t="str">
        <f t="shared" si="127"/>
        <v/>
      </c>
      <c r="F393" s="38" t="str">
        <f t="shared" si="127"/>
        <v/>
      </c>
      <c r="G393" s="38" t="str">
        <f t="shared" si="127"/>
        <v/>
      </c>
      <c r="H393" s="38" t="str">
        <f t="shared" si="127"/>
        <v/>
      </c>
      <c r="I393" s="38" t="str">
        <f t="shared" si="127"/>
        <v/>
      </c>
      <c r="J393" s="38" t="str">
        <f t="shared" si="127"/>
        <v/>
      </c>
      <c r="K393" s="38" t="str">
        <f t="shared" si="127"/>
        <v/>
      </c>
      <c r="L393" s="38" t="str">
        <f t="shared" si="127"/>
        <v/>
      </c>
      <c r="M393" s="232"/>
      <c r="N393" s="232"/>
      <c r="O393" s="232"/>
      <c r="P393" s="235"/>
      <c r="Q393" s="235"/>
      <c r="R393" s="232"/>
      <c r="S393" s="235"/>
      <c r="T393" s="236"/>
      <c r="U393" s="232"/>
      <c r="V393" s="237"/>
    </row>
    <row r="394" spans="1:22" x14ac:dyDescent="0.3">
      <c r="A394" s="238"/>
      <c r="B394" s="239"/>
      <c r="C394" s="71" t="s">
        <v>88</v>
      </c>
      <c r="M394" s="232" t="str">
        <f>IF((L395=""),"",MAX(D396:L396))</f>
        <v/>
      </c>
      <c r="N394" s="232" t="str">
        <f>IF(L395="","",MIN(D396:L396))</f>
        <v/>
      </c>
      <c r="O394" s="232" t="str">
        <f>IF((L396=""),"",AVERAGE(D396:L396))</f>
        <v/>
      </c>
      <c r="P394" s="233">
        <v>19000</v>
      </c>
      <c r="Q394" s="233">
        <v>49000</v>
      </c>
      <c r="R394" s="232" t="str">
        <f>IF((L395=""),"",((M394-N394)/(M394+N394))*100)</f>
        <v/>
      </c>
      <c r="S394" s="233">
        <v>20</v>
      </c>
      <c r="T394" s="236" t="str">
        <f>IF(L395="","",IF(R491&lt;20,(IF(O394&gt;19000,IF(O394&lt;49000,"Pass","Fail"),"Fail"))))</f>
        <v/>
      </c>
      <c r="U394" s="232"/>
      <c r="V394" s="237"/>
    </row>
    <row r="395" spans="1:22" x14ac:dyDescent="0.3">
      <c r="A395" s="238"/>
      <c r="B395" s="240"/>
      <c r="C395" s="71" t="s">
        <v>89</v>
      </c>
      <c r="M395" s="232"/>
      <c r="N395" s="232"/>
      <c r="O395" s="232"/>
      <c r="P395" s="234"/>
      <c r="Q395" s="234"/>
      <c r="R395" s="232"/>
      <c r="S395" s="234"/>
      <c r="T395" s="236"/>
      <c r="U395" s="232"/>
      <c r="V395" s="237"/>
    </row>
    <row r="396" spans="1:22" ht="39.9" x14ac:dyDescent="0.3">
      <c r="A396" s="238"/>
      <c r="B396" s="241"/>
      <c r="C396" s="71" t="s">
        <v>123</v>
      </c>
      <c r="D396" s="38" t="str">
        <f t="shared" ref="D396:L396" si="128">IF(((D394="")*AND(D395="")),"",(D394-D395)*60/70)</f>
        <v/>
      </c>
      <c r="E396" s="38" t="str">
        <f t="shared" si="128"/>
        <v/>
      </c>
      <c r="F396" s="38" t="str">
        <f t="shared" si="128"/>
        <v/>
      </c>
      <c r="G396" s="38" t="str">
        <f t="shared" si="128"/>
        <v/>
      </c>
      <c r="H396" s="38" t="str">
        <f t="shared" si="128"/>
        <v/>
      </c>
      <c r="I396" s="38" t="str">
        <f t="shared" si="128"/>
        <v/>
      </c>
      <c r="J396" s="38" t="str">
        <f t="shared" si="128"/>
        <v/>
      </c>
      <c r="K396" s="38" t="str">
        <f t="shared" si="128"/>
        <v/>
      </c>
      <c r="L396" s="38" t="str">
        <f t="shared" si="128"/>
        <v/>
      </c>
      <c r="M396" s="232"/>
      <c r="N396" s="232"/>
      <c r="O396" s="232"/>
      <c r="P396" s="235"/>
      <c r="Q396" s="235"/>
      <c r="R396" s="232"/>
      <c r="S396" s="235"/>
      <c r="T396" s="236"/>
      <c r="U396" s="232"/>
      <c r="V396" s="237"/>
    </row>
    <row r="397" spans="1:22" x14ac:dyDescent="0.3">
      <c r="A397" s="238"/>
      <c r="B397" s="239"/>
      <c r="C397" s="71" t="s">
        <v>88</v>
      </c>
      <c r="M397" s="232" t="str">
        <f>IF((L398=""),"",MAX(D399:L399))</f>
        <v/>
      </c>
      <c r="N397" s="232" t="str">
        <f>IF(L398="","",MIN(D399:L399))</f>
        <v/>
      </c>
      <c r="O397" s="232" t="str">
        <f>IF((L399=""),"",AVERAGE(D399:L399))</f>
        <v/>
      </c>
      <c r="P397" s="233">
        <v>19000</v>
      </c>
      <c r="Q397" s="233">
        <v>49000</v>
      </c>
      <c r="R397" s="232" t="str">
        <f>IF((L398=""),"",((M397-N397)/(M397+N397))*100)</f>
        <v/>
      </c>
      <c r="S397" s="233">
        <v>20</v>
      </c>
      <c r="T397" s="236" t="str">
        <f>IF(L398="","",IF(R494&lt;20,(IF(O397&gt;19000,IF(O397&lt;49000,"Pass","Fail"),"Fail"))))</f>
        <v/>
      </c>
      <c r="U397" s="232"/>
      <c r="V397" s="237"/>
    </row>
    <row r="398" spans="1:22" x14ac:dyDescent="0.3">
      <c r="A398" s="238"/>
      <c r="B398" s="240"/>
      <c r="C398" s="71" t="s">
        <v>89</v>
      </c>
      <c r="M398" s="232"/>
      <c r="N398" s="232"/>
      <c r="O398" s="232"/>
      <c r="P398" s="234"/>
      <c r="Q398" s="234"/>
      <c r="R398" s="232"/>
      <c r="S398" s="234"/>
      <c r="T398" s="236"/>
      <c r="U398" s="232"/>
      <c r="V398" s="237"/>
    </row>
    <row r="399" spans="1:22" ht="39.9" x14ac:dyDescent="0.3">
      <c r="A399" s="238"/>
      <c r="B399" s="241"/>
      <c r="C399" s="71" t="s">
        <v>123</v>
      </c>
      <c r="D399" s="38" t="str">
        <f t="shared" ref="D399:L399" si="129">IF(((D397="")*AND(D398="")),"",(D397-D398)*60/70)</f>
        <v/>
      </c>
      <c r="E399" s="38" t="str">
        <f t="shared" si="129"/>
        <v/>
      </c>
      <c r="F399" s="38" t="str">
        <f t="shared" si="129"/>
        <v/>
      </c>
      <c r="G399" s="38" t="str">
        <f t="shared" si="129"/>
        <v/>
      </c>
      <c r="H399" s="38" t="str">
        <f t="shared" si="129"/>
        <v/>
      </c>
      <c r="I399" s="38" t="str">
        <f t="shared" si="129"/>
        <v/>
      </c>
      <c r="J399" s="38" t="str">
        <f t="shared" si="129"/>
        <v/>
      </c>
      <c r="K399" s="38" t="str">
        <f t="shared" si="129"/>
        <v/>
      </c>
      <c r="L399" s="38" t="str">
        <f t="shared" si="129"/>
        <v/>
      </c>
      <c r="M399" s="232"/>
      <c r="N399" s="232"/>
      <c r="O399" s="232"/>
      <c r="P399" s="235"/>
      <c r="Q399" s="235"/>
      <c r="R399" s="232"/>
      <c r="S399" s="235"/>
      <c r="T399" s="236"/>
      <c r="U399" s="232"/>
      <c r="V399" s="237"/>
    </row>
    <row r="400" spans="1:22" x14ac:dyDescent="0.3">
      <c r="A400" s="238"/>
      <c r="B400" s="239"/>
      <c r="C400" s="71" t="s">
        <v>88</v>
      </c>
      <c r="M400" s="232" t="str">
        <f>IF((L401=""),"",MAX(D402:L402))</f>
        <v/>
      </c>
      <c r="N400" s="232" t="str">
        <f>IF(L401="","",MIN(D402:L402))</f>
        <v/>
      </c>
      <c r="O400" s="232" t="str">
        <f>IF((L402=""),"",AVERAGE(D402:L402))</f>
        <v/>
      </c>
      <c r="P400" s="233">
        <v>19000</v>
      </c>
      <c r="Q400" s="233">
        <v>49000</v>
      </c>
      <c r="R400" s="232" t="str">
        <f>IF((L401=""),"",((M400-N400)/(M400+N400))*100)</f>
        <v/>
      </c>
      <c r="S400" s="233">
        <v>20</v>
      </c>
      <c r="T400" s="236" t="str">
        <f>IF(L401="","",IF(R497&lt;20,(IF(O400&gt;19000,IF(O400&lt;49000,"Pass","Fail"),"Fail"))))</f>
        <v/>
      </c>
      <c r="U400" s="232"/>
      <c r="V400" s="237"/>
    </row>
    <row r="401" spans="1:22" x14ac:dyDescent="0.3">
      <c r="A401" s="238"/>
      <c r="B401" s="240"/>
      <c r="C401" s="71" t="s">
        <v>89</v>
      </c>
      <c r="M401" s="232"/>
      <c r="N401" s="232"/>
      <c r="O401" s="232"/>
      <c r="P401" s="234"/>
      <c r="Q401" s="234"/>
      <c r="R401" s="232"/>
      <c r="S401" s="234"/>
      <c r="T401" s="236"/>
      <c r="U401" s="232"/>
      <c r="V401" s="237"/>
    </row>
    <row r="402" spans="1:22" ht="39.9" x14ac:dyDescent="0.3">
      <c r="A402" s="238"/>
      <c r="B402" s="241"/>
      <c r="C402" s="71" t="s">
        <v>123</v>
      </c>
      <c r="D402" s="38" t="str">
        <f t="shared" ref="D402:L402" si="130">IF(((D400="")*AND(D401="")),"",(D400-D401)*60/70)</f>
        <v/>
      </c>
      <c r="E402" s="38" t="str">
        <f t="shared" si="130"/>
        <v/>
      </c>
      <c r="F402" s="38" t="str">
        <f t="shared" si="130"/>
        <v/>
      </c>
      <c r="G402" s="38" t="str">
        <f t="shared" si="130"/>
        <v/>
      </c>
      <c r="H402" s="38" t="str">
        <f t="shared" si="130"/>
        <v/>
      </c>
      <c r="I402" s="38" t="str">
        <f t="shared" si="130"/>
        <v/>
      </c>
      <c r="J402" s="38" t="str">
        <f t="shared" si="130"/>
        <v/>
      </c>
      <c r="K402" s="38" t="str">
        <f t="shared" si="130"/>
        <v/>
      </c>
      <c r="L402" s="38" t="str">
        <f t="shared" si="130"/>
        <v/>
      </c>
      <c r="M402" s="232"/>
      <c r="N402" s="232"/>
      <c r="O402" s="232"/>
      <c r="P402" s="235"/>
      <c r="Q402" s="235"/>
      <c r="R402" s="232"/>
      <c r="S402" s="235"/>
      <c r="T402" s="236"/>
      <c r="U402" s="232"/>
      <c r="V402" s="237"/>
    </row>
    <row r="403" spans="1:22" x14ac:dyDescent="0.3">
      <c r="A403" s="238"/>
      <c r="B403" s="239"/>
      <c r="C403" s="71" t="s">
        <v>88</v>
      </c>
      <c r="M403" s="232" t="str">
        <f>IF((L404=""),"",MAX(D405:L405))</f>
        <v/>
      </c>
      <c r="N403" s="232" t="str">
        <f>IF(L404="","",MIN(D405:L405))</f>
        <v/>
      </c>
      <c r="O403" s="232" t="str">
        <f>IF((L405=""),"",AVERAGE(D405:L405))</f>
        <v/>
      </c>
      <c r="P403" s="233">
        <v>19000</v>
      </c>
      <c r="Q403" s="233">
        <v>49000</v>
      </c>
      <c r="R403" s="232" t="str">
        <f>IF((L404=""),"",((M403-N403)/(M403+N403))*100)</f>
        <v/>
      </c>
      <c r="S403" s="233">
        <v>20</v>
      </c>
      <c r="T403" s="236" t="str">
        <f>IF(L404="","",IF(R500&lt;20,(IF(O403&gt;19000,IF(O403&lt;49000,"Pass","Fail"),"Fail"))))</f>
        <v/>
      </c>
      <c r="U403" s="232"/>
      <c r="V403" s="237"/>
    </row>
    <row r="404" spans="1:22" x14ac:dyDescent="0.3">
      <c r="A404" s="238"/>
      <c r="B404" s="240"/>
      <c r="C404" s="71" t="s">
        <v>89</v>
      </c>
      <c r="M404" s="232"/>
      <c r="N404" s="232"/>
      <c r="O404" s="232"/>
      <c r="P404" s="234"/>
      <c r="Q404" s="234"/>
      <c r="R404" s="232"/>
      <c r="S404" s="234"/>
      <c r="T404" s="236"/>
      <c r="U404" s="232"/>
      <c r="V404" s="237"/>
    </row>
    <row r="405" spans="1:22" ht="39.9" x14ac:dyDescent="0.3">
      <c r="A405" s="238"/>
      <c r="B405" s="241"/>
      <c r="C405" s="71" t="s">
        <v>123</v>
      </c>
      <c r="D405" s="38" t="str">
        <f t="shared" ref="D405:L405" si="131">IF(((D403="")*AND(D404="")),"",(D403-D404)*60/70)</f>
        <v/>
      </c>
      <c r="E405" s="38" t="str">
        <f t="shared" si="131"/>
        <v/>
      </c>
      <c r="F405" s="38" t="str">
        <f t="shared" si="131"/>
        <v/>
      </c>
      <c r="G405" s="38" t="str">
        <f t="shared" si="131"/>
        <v/>
      </c>
      <c r="H405" s="38" t="str">
        <f t="shared" si="131"/>
        <v/>
      </c>
      <c r="I405" s="38" t="str">
        <f t="shared" si="131"/>
        <v/>
      </c>
      <c r="J405" s="38" t="str">
        <f t="shared" si="131"/>
        <v/>
      </c>
      <c r="K405" s="38" t="str">
        <f t="shared" si="131"/>
        <v/>
      </c>
      <c r="L405" s="38" t="str">
        <f t="shared" si="131"/>
        <v/>
      </c>
      <c r="M405" s="232"/>
      <c r="N405" s="232"/>
      <c r="O405" s="232"/>
      <c r="P405" s="235"/>
      <c r="Q405" s="235"/>
      <c r="R405" s="232"/>
      <c r="S405" s="235"/>
      <c r="T405" s="236"/>
      <c r="U405" s="232"/>
      <c r="V405" s="237"/>
    </row>
    <row r="406" spans="1:22" x14ac:dyDescent="0.3">
      <c r="A406" s="238"/>
      <c r="B406" s="239"/>
      <c r="C406" s="71" t="s">
        <v>88</v>
      </c>
      <c r="M406" s="232" t="str">
        <f>IF((L407=""),"",MAX(D408:L408))</f>
        <v/>
      </c>
      <c r="N406" s="232" t="str">
        <f>IF(L407="","",MIN(D408:L408))</f>
        <v/>
      </c>
      <c r="O406" s="232" t="str">
        <f>IF((L408=""),"",AVERAGE(D408:L408))</f>
        <v/>
      </c>
      <c r="P406" s="233">
        <v>19000</v>
      </c>
      <c r="Q406" s="233">
        <v>49000</v>
      </c>
      <c r="R406" s="232" t="str">
        <f>IF((L407=""),"",((M406-N406)/(M406+N406))*100)</f>
        <v/>
      </c>
      <c r="S406" s="233">
        <v>20</v>
      </c>
      <c r="T406" s="236" t="str">
        <f>IF(L407="","",IF(R503&lt;20,(IF(O406&gt;19000,IF(O406&lt;49000,"Pass","Fail"),"Fail"))))</f>
        <v/>
      </c>
      <c r="U406" s="232"/>
      <c r="V406" s="237"/>
    </row>
    <row r="407" spans="1:22" x14ac:dyDescent="0.3">
      <c r="A407" s="238"/>
      <c r="B407" s="240"/>
      <c r="C407" s="71" t="s">
        <v>89</v>
      </c>
      <c r="M407" s="232"/>
      <c r="N407" s="232"/>
      <c r="O407" s="232"/>
      <c r="P407" s="234"/>
      <c r="Q407" s="234"/>
      <c r="R407" s="232"/>
      <c r="S407" s="234"/>
      <c r="T407" s="236"/>
      <c r="U407" s="232"/>
      <c r="V407" s="237"/>
    </row>
    <row r="408" spans="1:22" ht="39.9" x14ac:dyDescent="0.3">
      <c r="A408" s="238"/>
      <c r="B408" s="241"/>
      <c r="C408" s="71" t="s">
        <v>123</v>
      </c>
      <c r="D408" s="38" t="str">
        <f t="shared" ref="D408:L408" si="132">IF(((D406="")*AND(D407="")),"",(D406-D407)*60/70)</f>
        <v/>
      </c>
      <c r="E408" s="38" t="str">
        <f t="shared" si="132"/>
        <v/>
      </c>
      <c r="F408" s="38" t="str">
        <f t="shared" si="132"/>
        <v/>
      </c>
      <c r="G408" s="38" t="str">
        <f t="shared" si="132"/>
        <v/>
      </c>
      <c r="H408" s="38" t="str">
        <f t="shared" si="132"/>
        <v/>
      </c>
      <c r="I408" s="38" t="str">
        <f t="shared" si="132"/>
        <v/>
      </c>
      <c r="J408" s="38" t="str">
        <f t="shared" si="132"/>
        <v/>
      </c>
      <c r="K408" s="38" t="str">
        <f t="shared" si="132"/>
        <v/>
      </c>
      <c r="L408" s="38" t="str">
        <f t="shared" si="132"/>
        <v/>
      </c>
      <c r="M408" s="232"/>
      <c r="N408" s="232"/>
      <c r="O408" s="232"/>
      <c r="P408" s="235"/>
      <c r="Q408" s="235"/>
      <c r="R408" s="232"/>
      <c r="S408" s="235"/>
      <c r="T408" s="236"/>
      <c r="U408" s="232"/>
      <c r="V408" s="237"/>
    </row>
    <row r="409" spans="1:22" x14ac:dyDescent="0.3">
      <c r="A409" s="238"/>
      <c r="B409" s="239"/>
      <c r="C409" s="71" t="s">
        <v>88</v>
      </c>
      <c r="M409" s="232" t="str">
        <f>IF((L410=""),"",MAX(D411:L411))</f>
        <v/>
      </c>
      <c r="N409" s="232" t="str">
        <f>IF(L410="","",MIN(D411:L411))</f>
        <v/>
      </c>
      <c r="O409" s="232" t="str">
        <f>IF((L411=""),"",AVERAGE(D411:L411))</f>
        <v/>
      </c>
      <c r="P409" s="233">
        <v>19000</v>
      </c>
      <c r="Q409" s="233">
        <v>49000</v>
      </c>
      <c r="R409" s="232" t="str">
        <f>IF((L410=""),"",((M409-N409)/(M409+N409))*100)</f>
        <v/>
      </c>
      <c r="S409" s="233">
        <v>20</v>
      </c>
      <c r="T409" s="236" t="str">
        <f>IF(L410="","",IF(R506&lt;20,(IF(O409&gt;19000,IF(O409&lt;49000,"Pass","Fail"),"Fail"))))</f>
        <v/>
      </c>
      <c r="U409" s="232"/>
      <c r="V409" s="237"/>
    </row>
    <row r="410" spans="1:22" x14ac:dyDescent="0.3">
      <c r="A410" s="238"/>
      <c r="B410" s="240"/>
      <c r="C410" s="71" t="s">
        <v>89</v>
      </c>
      <c r="M410" s="232"/>
      <c r="N410" s="232"/>
      <c r="O410" s="232"/>
      <c r="P410" s="234"/>
      <c r="Q410" s="234"/>
      <c r="R410" s="232"/>
      <c r="S410" s="234"/>
      <c r="T410" s="236"/>
      <c r="U410" s="232"/>
      <c r="V410" s="237"/>
    </row>
    <row r="411" spans="1:22" ht="39.9" x14ac:dyDescent="0.3">
      <c r="A411" s="238"/>
      <c r="B411" s="241"/>
      <c r="C411" s="71" t="s">
        <v>123</v>
      </c>
      <c r="D411" s="38" t="str">
        <f t="shared" ref="D411:L411" si="133">IF(((D409="")*AND(D410="")),"",(D409-D410)*60/70)</f>
        <v/>
      </c>
      <c r="E411" s="38" t="str">
        <f t="shared" si="133"/>
        <v/>
      </c>
      <c r="F411" s="38" t="str">
        <f t="shared" si="133"/>
        <v/>
      </c>
      <c r="G411" s="38" t="str">
        <f t="shared" si="133"/>
        <v/>
      </c>
      <c r="H411" s="38" t="str">
        <f t="shared" si="133"/>
        <v/>
      </c>
      <c r="I411" s="38" t="str">
        <f t="shared" si="133"/>
        <v/>
      </c>
      <c r="J411" s="38" t="str">
        <f t="shared" si="133"/>
        <v/>
      </c>
      <c r="K411" s="38" t="str">
        <f t="shared" si="133"/>
        <v/>
      </c>
      <c r="L411" s="38" t="str">
        <f t="shared" si="133"/>
        <v/>
      </c>
      <c r="M411" s="232"/>
      <c r="N411" s="232"/>
      <c r="O411" s="232"/>
      <c r="P411" s="235"/>
      <c r="Q411" s="235"/>
      <c r="R411" s="232"/>
      <c r="S411" s="235"/>
      <c r="T411" s="236"/>
      <c r="U411" s="232"/>
      <c r="V411" s="237"/>
    </row>
    <row r="412" spans="1:22" x14ac:dyDescent="0.3">
      <c r="A412" s="238"/>
      <c r="B412" s="239"/>
      <c r="C412" s="71" t="s">
        <v>88</v>
      </c>
      <c r="M412" s="232" t="str">
        <f>IF((L413=""),"",MAX(D414:L414))</f>
        <v/>
      </c>
      <c r="N412" s="232" t="str">
        <f>IF(L413="","",MIN(D414:L414))</f>
        <v/>
      </c>
      <c r="O412" s="232" t="str">
        <f>IF((L414=""),"",AVERAGE(D414:L414))</f>
        <v/>
      </c>
      <c r="P412" s="233">
        <v>19000</v>
      </c>
      <c r="Q412" s="233">
        <v>49000</v>
      </c>
      <c r="R412" s="232" t="str">
        <f>IF((L413=""),"",((M412-N412)/(M412+N412))*100)</f>
        <v/>
      </c>
      <c r="S412" s="233">
        <v>20</v>
      </c>
      <c r="T412" s="236" t="str">
        <f>IF(L413="","",IF(R509&lt;20,(IF(O412&gt;19000,IF(O412&lt;49000,"Pass","Fail"),"Fail"))))</f>
        <v/>
      </c>
      <c r="U412" s="232"/>
      <c r="V412" s="237"/>
    </row>
    <row r="413" spans="1:22" x14ac:dyDescent="0.3">
      <c r="A413" s="238"/>
      <c r="B413" s="240"/>
      <c r="C413" s="71" t="s">
        <v>89</v>
      </c>
      <c r="M413" s="232"/>
      <c r="N413" s="232"/>
      <c r="O413" s="232"/>
      <c r="P413" s="234"/>
      <c r="Q413" s="234"/>
      <c r="R413" s="232"/>
      <c r="S413" s="234"/>
      <c r="T413" s="236"/>
      <c r="U413" s="232"/>
      <c r="V413" s="237"/>
    </row>
    <row r="414" spans="1:22" ht="39.9" x14ac:dyDescent="0.3">
      <c r="A414" s="238"/>
      <c r="B414" s="241"/>
      <c r="C414" s="71" t="s">
        <v>123</v>
      </c>
      <c r="D414" s="38" t="str">
        <f t="shared" ref="D414:L414" si="134">IF(((D412="")*AND(D413="")),"",(D412-D413)*60/70)</f>
        <v/>
      </c>
      <c r="E414" s="38" t="str">
        <f t="shared" si="134"/>
        <v/>
      </c>
      <c r="F414" s="38" t="str">
        <f t="shared" si="134"/>
        <v/>
      </c>
      <c r="G414" s="38" t="str">
        <f t="shared" si="134"/>
        <v/>
      </c>
      <c r="H414" s="38" t="str">
        <f t="shared" si="134"/>
        <v/>
      </c>
      <c r="I414" s="38" t="str">
        <f t="shared" si="134"/>
        <v/>
      </c>
      <c r="J414" s="38" t="str">
        <f t="shared" si="134"/>
        <v/>
      </c>
      <c r="K414" s="38" t="str">
        <f t="shared" si="134"/>
        <v/>
      </c>
      <c r="L414" s="38" t="str">
        <f t="shared" si="134"/>
        <v/>
      </c>
      <c r="M414" s="232"/>
      <c r="N414" s="232"/>
      <c r="O414" s="232"/>
      <c r="P414" s="235"/>
      <c r="Q414" s="235"/>
      <c r="R414" s="232"/>
      <c r="S414" s="235"/>
      <c r="T414" s="236"/>
      <c r="U414" s="232"/>
      <c r="V414" s="237"/>
    </row>
    <row r="415" spans="1:22" x14ac:dyDescent="0.3">
      <c r="A415" s="238"/>
      <c r="B415" s="239"/>
      <c r="C415" s="71" t="s">
        <v>88</v>
      </c>
      <c r="M415" s="232" t="str">
        <f>IF((L416=""),"",MAX(D417:L417))</f>
        <v/>
      </c>
      <c r="N415" s="232" t="str">
        <f>IF(L416="","",MIN(D417:L417))</f>
        <v/>
      </c>
      <c r="O415" s="232" t="str">
        <f>IF((L417=""),"",AVERAGE(D417:L417))</f>
        <v/>
      </c>
      <c r="P415" s="233">
        <v>19000</v>
      </c>
      <c r="Q415" s="233">
        <v>49000</v>
      </c>
      <c r="R415" s="232" t="str">
        <f>IF((L416=""),"",((M415-N415)/(M415+N415))*100)</f>
        <v/>
      </c>
      <c r="S415" s="233">
        <v>20</v>
      </c>
      <c r="T415" s="236" t="str">
        <f>IF(L416="","",IF(R512&lt;20,(IF(O415&gt;19000,IF(O415&lt;49000,"Pass","Fail"),"Fail"))))</f>
        <v/>
      </c>
      <c r="U415" s="232"/>
      <c r="V415" s="237"/>
    </row>
    <row r="416" spans="1:22" x14ac:dyDescent="0.3">
      <c r="A416" s="238"/>
      <c r="B416" s="240"/>
      <c r="C416" s="71" t="s">
        <v>89</v>
      </c>
      <c r="M416" s="232"/>
      <c r="N416" s="232"/>
      <c r="O416" s="232"/>
      <c r="P416" s="234"/>
      <c r="Q416" s="234"/>
      <c r="R416" s="232"/>
      <c r="S416" s="234"/>
      <c r="T416" s="236"/>
      <c r="U416" s="232"/>
      <c r="V416" s="237"/>
    </row>
    <row r="417" spans="1:22" ht="39.9" x14ac:dyDescent="0.3">
      <c r="A417" s="238"/>
      <c r="B417" s="241"/>
      <c r="C417" s="71" t="s">
        <v>123</v>
      </c>
      <c r="D417" s="38" t="str">
        <f t="shared" ref="D417:L417" si="135">IF(((D415="")*AND(D416="")),"",(D415-D416)*60/70)</f>
        <v/>
      </c>
      <c r="E417" s="38" t="str">
        <f t="shared" si="135"/>
        <v/>
      </c>
      <c r="F417" s="38" t="str">
        <f t="shared" si="135"/>
        <v/>
      </c>
      <c r="G417" s="38" t="str">
        <f t="shared" si="135"/>
        <v/>
      </c>
      <c r="H417" s="38" t="str">
        <f t="shared" si="135"/>
        <v/>
      </c>
      <c r="I417" s="38" t="str">
        <f t="shared" si="135"/>
        <v/>
      </c>
      <c r="J417" s="38" t="str">
        <f t="shared" si="135"/>
        <v/>
      </c>
      <c r="K417" s="38" t="str">
        <f t="shared" si="135"/>
        <v/>
      </c>
      <c r="L417" s="38" t="str">
        <f t="shared" si="135"/>
        <v/>
      </c>
      <c r="M417" s="232"/>
      <c r="N417" s="232"/>
      <c r="O417" s="232"/>
      <c r="P417" s="235"/>
      <c r="Q417" s="235"/>
      <c r="R417" s="232"/>
      <c r="S417" s="235"/>
      <c r="T417" s="236"/>
      <c r="U417" s="232"/>
      <c r="V417" s="237"/>
    </row>
    <row r="418" spans="1:22" x14ac:dyDescent="0.3">
      <c r="A418" s="238"/>
      <c r="B418" s="239"/>
      <c r="C418" s="71" t="s">
        <v>88</v>
      </c>
      <c r="M418" s="232" t="str">
        <f>IF((L419=""),"",MAX(D420:L420))</f>
        <v/>
      </c>
      <c r="N418" s="232" t="str">
        <f>IF(L419="","",MIN(D420:L420))</f>
        <v/>
      </c>
      <c r="O418" s="232" t="str">
        <f>IF((L420=""),"",AVERAGE(D420:L420))</f>
        <v/>
      </c>
      <c r="P418" s="233">
        <v>19000</v>
      </c>
      <c r="Q418" s="233">
        <v>49000</v>
      </c>
      <c r="R418" s="232" t="str">
        <f>IF((L419=""),"",((M418-N418)/(M418+N418))*100)</f>
        <v/>
      </c>
      <c r="S418" s="233">
        <v>20</v>
      </c>
      <c r="T418" s="236" t="str">
        <f>IF(L419="","",IF(R515&lt;20,(IF(O418&gt;19000,IF(O418&lt;49000,"Pass","Fail"),"Fail"))))</f>
        <v/>
      </c>
      <c r="U418" s="232"/>
      <c r="V418" s="237"/>
    </row>
    <row r="419" spans="1:22" x14ac:dyDescent="0.3">
      <c r="A419" s="238"/>
      <c r="B419" s="240"/>
      <c r="C419" s="71" t="s">
        <v>89</v>
      </c>
      <c r="M419" s="232"/>
      <c r="N419" s="232"/>
      <c r="O419" s="232"/>
      <c r="P419" s="234"/>
      <c r="Q419" s="234"/>
      <c r="R419" s="232"/>
      <c r="S419" s="234"/>
      <c r="T419" s="236"/>
      <c r="U419" s="232"/>
      <c r="V419" s="237"/>
    </row>
    <row r="420" spans="1:22" ht="39.9" x14ac:dyDescent="0.3">
      <c r="A420" s="238"/>
      <c r="B420" s="241"/>
      <c r="C420" s="71" t="s">
        <v>123</v>
      </c>
      <c r="D420" s="38" t="str">
        <f t="shared" ref="D420:L420" si="136">IF(((D418="")*AND(D419="")),"",(D418-D419)*60/70)</f>
        <v/>
      </c>
      <c r="E420" s="38" t="str">
        <f t="shared" si="136"/>
        <v/>
      </c>
      <c r="F420" s="38" t="str">
        <f t="shared" si="136"/>
        <v/>
      </c>
      <c r="G420" s="38" t="str">
        <f t="shared" si="136"/>
        <v/>
      </c>
      <c r="H420" s="38" t="str">
        <f t="shared" si="136"/>
        <v/>
      </c>
      <c r="I420" s="38" t="str">
        <f t="shared" si="136"/>
        <v/>
      </c>
      <c r="J420" s="38" t="str">
        <f t="shared" si="136"/>
        <v/>
      </c>
      <c r="K420" s="38" t="str">
        <f t="shared" si="136"/>
        <v/>
      </c>
      <c r="L420" s="38" t="str">
        <f t="shared" si="136"/>
        <v/>
      </c>
      <c r="M420" s="232"/>
      <c r="N420" s="232"/>
      <c r="O420" s="232"/>
      <c r="P420" s="235"/>
      <c r="Q420" s="235"/>
      <c r="R420" s="232"/>
      <c r="S420" s="235"/>
      <c r="T420" s="236"/>
      <c r="U420" s="232"/>
      <c r="V420" s="237"/>
    </row>
    <row r="421" spans="1:22" x14ac:dyDescent="0.3">
      <c r="A421" s="238"/>
      <c r="B421" s="239"/>
      <c r="C421" s="71" t="s">
        <v>88</v>
      </c>
      <c r="M421" s="232" t="str">
        <f>IF((L422=""),"",MAX(D423:L423))</f>
        <v/>
      </c>
      <c r="N421" s="232" t="str">
        <f>IF(L422="","",MIN(D423:L423))</f>
        <v/>
      </c>
      <c r="O421" s="232" t="str">
        <f>IF((L423=""),"",AVERAGE(D423:L423))</f>
        <v/>
      </c>
      <c r="P421" s="233">
        <v>19000</v>
      </c>
      <c r="Q421" s="233">
        <v>49000</v>
      </c>
      <c r="R421" s="232" t="str">
        <f>IF((L422=""),"",((M421-N421)/(M421+N421))*100)</f>
        <v/>
      </c>
      <c r="S421" s="233">
        <v>20</v>
      </c>
      <c r="T421" s="236" t="str">
        <f>IF(L422="","",IF(R518&lt;20,(IF(O421&gt;19000,IF(O421&lt;49000,"Pass","Fail"),"Fail"))))</f>
        <v/>
      </c>
      <c r="U421" s="232"/>
      <c r="V421" s="237"/>
    </row>
    <row r="422" spans="1:22" x14ac:dyDescent="0.3">
      <c r="A422" s="238"/>
      <c r="B422" s="240"/>
      <c r="C422" s="71" t="s">
        <v>89</v>
      </c>
      <c r="M422" s="232"/>
      <c r="N422" s="232"/>
      <c r="O422" s="232"/>
      <c r="P422" s="234"/>
      <c r="Q422" s="234"/>
      <c r="R422" s="232"/>
      <c r="S422" s="234"/>
      <c r="T422" s="236"/>
      <c r="U422" s="232"/>
      <c r="V422" s="237"/>
    </row>
    <row r="423" spans="1:22" ht="39.9" x14ac:dyDescent="0.3">
      <c r="A423" s="238"/>
      <c r="B423" s="241"/>
      <c r="C423" s="71" t="s">
        <v>123</v>
      </c>
      <c r="D423" s="38" t="str">
        <f t="shared" ref="D423:L423" si="137">IF(((D421="")*AND(D422="")),"",(D421-D422)*60/70)</f>
        <v/>
      </c>
      <c r="E423" s="38" t="str">
        <f t="shared" si="137"/>
        <v/>
      </c>
      <c r="F423" s="38" t="str">
        <f t="shared" si="137"/>
        <v/>
      </c>
      <c r="G423" s="38" t="str">
        <f t="shared" si="137"/>
        <v/>
      </c>
      <c r="H423" s="38" t="str">
        <f t="shared" si="137"/>
        <v/>
      </c>
      <c r="I423" s="38" t="str">
        <f t="shared" si="137"/>
        <v/>
      </c>
      <c r="J423" s="38" t="str">
        <f t="shared" si="137"/>
        <v/>
      </c>
      <c r="K423" s="38" t="str">
        <f t="shared" si="137"/>
        <v/>
      </c>
      <c r="L423" s="38" t="str">
        <f t="shared" si="137"/>
        <v/>
      </c>
      <c r="M423" s="232"/>
      <c r="N423" s="232"/>
      <c r="O423" s="232"/>
      <c r="P423" s="235"/>
      <c r="Q423" s="235"/>
      <c r="R423" s="232"/>
      <c r="S423" s="235"/>
      <c r="T423" s="236"/>
      <c r="U423" s="232"/>
      <c r="V423" s="237"/>
    </row>
    <row r="424" spans="1:22" x14ac:dyDescent="0.3">
      <c r="A424" s="238"/>
      <c r="B424" s="239"/>
      <c r="C424" s="71" t="s">
        <v>88</v>
      </c>
      <c r="M424" s="232" t="str">
        <f>IF((L425=""),"",MAX(D426:L426))</f>
        <v/>
      </c>
      <c r="N424" s="232" t="str">
        <f>IF(L425="","",MIN(D426:L426))</f>
        <v/>
      </c>
      <c r="O424" s="232" t="str">
        <f>IF((L426=""),"",AVERAGE(D426:L426))</f>
        <v/>
      </c>
      <c r="P424" s="233">
        <v>19000</v>
      </c>
      <c r="Q424" s="233">
        <v>49000</v>
      </c>
      <c r="R424" s="232" t="str">
        <f>IF((L425=""),"",((M424-N424)/(M424+N424))*100)</f>
        <v/>
      </c>
      <c r="S424" s="233">
        <v>20</v>
      </c>
      <c r="T424" s="236" t="str">
        <f>IF(L425="","",IF(R521&lt;20,(IF(O424&gt;19000,IF(O424&lt;49000,"Pass","Fail"),"Fail"))))</f>
        <v/>
      </c>
      <c r="U424" s="232"/>
      <c r="V424" s="237"/>
    </row>
    <row r="425" spans="1:22" x14ac:dyDescent="0.3">
      <c r="A425" s="238"/>
      <c r="B425" s="240"/>
      <c r="C425" s="71" t="s">
        <v>89</v>
      </c>
      <c r="M425" s="232"/>
      <c r="N425" s="232"/>
      <c r="O425" s="232"/>
      <c r="P425" s="234"/>
      <c r="Q425" s="234"/>
      <c r="R425" s="232"/>
      <c r="S425" s="234"/>
      <c r="T425" s="236"/>
      <c r="U425" s="232"/>
      <c r="V425" s="237"/>
    </row>
    <row r="426" spans="1:22" ht="39.9" x14ac:dyDescent="0.3">
      <c r="A426" s="238"/>
      <c r="B426" s="241"/>
      <c r="C426" s="71" t="s">
        <v>123</v>
      </c>
      <c r="D426" s="38" t="str">
        <f t="shared" ref="D426:L426" si="138">IF(((D424="")*AND(D425="")),"",(D424-D425)*60/70)</f>
        <v/>
      </c>
      <c r="E426" s="38" t="str">
        <f t="shared" si="138"/>
        <v/>
      </c>
      <c r="F426" s="38" t="str">
        <f t="shared" si="138"/>
        <v/>
      </c>
      <c r="G426" s="38" t="str">
        <f t="shared" si="138"/>
        <v/>
      </c>
      <c r="H426" s="38" t="str">
        <f t="shared" si="138"/>
        <v/>
      </c>
      <c r="I426" s="38" t="str">
        <f t="shared" si="138"/>
        <v/>
      </c>
      <c r="J426" s="38" t="str">
        <f t="shared" si="138"/>
        <v/>
      </c>
      <c r="K426" s="38" t="str">
        <f t="shared" si="138"/>
        <v/>
      </c>
      <c r="L426" s="38" t="str">
        <f t="shared" si="138"/>
        <v/>
      </c>
      <c r="M426" s="232"/>
      <c r="N426" s="232"/>
      <c r="O426" s="232"/>
      <c r="P426" s="235"/>
      <c r="Q426" s="235"/>
      <c r="R426" s="232"/>
      <c r="S426" s="235"/>
      <c r="T426" s="236"/>
      <c r="U426" s="232"/>
      <c r="V426" s="237"/>
    </row>
    <row r="427" spans="1:22" x14ac:dyDescent="0.3">
      <c r="A427" s="238"/>
      <c r="B427" s="239"/>
      <c r="C427" s="71" t="s">
        <v>88</v>
      </c>
      <c r="M427" s="232" t="str">
        <f>IF((L428=""),"",MAX(D429:L429))</f>
        <v/>
      </c>
      <c r="N427" s="232" t="str">
        <f>IF(L428="","",MIN(D429:L429))</f>
        <v/>
      </c>
      <c r="O427" s="232" t="str">
        <f>IF((L429=""),"",AVERAGE(D429:L429))</f>
        <v/>
      </c>
      <c r="P427" s="233">
        <v>19000</v>
      </c>
      <c r="Q427" s="233">
        <v>49000</v>
      </c>
      <c r="R427" s="232" t="str">
        <f>IF((L428=""),"",((M427-N427)/(M427+N427))*100)</f>
        <v/>
      </c>
      <c r="S427" s="233">
        <v>20</v>
      </c>
      <c r="T427" s="236" t="str">
        <f>IF(L428="","",IF(R524&lt;20,(IF(O427&gt;19000,IF(O427&lt;49000,"Pass","Fail"),"Fail"))))</f>
        <v/>
      </c>
      <c r="U427" s="232"/>
      <c r="V427" s="237"/>
    </row>
    <row r="428" spans="1:22" x14ac:dyDescent="0.3">
      <c r="A428" s="238"/>
      <c r="B428" s="240"/>
      <c r="C428" s="71" t="s">
        <v>89</v>
      </c>
      <c r="M428" s="232"/>
      <c r="N428" s="232"/>
      <c r="O428" s="232"/>
      <c r="P428" s="234"/>
      <c r="Q428" s="234"/>
      <c r="R428" s="232"/>
      <c r="S428" s="234"/>
      <c r="T428" s="236"/>
      <c r="U428" s="232"/>
      <c r="V428" s="237"/>
    </row>
    <row r="429" spans="1:22" ht="39.9" x14ac:dyDescent="0.3">
      <c r="A429" s="238"/>
      <c r="B429" s="241"/>
      <c r="C429" s="71" t="s">
        <v>123</v>
      </c>
      <c r="D429" s="38" t="str">
        <f t="shared" ref="D429:L429" si="139">IF(((D427="")*AND(D428="")),"",(D427-D428)*60/70)</f>
        <v/>
      </c>
      <c r="E429" s="38" t="str">
        <f t="shared" si="139"/>
        <v/>
      </c>
      <c r="F429" s="38" t="str">
        <f t="shared" si="139"/>
        <v/>
      </c>
      <c r="G429" s="38" t="str">
        <f t="shared" si="139"/>
        <v/>
      </c>
      <c r="H429" s="38" t="str">
        <f t="shared" si="139"/>
        <v/>
      </c>
      <c r="I429" s="38" t="str">
        <f t="shared" si="139"/>
        <v/>
      </c>
      <c r="J429" s="38" t="str">
        <f t="shared" si="139"/>
        <v/>
      </c>
      <c r="K429" s="38" t="str">
        <f t="shared" si="139"/>
        <v/>
      </c>
      <c r="L429" s="38" t="str">
        <f t="shared" si="139"/>
        <v/>
      </c>
      <c r="M429" s="232"/>
      <c r="N429" s="232"/>
      <c r="O429" s="232"/>
      <c r="P429" s="235"/>
      <c r="Q429" s="235"/>
      <c r="R429" s="232"/>
      <c r="S429" s="235"/>
      <c r="T429" s="236"/>
      <c r="U429" s="232"/>
      <c r="V429" s="237"/>
    </row>
    <row r="430" spans="1:22" x14ac:dyDescent="0.3">
      <c r="A430" s="238"/>
      <c r="B430" s="239"/>
      <c r="C430" s="71" t="s">
        <v>88</v>
      </c>
      <c r="M430" s="232" t="str">
        <f>IF((L431=""),"",MAX(D432:L432))</f>
        <v/>
      </c>
      <c r="N430" s="232" t="str">
        <f>IF(L431="","",MIN(D432:L432))</f>
        <v/>
      </c>
      <c r="O430" s="232" t="str">
        <f>IF((L432=""),"",AVERAGE(D432:L432))</f>
        <v/>
      </c>
      <c r="P430" s="233">
        <v>19000</v>
      </c>
      <c r="Q430" s="233">
        <v>49000</v>
      </c>
      <c r="R430" s="232" t="str">
        <f>IF((L431=""),"",((M430-N430)/(M430+N430))*100)</f>
        <v/>
      </c>
      <c r="S430" s="233">
        <v>20</v>
      </c>
      <c r="T430" s="236" t="str">
        <f>IF(L431="","",IF(R527&lt;20,(IF(O430&gt;19000,IF(O430&lt;49000,"Pass","Fail"),"Fail"))))</f>
        <v/>
      </c>
      <c r="U430" s="232"/>
      <c r="V430" s="237"/>
    </row>
    <row r="431" spans="1:22" x14ac:dyDescent="0.3">
      <c r="A431" s="238"/>
      <c r="B431" s="240"/>
      <c r="C431" s="71" t="s">
        <v>89</v>
      </c>
      <c r="M431" s="232"/>
      <c r="N431" s="232"/>
      <c r="O431" s="232"/>
      <c r="P431" s="234"/>
      <c r="Q431" s="234"/>
      <c r="R431" s="232"/>
      <c r="S431" s="234"/>
      <c r="T431" s="236"/>
      <c r="U431" s="232"/>
      <c r="V431" s="237"/>
    </row>
    <row r="432" spans="1:22" ht="39.9" x14ac:dyDescent="0.3">
      <c r="A432" s="238"/>
      <c r="B432" s="241"/>
      <c r="C432" s="71" t="s">
        <v>123</v>
      </c>
      <c r="D432" s="38" t="str">
        <f t="shared" ref="D432:L432" si="140">IF(((D430="")*AND(D431="")),"",(D430-D431)*60/70)</f>
        <v/>
      </c>
      <c r="E432" s="38" t="str">
        <f t="shared" si="140"/>
        <v/>
      </c>
      <c r="F432" s="38" t="str">
        <f t="shared" si="140"/>
        <v/>
      </c>
      <c r="G432" s="38" t="str">
        <f t="shared" si="140"/>
        <v/>
      </c>
      <c r="H432" s="38" t="str">
        <f t="shared" si="140"/>
        <v/>
      </c>
      <c r="I432" s="38" t="str">
        <f t="shared" si="140"/>
        <v/>
      </c>
      <c r="J432" s="38" t="str">
        <f t="shared" si="140"/>
        <v/>
      </c>
      <c r="K432" s="38" t="str">
        <f t="shared" si="140"/>
        <v/>
      </c>
      <c r="L432" s="38" t="str">
        <f t="shared" si="140"/>
        <v/>
      </c>
      <c r="M432" s="232"/>
      <c r="N432" s="232"/>
      <c r="O432" s="232"/>
      <c r="P432" s="235"/>
      <c r="Q432" s="235"/>
      <c r="R432" s="232"/>
      <c r="S432" s="235"/>
      <c r="T432" s="236"/>
      <c r="U432" s="232"/>
      <c r="V432" s="237"/>
    </row>
    <row r="433" spans="1:22" x14ac:dyDescent="0.3">
      <c r="A433" s="238"/>
      <c r="B433" s="239"/>
      <c r="C433" s="71" t="s">
        <v>88</v>
      </c>
      <c r="M433" s="232" t="str">
        <f>IF((L434=""),"",MAX(D435:L435))</f>
        <v/>
      </c>
      <c r="N433" s="232" t="str">
        <f>IF(L434="","",MIN(D435:L435))</f>
        <v/>
      </c>
      <c r="O433" s="232" t="str">
        <f>IF((L435=""),"",AVERAGE(D435:L435))</f>
        <v/>
      </c>
      <c r="P433" s="233">
        <v>19000</v>
      </c>
      <c r="Q433" s="233">
        <v>49000</v>
      </c>
      <c r="R433" s="232" t="str">
        <f>IF((L434=""),"",((M433-N433)/(M433+N433))*100)</f>
        <v/>
      </c>
      <c r="S433" s="233">
        <v>20</v>
      </c>
      <c r="T433" s="236" t="str">
        <f>IF(L434="","",IF(R530&lt;20,(IF(O433&gt;19000,IF(O433&lt;49000,"Pass","Fail"),"Fail"))))</f>
        <v/>
      </c>
      <c r="U433" s="232"/>
      <c r="V433" s="237"/>
    </row>
    <row r="434" spans="1:22" x14ac:dyDescent="0.3">
      <c r="A434" s="238"/>
      <c r="B434" s="240"/>
      <c r="C434" s="71" t="s">
        <v>89</v>
      </c>
      <c r="M434" s="232"/>
      <c r="N434" s="232"/>
      <c r="O434" s="232"/>
      <c r="P434" s="234"/>
      <c r="Q434" s="234"/>
      <c r="R434" s="232"/>
      <c r="S434" s="234"/>
      <c r="T434" s="236"/>
      <c r="U434" s="232"/>
      <c r="V434" s="237"/>
    </row>
    <row r="435" spans="1:22" ht="39.9" x14ac:dyDescent="0.3">
      <c r="A435" s="238"/>
      <c r="B435" s="241"/>
      <c r="C435" s="71" t="s">
        <v>123</v>
      </c>
      <c r="D435" s="38" t="str">
        <f t="shared" ref="D435:L435" si="141">IF(((D433="")*AND(D434="")),"",(D433-D434)*60/70)</f>
        <v/>
      </c>
      <c r="E435" s="38" t="str">
        <f t="shared" si="141"/>
        <v/>
      </c>
      <c r="F435" s="38" t="str">
        <f t="shared" si="141"/>
        <v/>
      </c>
      <c r="G435" s="38" t="str">
        <f t="shared" si="141"/>
        <v/>
      </c>
      <c r="H435" s="38" t="str">
        <f t="shared" si="141"/>
        <v/>
      </c>
      <c r="I435" s="38" t="str">
        <f t="shared" si="141"/>
        <v/>
      </c>
      <c r="J435" s="38" t="str">
        <f t="shared" si="141"/>
        <v/>
      </c>
      <c r="K435" s="38" t="str">
        <f t="shared" si="141"/>
        <v/>
      </c>
      <c r="L435" s="38" t="str">
        <f t="shared" si="141"/>
        <v/>
      </c>
      <c r="M435" s="232"/>
      <c r="N435" s="232"/>
      <c r="O435" s="232"/>
      <c r="P435" s="235"/>
      <c r="Q435" s="235"/>
      <c r="R435" s="232"/>
      <c r="S435" s="235"/>
      <c r="T435" s="236"/>
      <c r="U435" s="232"/>
      <c r="V435" s="237"/>
    </row>
    <row r="436" spans="1:22" x14ac:dyDescent="0.3">
      <c r="A436" s="238"/>
      <c r="B436" s="239"/>
      <c r="C436" s="71" t="s">
        <v>88</v>
      </c>
      <c r="M436" s="232" t="str">
        <f>IF((L437=""),"",MAX(D438:L438))</f>
        <v/>
      </c>
      <c r="N436" s="232" t="str">
        <f>IF(L437="","",MIN(D438:L438))</f>
        <v/>
      </c>
      <c r="O436" s="232" t="str">
        <f>IF((L438=""),"",AVERAGE(D438:L438))</f>
        <v/>
      </c>
      <c r="P436" s="233">
        <v>19000</v>
      </c>
      <c r="Q436" s="233">
        <v>49000</v>
      </c>
      <c r="R436" s="232" t="str">
        <f>IF((L437=""),"",((M436-N436)/(M436+N436))*100)</f>
        <v/>
      </c>
      <c r="S436" s="233">
        <v>20</v>
      </c>
      <c r="T436" s="236" t="str">
        <f>IF(L437="","",IF(R533&lt;20,(IF(O436&gt;19000,IF(O436&lt;49000,"Pass","Fail"),"Fail"))))</f>
        <v/>
      </c>
      <c r="U436" s="232"/>
      <c r="V436" s="237"/>
    </row>
    <row r="437" spans="1:22" x14ac:dyDescent="0.3">
      <c r="A437" s="238"/>
      <c r="B437" s="240"/>
      <c r="C437" s="71" t="s">
        <v>89</v>
      </c>
      <c r="M437" s="232"/>
      <c r="N437" s="232"/>
      <c r="O437" s="232"/>
      <c r="P437" s="234"/>
      <c r="Q437" s="234"/>
      <c r="R437" s="232"/>
      <c r="S437" s="234"/>
      <c r="T437" s="236"/>
      <c r="U437" s="232"/>
      <c r="V437" s="237"/>
    </row>
    <row r="438" spans="1:22" ht="39.9" x14ac:dyDescent="0.3">
      <c r="A438" s="238"/>
      <c r="B438" s="241"/>
      <c r="C438" s="71" t="s">
        <v>123</v>
      </c>
      <c r="D438" s="38" t="str">
        <f t="shared" ref="D438:L438" si="142">IF(((D436="")*AND(D437="")),"",(D436-D437)*60/70)</f>
        <v/>
      </c>
      <c r="E438" s="38" t="str">
        <f t="shared" si="142"/>
        <v/>
      </c>
      <c r="F438" s="38" t="str">
        <f t="shared" si="142"/>
        <v/>
      </c>
      <c r="G438" s="38" t="str">
        <f t="shared" si="142"/>
        <v/>
      </c>
      <c r="H438" s="38" t="str">
        <f t="shared" si="142"/>
        <v/>
      </c>
      <c r="I438" s="38" t="str">
        <f t="shared" si="142"/>
        <v/>
      </c>
      <c r="J438" s="38" t="str">
        <f t="shared" si="142"/>
        <v/>
      </c>
      <c r="K438" s="38" t="str">
        <f t="shared" si="142"/>
        <v/>
      </c>
      <c r="L438" s="38" t="str">
        <f t="shared" si="142"/>
        <v/>
      </c>
      <c r="M438" s="232"/>
      <c r="N438" s="232"/>
      <c r="O438" s="232"/>
      <c r="P438" s="235"/>
      <c r="Q438" s="235"/>
      <c r="R438" s="232"/>
      <c r="S438" s="235"/>
      <c r="T438" s="236"/>
      <c r="U438" s="232"/>
      <c r="V438" s="237"/>
    </row>
    <row r="439" spans="1:22" x14ac:dyDescent="0.3">
      <c r="A439" s="238"/>
      <c r="B439" s="239"/>
      <c r="C439" s="71" t="s">
        <v>88</v>
      </c>
      <c r="M439" s="232" t="str">
        <f>IF((L440=""),"",MAX(D441:L441))</f>
        <v/>
      </c>
      <c r="N439" s="232" t="str">
        <f>IF(L440="","",MIN(D441:L441))</f>
        <v/>
      </c>
      <c r="O439" s="232" t="str">
        <f>IF((L441=""),"",AVERAGE(D441:L441))</f>
        <v/>
      </c>
      <c r="P439" s="233">
        <v>19000</v>
      </c>
      <c r="Q439" s="233">
        <v>49000</v>
      </c>
      <c r="R439" s="232" t="str">
        <f>IF((L440=""),"",((M439-N439)/(M439+N439))*100)</f>
        <v/>
      </c>
      <c r="S439" s="233">
        <v>20</v>
      </c>
      <c r="T439" s="236" t="str">
        <f>IF(L440="","",IF(R536&lt;20,(IF(O439&gt;19000,IF(O439&lt;49000,"Pass","Fail"),"Fail"))))</f>
        <v/>
      </c>
      <c r="U439" s="232"/>
      <c r="V439" s="237"/>
    </row>
    <row r="440" spans="1:22" x14ac:dyDescent="0.3">
      <c r="A440" s="238"/>
      <c r="B440" s="240"/>
      <c r="C440" s="71" t="s">
        <v>89</v>
      </c>
      <c r="M440" s="232"/>
      <c r="N440" s="232"/>
      <c r="O440" s="232"/>
      <c r="P440" s="234"/>
      <c r="Q440" s="234"/>
      <c r="R440" s="232"/>
      <c r="S440" s="234"/>
      <c r="T440" s="236"/>
      <c r="U440" s="232"/>
      <c r="V440" s="237"/>
    </row>
    <row r="441" spans="1:22" ht="39.9" x14ac:dyDescent="0.3">
      <c r="A441" s="238"/>
      <c r="B441" s="241"/>
      <c r="C441" s="71" t="s">
        <v>123</v>
      </c>
      <c r="D441" s="38" t="str">
        <f t="shared" ref="D441:L441" si="143">IF(((D439="")*AND(D440="")),"",(D439-D440)*60/70)</f>
        <v/>
      </c>
      <c r="E441" s="38" t="str">
        <f t="shared" si="143"/>
        <v/>
      </c>
      <c r="F441" s="38" t="str">
        <f t="shared" si="143"/>
        <v/>
      </c>
      <c r="G441" s="38" t="str">
        <f t="shared" si="143"/>
        <v/>
      </c>
      <c r="H441" s="38" t="str">
        <f t="shared" si="143"/>
        <v/>
      </c>
      <c r="I441" s="38" t="str">
        <f t="shared" si="143"/>
        <v/>
      </c>
      <c r="J441" s="38" t="str">
        <f t="shared" si="143"/>
        <v/>
      </c>
      <c r="K441" s="38" t="str">
        <f t="shared" si="143"/>
        <v/>
      </c>
      <c r="L441" s="38" t="str">
        <f t="shared" si="143"/>
        <v/>
      </c>
      <c r="M441" s="232"/>
      <c r="N441" s="232"/>
      <c r="O441" s="232"/>
      <c r="P441" s="235"/>
      <c r="Q441" s="235"/>
      <c r="R441" s="232"/>
      <c r="S441" s="235"/>
      <c r="T441" s="236"/>
      <c r="U441" s="232"/>
      <c r="V441" s="237"/>
    </row>
    <row r="442" spans="1:22" x14ac:dyDescent="0.3">
      <c r="A442" s="238"/>
      <c r="B442" s="239"/>
      <c r="C442" s="71" t="s">
        <v>88</v>
      </c>
      <c r="M442" s="232" t="str">
        <f>IF((L443=""),"",MAX(D444:L444))</f>
        <v/>
      </c>
      <c r="N442" s="232" t="str">
        <f>IF(L443="","",MIN(D444:L444))</f>
        <v/>
      </c>
      <c r="O442" s="232" t="str">
        <f>IF((L444=""),"",AVERAGE(D444:L444))</f>
        <v/>
      </c>
      <c r="P442" s="233">
        <v>19000</v>
      </c>
      <c r="Q442" s="233">
        <v>49000</v>
      </c>
      <c r="R442" s="232" t="str">
        <f>IF((L443=""),"",((M442-N442)/(M442+N442))*100)</f>
        <v/>
      </c>
      <c r="S442" s="233">
        <v>20</v>
      </c>
      <c r="T442" s="236" t="str">
        <f>IF(L443="","",IF(R539&lt;20,(IF(O442&gt;19000,IF(O442&lt;49000,"Pass","Fail"),"Fail"))))</f>
        <v/>
      </c>
      <c r="U442" s="232"/>
      <c r="V442" s="237"/>
    </row>
    <row r="443" spans="1:22" x14ac:dyDescent="0.3">
      <c r="A443" s="238"/>
      <c r="B443" s="240"/>
      <c r="C443" s="71" t="s">
        <v>89</v>
      </c>
      <c r="M443" s="232"/>
      <c r="N443" s="232"/>
      <c r="O443" s="232"/>
      <c r="P443" s="234"/>
      <c r="Q443" s="234"/>
      <c r="R443" s="232"/>
      <c r="S443" s="234"/>
      <c r="T443" s="236"/>
      <c r="U443" s="232"/>
      <c r="V443" s="237"/>
    </row>
    <row r="444" spans="1:22" ht="39.9" x14ac:dyDescent="0.3">
      <c r="A444" s="238"/>
      <c r="B444" s="241"/>
      <c r="C444" s="71" t="s">
        <v>123</v>
      </c>
      <c r="D444" s="38" t="str">
        <f t="shared" ref="D444:L444" si="144">IF(((D442="")*AND(D443="")),"",(D442-D443)*60/70)</f>
        <v/>
      </c>
      <c r="E444" s="38" t="str">
        <f t="shared" si="144"/>
        <v/>
      </c>
      <c r="F444" s="38" t="str">
        <f t="shared" si="144"/>
        <v/>
      </c>
      <c r="G444" s="38" t="str">
        <f t="shared" si="144"/>
        <v/>
      </c>
      <c r="H444" s="38" t="str">
        <f t="shared" si="144"/>
        <v/>
      </c>
      <c r="I444" s="38" t="str">
        <f t="shared" si="144"/>
        <v/>
      </c>
      <c r="J444" s="38" t="str">
        <f t="shared" si="144"/>
        <v/>
      </c>
      <c r="K444" s="38" t="str">
        <f t="shared" si="144"/>
        <v/>
      </c>
      <c r="L444" s="38" t="str">
        <f t="shared" si="144"/>
        <v/>
      </c>
      <c r="M444" s="232"/>
      <c r="N444" s="232"/>
      <c r="O444" s="232"/>
      <c r="P444" s="235"/>
      <c r="Q444" s="235"/>
      <c r="R444" s="232"/>
      <c r="S444" s="235"/>
      <c r="T444" s="236"/>
      <c r="U444" s="232"/>
      <c r="V444" s="237"/>
    </row>
    <row r="445" spans="1:22" x14ac:dyDescent="0.3">
      <c r="A445" s="238"/>
      <c r="B445" s="239"/>
      <c r="C445" s="71" t="s">
        <v>88</v>
      </c>
      <c r="M445" s="232" t="str">
        <f>IF((L446=""),"",MAX(D447:L447))</f>
        <v/>
      </c>
      <c r="N445" s="232" t="str">
        <f>IF(L446="","",MIN(D447:L447))</f>
        <v/>
      </c>
      <c r="O445" s="232" t="str">
        <f>IF((L447=""),"",AVERAGE(D447:L447))</f>
        <v/>
      </c>
      <c r="P445" s="233">
        <v>19000</v>
      </c>
      <c r="Q445" s="233">
        <v>49000</v>
      </c>
      <c r="R445" s="232" t="str">
        <f>IF((L446=""),"",((M445-N445)/(M445+N445))*100)</f>
        <v/>
      </c>
      <c r="S445" s="233">
        <v>20</v>
      </c>
      <c r="T445" s="236" t="str">
        <f>IF(L446="","",IF(R542&lt;20,(IF(O445&gt;19000,IF(O445&lt;49000,"Pass","Fail"),"Fail"))))</f>
        <v/>
      </c>
      <c r="U445" s="232"/>
      <c r="V445" s="237"/>
    </row>
    <row r="446" spans="1:22" x14ac:dyDescent="0.3">
      <c r="A446" s="238"/>
      <c r="B446" s="240"/>
      <c r="C446" s="71" t="s">
        <v>89</v>
      </c>
      <c r="M446" s="232"/>
      <c r="N446" s="232"/>
      <c r="O446" s="232"/>
      <c r="P446" s="234"/>
      <c r="Q446" s="234"/>
      <c r="R446" s="232"/>
      <c r="S446" s="234"/>
      <c r="T446" s="236"/>
      <c r="U446" s="232"/>
      <c r="V446" s="237"/>
    </row>
    <row r="447" spans="1:22" ht="39.9" x14ac:dyDescent="0.3">
      <c r="A447" s="238"/>
      <c r="B447" s="241"/>
      <c r="C447" s="71" t="s">
        <v>123</v>
      </c>
      <c r="D447" s="38" t="str">
        <f t="shared" ref="D447:L447" si="145">IF(((D445="")*AND(D446="")),"",(D445-D446)*60/70)</f>
        <v/>
      </c>
      <c r="E447" s="38" t="str">
        <f t="shared" si="145"/>
        <v/>
      </c>
      <c r="F447" s="38" t="str">
        <f t="shared" si="145"/>
        <v/>
      </c>
      <c r="G447" s="38" t="str">
        <f t="shared" si="145"/>
        <v/>
      </c>
      <c r="H447" s="38" t="str">
        <f t="shared" si="145"/>
        <v/>
      </c>
      <c r="I447" s="38" t="str">
        <f t="shared" si="145"/>
        <v/>
      </c>
      <c r="J447" s="38" t="str">
        <f t="shared" si="145"/>
        <v/>
      </c>
      <c r="K447" s="38" t="str">
        <f t="shared" si="145"/>
        <v/>
      </c>
      <c r="L447" s="38" t="str">
        <f t="shared" si="145"/>
        <v/>
      </c>
      <c r="M447" s="232"/>
      <c r="N447" s="232"/>
      <c r="O447" s="232"/>
      <c r="P447" s="235"/>
      <c r="Q447" s="235"/>
      <c r="R447" s="232"/>
      <c r="S447" s="235"/>
      <c r="T447" s="236"/>
      <c r="U447" s="232"/>
      <c r="V447" s="237"/>
    </row>
    <row r="448" spans="1:22" x14ac:dyDescent="0.3">
      <c r="A448" s="238"/>
      <c r="B448" s="239"/>
      <c r="C448" s="71" t="s">
        <v>88</v>
      </c>
      <c r="M448" s="232" t="str">
        <f>IF((L449=""),"",MAX(D450:L450))</f>
        <v/>
      </c>
      <c r="N448" s="232" t="str">
        <f>IF(L449="","",MIN(D450:L450))</f>
        <v/>
      </c>
      <c r="O448" s="232" t="str">
        <f>IF((L450=""),"",AVERAGE(D450:L450))</f>
        <v/>
      </c>
      <c r="P448" s="233">
        <v>19000</v>
      </c>
      <c r="Q448" s="233">
        <v>49000</v>
      </c>
      <c r="R448" s="232" t="str">
        <f>IF((L449=""),"",((M448-N448)/(M448+N448))*100)</f>
        <v/>
      </c>
      <c r="S448" s="233">
        <v>20</v>
      </c>
      <c r="T448" s="236" t="str">
        <f>IF(L449="","",IF(R545&lt;20,(IF(O448&gt;19000,IF(O448&lt;49000,"Pass","Fail"),"Fail"))))</f>
        <v/>
      </c>
      <c r="U448" s="232"/>
      <c r="V448" s="237"/>
    </row>
    <row r="449" spans="1:22" x14ac:dyDescent="0.3">
      <c r="A449" s="238"/>
      <c r="B449" s="240"/>
      <c r="C449" s="71" t="s">
        <v>89</v>
      </c>
      <c r="M449" s="232"/>
      <c r="N449" s="232"/>
      <c r="O449" s="232"/>
      <c r="P449" s="234"/>
      <c r="Q449" s="234"/>
      <c r="R449" s="232"/>
      <c r="S449" s="234"/>
      <c r="T449" s="236"/>
      <c r="U449" s="232"/>
      <c r="V449" s="237"/>
    </row>
    <row r="450" spans="1:22" ht="39.9" x14ac:dyDescent="0.3">
      <c r="A450" s="238"/>
      <c r="B450" s="241"/>
      <c r="C450" s="71" t="s">
        <v>123</v>
      </c>
      <c r="D450" s="38" t="str">
        <f t="shared" ref="D450:L450" si="146">IF(((D448="")*AND(D449="")),"",(D448-D449)*60/70)</f>
        <v/>
      </c>
      <c r="E450" s="38" t="str">
        <f t="shared" si="146"/>
        <v/>
      </c>
      <c r="F450" s="38" t="str">
        <f t="shared" si="146"/>
        <v/>
      </c>
      <c r="G450" s="38" t="str">
        <f t="shared" si="146"/>
        <v/>
      </c>
      <c r="H450" s="38" t="str">
        <f t="shared" si="146"/>
        <v/>
      </c>
      <c r="I450" s="38" t="str">
        <f t="shared" si="146"/>
        <v/>
      </c>
      <c r="J450" s="38" t="str">
        <f t="shared" si="146"/>
        <v/>
      </c>
      <c r="K450" s="38" t="str">
        <f t="shared" si="146"/>
        <v/>
      </c>
      <c r="L450" s="38" t="str">
        <f t="shared" si="146"/>
        <v/>
      </c>
      <c r="M450" s="232"/>
      <c r="N450" s="232"/>
      <c r="O450" s="232"/>
      <c r="P450" s="235"/>
      <c r="Q450" s="235"/>
      <c r="R450" s="232"/>
      <c r="S450" s="235"/>
      <c r="T450" s="236"/>
      <c r="U450" s="232"/>
      <c r="V450" s="237"/>
    </row>
    <row r="451" spans="1:22" x14ac:dyDescent="0.3">
      <c r="A451" s="238"/>
      <c r="B451" s="239"/>
      <c r="C451" s="71" t="s">
        <v>88</v>
      </c>
      <c r="M451" s="232" t="str">
        <f>IF((L452=""),"",MAX(D453:L453))</f>
        <v/>
      </c>
      <c r="N451" s="232" t="str">
        <f>IF(L452="","",MIN(D453:L453))</f>
        <v/>
      </c>
      <c r="O451" s="232" t="str">
        <f>IF((L453=""),"",AVERAGE(D453:L453))</f>
        <v/>
      </c>
      <c r="P451" s="233">
        <v>19000</v>
      </c>
      <c r="Q451" s="233">
        <v>49000</v>
      </c>
      <c r="R451" s="232" t="str">
        <f>IF((L452=""),"",((M451-N451)/(M451+N451))*100)</f>
        <v/>
      </c>
      <c r="S451" s="233">
        <v>20</v>
      </c>
      <c r="T451" s="236" t="str">
        <f>IF(L452="","",IF(R548&lt;20,(IF(O451&gt;19000,IF(O451&lt;49000,"Pass","Fail"),"Fail"))))</f>
        <v/>
      </c>
      <c r="U451" s="232"/>
      <c r="V451" s="237"/>
    </row>
    <row r="452" spans="1:22" x14ac:dyDescent="0.3">
      <c r="A452" s="238"/>
      <c r="B452" s="240"/>
      <c r="C452" s="71" t="s">
        <v>89</v>
      </c>
      <c r="M452" s="232"/>
      <c r="N452" s="232"/>
      <c r="O452" s="232"/>
      <c r="P452" s="234"/>
      <c r="Q452" s="234"/>
      <c r="R452" s="232"/>
      <c r="S452" s="234"/>
      <c r="T452" s="236"/>
      <c r="U452" s="232"/>
      <c r="V452" s="237"/>
    </row>
    <row r="453" spans="1:22" ht="39.9" x14ac:dyDescent="0.3">
      <c r="A453" s="238"/>
      <c r="B453" s="241"/>
      <c r="C453" s="71" t="s">
        <v>123</v>
      </c>
      <c r="D453" s="38" t="str">
        <f t="shared" ref="D453:L453" si="147">IF(((D451="")*AND(D452="")),"",(D451-D452)*60/70)</f>
        <v/>
      </c>
      <c r="E453" s="38" t="str">
        <f t="shared" si="147"/>
        <v/>
      </c>
      <c r="F453" s="38" t="str">
        <f t="shared" si="147"/>
        <v/>
      </c>
      <c r="G453" s="38" t="str">
        <f t="shared" si="147"/>
        <v/>
      </c>
      <c r="H453" s="38" t="str">
        <f t="shared" si="147"/>
        <v/>
      </c>
      <c r="I453" s="38" t="str">
        <f t="shared" si="147"/>
        <v/>
      </c>
      <c r="J453" s="38" t="str">
        <f t="shared" si="147"/>
        <v/>
      </c>
      <c r="K453" s="38" t="str">
        <f t="shared" si="147"/>
        <v/>
      </c>
      <c r="L453" s="38" t="str">
        <f t="shared" si="147"/>
        <v/>
      </c>
      <c r="M453" s="232"/>
      <c r="N453" s="232"/>
      <c r="O453" s="232"/>
      <c r="P453" s="235"/>
      <c r="Q453" s="235"/>
      <c r="R453" s="232"/>
      <c r="S453" s="235"/>
      <c r="T453" s="236"/>
      <c r="U453" s="232"/>
      <c r="V453" s="237"/>
    </row>
    <row r="454" spans="1:22" x14ac:dyDescent="0.3">
      <c r="A454" s="238"/>
      <c r="B454" s="239"/>
      <c r="C454" s="71" t="s">
        <v>88</v>
      </c>
      <c r="M454" s="232" t="str">
        <f>IF((L455=""),"",MAX(D456:L456))</f>
        <v/>
      </c>
      <c r="N454" s="232" t="str">
        <f>IF(L455="","",MIN(D456:L456))</f>
        <v/>
      </c>
      <c r="O454" s="232" t="str">
        <f>IF((L456=""),"",AVERAGE(D456:L456))</f>
        <v/>
      </c>
      <c r="P454" s="233">
        <v>19000</v>
      </c>
      <c r="Q454" s="233">
        <v>49000</v>
      </c>
      <c r="R454" s="232" t="str">
        <f>IF((L455=""),"",((M454-N454)/(M454+N454))*100)</f>
        <v/>
      </c>
      <c r="S454" s="233">
        <v>20</v>
      </c>
      <c r="T454" s="236" t="str">
        <f>IF(L455="","",IF(R551&lt;20,(IF(O454&gt;19000,IF(O454&lt;49000,"Pass","Fail"),"Fail"))))</f>
        <v/>
      </c>
      <c r="U454" s="232"/>
      <c r="V454" s="237"/>
    </row>
    <row r="455" spans="1:22" x14ac:dyDescent="0.3">
      <c r="A455" s="238"/>
      <c r="B455" s="240"/>
      <c r="C455" s="71" t="s">
        <v>89</v>
      </c>
      <c r="M455" s="232"/>
      <c r="N455" s="232"/>
      <c r="O455" s="232"/>
      <c r="P455" s="234"/>
      <c r="Q455" s="234"/>
      <c r="R455" s="232"/>
      <c r="S455" s="234"/>
      <c r="T455" s="236"/>
      <c r="U455" s="232"/>
      <c r="V455" s="237"/>
    </row>
    <row r="456" spans="1:22" ht="39.9" x14ac:dyDescent="0.3">
      <c r="A456" s="238"/>
      <c r="B456" s="241"/>
      <c r="C456" s="71" t="s">
        <v>123</v>
      </c>
      <c r="D456" s="38" t="str">
        <f t="shared" ref="D456:L456" si="148">IF(((D454="")*AND(D455="")),"",(D454-D455)*60/70)</f>
        <v/>
      </c>
      <c r="E456" s="38" t="str">
        <f t="shared" si="148"/>
        <v/>
      </c>
      <c r="F456" s="38" t="str">
        <f t="shared" si="148"/>
        <v/>
      </c>
      <c r="G456" s="38" t="str">
        <f t="shared" si="148"/>
        <v/>
      </c>
      <c r="H456" s="38" t="str">
        <f t="shared" si="148"/>
        <v/>
      </c>
      <c r="I456" s="38" t="str">
        <f t="shared" si="148"/>
        <v/>
      </c>
      <c r="J456" s="38" t="str">
        <f t="shared" si="148"/>
        <v/>
      </c>
      <c r="K456" s="38" t="str">
        <f t="shared" si="148"/>
        <v/>
      </c>
      <c r="L456" s="38" t="str">
        <f t="shared" si="148"/>
        <v/>
      </c>
      <c r="M456" s="232"/>
      <c r="N456" s="232"/>
      <c r="O456" s="232"/>
      <c r="P456" s="235"/>
      <c r="Q456" s="235"/>
      <c r="R456" s="232"/>
      <c r="S456" s="235"/>
      <c r="T456" s="236"/>
      <c r="U456" s="232"/>
      <c r="V456" s="237"/>
    </row>
    <row r="457" spans="1:22" x14ac:dyDescent="0.3">
      <c r="A457" s="238"/>
      <c r="B457" s="239"/>
      <c r="C457" s="71" t="s">
        <v>88</v>
      </c>
      <c r="M457" s="232" t="str">
        <f>IF((L458=""),"",MAX(D459:L459))</f>
        <v/>
      </c>
      <c r="N457" s="232" t="str">
        <f>IF(L458="","",MIN(D459:L459))</f>
        <v/>
      </c>
      <c r="O457" s="232" t="str">
        <f>IF((L459=""),"",AVERAGE(D459:L459))</f>
        <v/>
      </c>
      <c r="P457" s="233">
        <v>19000</v>
      </c>
      <c r="Q457" s="233">
        <v>49000</v>
      </c>
      <c r="R457" s="232" t="str">
        <f>IF((L458=""),"",((M457-N457)/(M457+N457))*100)</f>
        <v/>
      </c>
      <c r="S457" s="233">
        <v>20</v>
      </c>
      <c r="T457" s="236" t="str">
        <f>IF(L458="","",IF(R554&lt;20,(IF(O457&gt;19000,IF(O457&lt;49000,"Pass","Fail"),"Fail"))))</f>
        <v/>
      </c>
      <c r="U457" s="232"/>
      <c r="V457" s="237"/>
    </row>
    <row r="458" spans="1:22" x14ac:dyDescent="0.3">
      <c r="A458" s="238"/>
      <c r="B458" s="240"/>
      <c r="C458" s="71" t="s">
        <v>89</v>
      </c>
      <c r="M458" s="232"/>
      <c r="N458" s="232"/>
      <c r="O458" s="232"/>
      <c r="P458" s="234"/>
      <c r="Q458" s="234"/>
      <c r="R458" s="232"/>
      <c r="S458" s="234"/>
      <c r="T458" s="236"/>
      <c r="U458" s="232"/>
      <c r="V458" s="237"/>
    </row>
    <row r="459" spans="1:22" ht="39.9" x14ac:dyDescent="0.3">
      <c r="A459" s="238"/>
      <c r="B459" s="241"/>
      <c r="C459" s="71" t="s">
        <v>123</v>
      </c>
      <c r="D459" s="38" t="str">
        <f t="shared" ref="D459:L459" si="149">IF(((D457="")*AND(D458="")),"",(D457-D458)*60/70)</f>
        <v/>
      </c>
      <c r="E459" s="38" t="str">
        <f t="shared" si="149"/>
        <v/>
      </c>
      <c r="F459" s="38" t="str">
        <f t="shared" si="149"/>
        <v/>
      </c>
      <c r="G459" s="38" t="str">
        <f t="shared" si="149"/>
        <v/>
      </c>
      <c r="H459" s="38" t="str">
        <f t="shared" si="149"/>
        <v/>
      </c>
      <c r="I459" s="38" t="str">
        <f t="shared" si="149"/>
        <v/>
      </c>
      <c r="J459" s="38" t="str">
        <f t="shared" si="149"/>
        <v/>
      </c>
      <c r="K459" s="38" t="str">
        <f t="shared" si="149"/>
        <v/>
      </c>
      <c r="L459" s="38" t="str">
        <f t="shared" si="149"/>
        <v/>
      </c>
      <c r="M459" s="232"/>
      <c r="N459" s="232"/>
      <c r="O459" s="232"/>
      <c r="P459" s="235"/>
      <c r="Q459" s="235"/>
      <c r="R459" s="232"/>
      <c r="S459" s="235"/>
      <c r="T459" s="236"/>
      <c r="U459" s="232"/>
      <c r="V459" s="237"/>
    </row>
    <row r="460" spans="1:22" x14ac:dyDescent="0.3">
      <c r="A460" s="238"/>
      <c r="B460" s="239"/>
      <c r="C460" s="71" t="s">
        <v>88</v>
      </c>
      <c r="M460" s="232" t="str">
        <f>IF((L461=""),"",MAX(D462:L462))</f>
        <v/>
      </c>
      <c r="N460" s="232" t="str">
        <f>IF(L461="","",MIN(D462:L462))</f>
        <v/>
      </c>
      <c r="O460" s="232" t="str">
        <f>IF((L462=""),"",AVERAGE(D462:L462))</f>
        <v/>
      </c>
      <c r="P460" s="233">
        <v>19000</v>
      </c>
      <c r="Q460" s="233">
        <v>49000</v>
      </c>
      <c r="R460" s="232" t="str">
        <f>IF((L461=""),"",((M460-N460)/(M460+N460))*100)</f>
        <v/>
      </c>
      <c r="S460" s="233">
        <v>20</v>
      </c>
      <c r="T460" s="236" t="str">
        <f>IF(L461="","",IF(R557&lt;20,(IF(O460&gt;19000,IF(O460&lt;49000,"Pass","Fail"),"Fail"))))</f>
        <v/>
      </c>
      <c r="U460" s="232"/>
      <c r="V460" s="237"/>
    </row>
    <row r="461" spans="1:22" x14ac:dyDescent="0.3">
      <c r="A461" s="238"/>
      <c r="B461" s="240"/>
      <c r="C461" s="71" t="s">
        <v>89</v>
      </c>
      <c r="M461" s="232"/>
      <c r="N461" s="232"/>
      <c r="O461" s="232"/>
      <c r="P461" s="234"/>
      <c r="Q461" s="234"/>
      <c r="R461" s="232"/>
      <c r="S461" s="234"/>
      <c r="T461" s="236"/>
      <c r="U461" s="232"/>
      <c r="V461" s="237"/>
    </row>
    <row r="462" spans="1:22" ht="39.9" x14ac:dyDescent="0.3">
      <c r="A462" s="238"/>
      <c r="B462" s="241"/>
      <c r="C462" s="71" t="s">
        <v>123</v>
      </c>
      <c r="D462" s="38" t="str">
        <f t="shared" ref="D462:L462" si="150">IF(((D460="")*AND(D461="")),"",(D460-D461)*60/70)</f>
        <v/>
      </c>
      <c r="E462" s="38" t="str">
        <f t="shared" si="150"/>
        <v/>
      </c>
      <c r="F462" s="38" t="str">
        <f t="shared" si="150"/>
        <v/>
      </c>
      <c r="G462" s="38" t="str">
        <f t="shared" si="150"/>
        <v/>
      </c>
      <c r="H462" s="38" t="str">
        <f t="shared" si="150"/>
        <v/>
      </c>
      <c r="I462" s="38" t="str">
        <f t="shared" si="150"/>
        <v/>
      </c>
      <c r="J462" s="38" t="str">
        <f t="shared" si="150"/>
        <v/>
      </c>
      <c r="K462" s="38" t="str">
        <f t="shared" si="150"/>
        <v/>
      </c>
      <c r="L462" s="38" t="str">
        <f t="shared" si="150"/>
        <v/>
      </c>
      <c r="M462" s="232"/>
      <c r="N462" s="232"/>
      <c r="O462" s="232"/>
      <c r="P462" s="235"/>
      <c r="Q462" s="235"/>
      <c r="R462" s="232"/>
      <c r="S462" s="235"/>
      <c r="T462" s="236"/>
      <c r="U462" s="232"/>
      <c r="V462" s="237"/>
    </row>
    <row r="463" spans="1:22" x14ac:dyDescent="0.3">
      <c r="A463" s="238"/>
      <c r="B463" s="239"/>
      <c r="C463" s="71" t="s">
        <v>88</v>
      </c>
      <c r="M463" s="232" t="str">
        <f>IF((L464=""),"",MAX(D465:L465))</f>
        <v/>
      </c>
      <c r="N463" s="232" t="str">
        <f>IF(L464="","",MIN(D465:L465))</f>
        <v/>
      </c>
      <c r="O463" s="232" t="str">
        <f>IF((L465=""),"",AVERAGE(D465:L465))</f>
        <v/>
      </c>
      <c r="P463" s="233">
        <v>19000</v>
      </c>
      <c r="Q463" s="233">
        <v>49000</v>
      </c>
      <c r="R463" s="232" t="str">
        <f>IF((L464=""),"",((M463-N463)/(M463+N463))*100)</f>
        <v/>
      </c>
      <c r="S463" s="233">
        <v>20</v>
      </c>
      <c r="T463" s="236" t="str">
        <f>IF(L464="","",IF(R560&lt;20,(IF(O463&gt;19000,IF(O463&lt;49000,"Pass","Fail"),"Fail"))))</f>
        <v/>
      </c>
      <c r="U463" s="232"/>
      <c r="V463" s="237"/>
    </row>
    <row r="464" spans="1:22" x14ac:dyDescent="0.3">
      <c r="A464" s="238"/>
      <c r="B464" s="240"/>
      <c r="C464" s="71" t="s">
        <v>89</v>
      </c>
      <c r="M464" s="232"/>
      <c r="N464" s="232"/>
      <c r="O464" s="232"/>
      <c r="P464" s="234"/>
      <c r="Q464" s="234"/>
      <c r="R464" s="232"/>
      <c r="S464" s="234"/>
      <c r="T464" s="236"/>
      <c r="U464" s="232"/>
      <c r="V464" s="237"/>
    </row>
    <row r="465" spans="1:22" ht="39.9" x14ac:dyDescent="0.3">
      <c r="A465" s="238"/>
      <c r="B465" s="241"/>
      <c r="C465" s="71" t="s">
        <v>123</v>
      </c>
      <c r="D465" s="38" t="str">
        <f t="shared" ref="D465:L465" si="151">IF(((D463="")*AND(D464="")),"",(D463-D464)*60/70)</f>
        <v/>
      </c>
      <c r="E465" s="38" t="str">
        <f t="shared" si="151"/>
        <v/>
      </c>
      <c r="F465" s="38" t="str">
        <f t="shared" si="151"/>
        <v/>
      </c>
      <c r="G465" s="38" t="str">
        <f t="shared" si="151"/>
        <v/>
      </c>
      <c r="H465" s="38" t="str">
        <f t="shared" si="151"/>
        <v/>
      </c>
      <c r="I465" s="38" t="str">
        <f t="shared" si="151"/>
        <v/>
      </c>
      <c r="J465" s="38" t="str">
        <f t="shared" si="151"/>
        <v/>
      </c>
      <c r="K465" s="38" t="str">
        <f t="shared" si="151"/>
        <v/>
      </c>
      <c r="L465" s="38" t="str">
        <f t="shared" si="151"/>
        <v/>
      </c>
      <c r="M465" s="232"/>
      <c r="N465" s="232"/>
      <c r="O465" s="232"/>
      <c r="P465" s="235"/>
      <c r="Q465" s="235"/>
      <c r="R465" s="232"/>
      <c r="S465" s="235"/>
      <c r="T465" s="236"/>
      <c r="U465" s="232"/>
      <c r="V465" s="237"/>
    </row>
    <row r="466" spans="1:22" x14ac:dyDescent="0.3">
      <c r="A466" s="238"/>
      <c r="B466" s="239"/>
      <c r="C466" s="71" t="s">
        <v>88</v>
      </c>
      <c r="M466" s="232" t="str">
        <f>IF((L467=""),"",MAX(D468:L468))</f>
        <v/>
      </c>
      <c r="N466" s="232" t="str">
        <f>IF(L467="","",MIN(D468:L468))</f>
        <v/>
      </c>
      <c r="O466" s="232" t="str">
        <f>IF((L468=""),"",AVERAGE(D468:L468))</f>
        <v/>
      </c>
      <c r="P466" s="233">
        <v>19000</v>
      </c>
      <c r="Q466" s="233">
        <v>49000</v>
      </c>
      <c r="R466" s="232" t="str">
        <f>IF((L467=""),"",((M466-N466)/(M466+N466))*100)</f>
        <v/>
      </c>
      <c r="S466" s="233">
        <v>20</v>
      </c>
      <c r="T466" s="236" t="str">
        <f>IF(L467="","",IF(R563&lt;20,(IF(O466&gt;19000,IF(O466&lt;49000,"Pass","Fail"),"Fail"))))</f>
        <v/>
      </c>
      <c r="U466" s="232"/>
      <c r="V466" s="237"/>
    </row>
    <row r="467" spans="1:22" x14ac:dyDescent="0.3">
      <c r="A467" s="238"/>
      <c r="B467" s="240"/>
      <c r="C467" s="71" t="s">
        <v>89</v>
      </c>
      <c r="M467" s="232"/>
      <c r="N467" s="232"/>
      <c r="O467" s="232"/>
      <c r="P467" s="234"/>
      <c r="Q467" s="234"/>
      <c r="R467" s="232"/>
      <c r="S467" s="234"/>
      <c r="T467" s="236"/>
      <c r="U467" s="232"/>
      <c r="V467" s="237"/>
    </row>
    <row r="468" spans="1:22" ht="39.9" x14ac:dyDescent="0.3">
      <c r="A468" s="238"/>
      <c r="B468" s="241"/>
      <c r="C468" s="71" t="s">
        <v>123</v>
      </c>
      <c r="D468" s="38" t="str">
        <f t="shared" ref="D468:L468" si="152">IF(((D466="")*AND(D467="")),"",(D466-D467)*60/70)</f>
        <v/>
      </c>
      <c r="E468" s="38" t="str">
        <f t="shared" si="152"/>
        <v/>
      </c>
      <c r="F468" s="38" t="str">
        <f t="shared" si="152"/>
        <v/>
      </c>
      <c r="G468" s="38" t="str">
        <f t="shared" si="152"/>
        <v/>
      </c>
      <c r="H468" s="38" t="str">
        <f t="shared" si="152"/>
        <v/>
      </c>
      <c r="I468" s="38" t="str">
        <f t="shared" si="152"/>
        <v/>
      </c>
      <c r="J468" s="38" t="str">
        <f t="shared" si="152"/>
        <v/>
      </c>
      <c r="K468" s="38" t="str">
        <f t="shared" si="152"/>
        <v/>
      </c>
      <c r="L468" s="38" t="str">
        <f t="shared" si="152"/>
        <v/>
      </c>
      <c r="M468" s="232"/>
      <c r="N468" s="232"/>
      <c r="O468" s="232"/>
      <c r="P468" s="235"/>
      <c r="Q468" s="235"/>
      <c r="R468" s="232"/>
      <c r="S468" s="235"/>
      <c r="T468" s="236"/>
      <c r="U468" s="232"/>
      <c r="V468" s="237"/>
    </row>
    <row r="469" spans="1:22" x14ac:dyDescent="0.3">
      <c r="A469" s="238"/>
      <c r="B469" s="239"/>
      <c r="C469" s="71" t="s">
        <v>88</v>
      </c>
      <c r="M469" s="232" t="str">
        <f>IF((L470=""),"",MAX(D471:L471))</f>
        <v/>
      </c>
      <c r="N469" s="232" t="str">
        <f>IF(L470="","",MIN(D471:L471))</f>
        <v/>
      </c>
      <c r="O469" s="232" t="str">
        <f>IF((L471=""),"",AVERAGE(D471:L471))</f>
        <v/>
      </c>
      <c r="P469" s="233">
        <v>19000</v>
      </c>
      <c r="Q469" s="233">
        <v>49000</v>
      </c>
      <c r="R469" s="232" t="str">
        <f>IF((L470=""),"",((M469-N469)/(M469+N469))*100)</f>
        <v/>
      </c>
      <c r="S469" s="233">
        <v>20</v>
      </c>
      <c r="T469" s="236" t="str">
        <f>IF(L470="","",IF(R566&lt;20,(IF(O469&gt;19000,IF(O469&lt;49000,"Pass","Fail"),"Fail"))))</f>
        <v/>
      </c>
      <c r="U469" s="232"/>
      <c r="V469" s="237"/>
    </row>
    <row r="470" spans="1:22" x14ac:dyDescent="0.3">
      <c r="A470" s="238"/>
      <c r="B470" s="240"/>
      <c r="C470" s="71" t="s">
        <v>89</v>
      </c>
      <c r="M470" s="232"/>
      <c r="N470" s="232"/>
      <c r="O470" s="232"/>
      <c r="P470" s="234"/>
      <c r="Q470" s="234"/>
      <c r="R470" s="232"/>
      <c r="S470" s="234"/>
      <c r="T470" s="236"/>
      <c r="U470" s="232"/>
      <c r="V470" s="237"/>
    </row>
    <row r="471" spans="1:22" ht="39.9" x14ac:dyDescent="0.3">
      <c r="A471" s="238"/>
      <c r="B471" s="241"/>
      <c r="C471" s="71" t="s">
        <v>123</v>
      </c>
      <c r="D471" s="38" t="str">
        <f t="shared" ref="D471:L471" si="153">IF(((D469="")*AND(D470="")),"",(D469-D470)*60/70)</f>
        <v/>
      </c>
      <c r="E471" s="38" t="str">
        <f t="shared" si="153"/>
        <v/>
      </c>
      <c r="F471" s="38" t="str">
        <f t="shared" si="153"/>
        <v/>
      </c>
      <c r="G471" s="38" t="str">
        <f t="shared" si="153"/>
        <v/>
      </c>
      <c r="H471" s="38" t="str">
        <f t="shared" si="153"/>
        <v/>
      </c>
      <c r="I471" s="38" t="str">
        <f t="shared" si="153"/>
        <v/>
      </c>
      <c r="J471" s="38" t="str">
        <f t="shared" si="153"/>
        <v/>
      </c>
      <c r="K471" s="38" t="str">
        <f t="shared" si="153"/>
        <v/>
      </c>
      <c r="L471" s="38" t="str">
        <f t="shared" si="153"/>
        <v/>
      </c>
      <c r="M471" s="232"/>
      <c r="N471" s="232"/>
      <c r="O471" s="232"/>
      <c r="P471" s="235"/>
      <c r="Q471" s="235"/>
      <c r="R471" s="232"/>
      <c r="S471" s="235"/>
      <c r="T471" s="236"/>
      <c r="U471" s="232"/>
      <c r="V471" s="237"/>
    </row>
    <row r="472" spans="1:22" x14ac:dyDescent="0.3">
      <c r="A472" s="238"/>
      <c r="B472" s="239"/>
      <c r="C472" s="71" t="s">
        <v>88</v>
      </c>
      <c r="M472" s="232" t="str">
        <f>IF((L473=""),"",MAX(D474:L474))</f>
        <v/>
      </c>
      <c r="N472" s="232" t="str">
        <f>IF(L473="","",MIN(D474:L474))</f>
        <v/>
      </c>
      <c r="O472" s="232" t="str">
        <f>IF((L474=""),"",AVERAGE(D474:L474))</f>
        <v/>
      </c>
      <c r="P472" s="233">
        <v>19000</v>
      </c>
      <c r="Q472" s="233">
        <v>49000</v>
      </c>
      <c r="R472" s="232" t="str">
        <f>IF((L473=""),"",((M472-N472)/(M472+N472))*100)</f>
        <v/>
      </c>
      <c r="S472" s="233">
        <v>20</v>
      </c>
      <c r="T472" s="236" t="str">
        <f>IF(L473="","",IF(R569&lt;20,(IF(O472&gt;19000,IF(O472&lt;49000,"Pass","Fail"),"Fail"))))</f>
        <v/>
      </c>
      <c r="U472" s="232"/>
      <c r="V472" s="237"/>
    </row>
    <row r="473" spans="1:22" x14ac:dyDescent="0.3">
      <c r="A473" s="238"/>
      <c r="B473" s="240"/>
      <c r="C473" s="71" t="s">
        <v>89</v>
      </c>
      <c r="M473" s="232"/>
      <c r="N473" s="232"/>
      <c r="O473" s="232"/>
      <c r="P473" s="234"/>
      <c r="Q473" s="234"/>
      <c r="R473" s="232"/>
      <c r="S473" s="234"/>
      <c r="T473" s="236"/>
      <c r="U473" s="232"/>
      <c r="V473" s="237"/>
    </row>
    <row r="474" spans="1:22" ht="39.9" x14ac:dyDescent="0.3">
      <c r="A474" s="238"/>
      <c r="B474" s="241"/>
      <c r="C474" s="71" t="s">
        <v>123</v>
      </c>
      <c r="D474" s="38" t="str">
        <f t="shared" ref="D474:L474" si="154">IF(((D472="")*AND(D473="")),"",(D472-D473)*60/70)</f>
        <v/>
      </c>
      <c r="E474" s="38" t="str">
        <f t="shared" si="154"/>
        <v/>
      </c>
      <c r="F474" s="38" t="str">
        <f t="shared" si="154"/>
        <v/>
      </c>
      <c r="G474" s="38" t="str">
        <f t="shared" si="154"/>
        <v/>
      </c>
      <c r="H474" s="38" t="str">
        <f t="shared" si="154"/>
        <v/>
      </c>
      <c r="I474" s="38" t="str">
        <f t="shared" si="154"/>
        <v/>
      </c>
      <c r="J474" s="38" t="str">
        <f t="shared" si="154"/>
        <v/>
      </c>
      <c r="K474" s="38" t="str">
        <f t="shared" si="154"/>
        <v/>
      </c>
      <c r="L474" s="38" t="str">
        <f t="shared" si="154"/>
        <v/>
      </c>
      <c r="M474" s="232"/>
      <c r="N474" s="232"/>
      <c r="O474" s="232"/>
      <c r="P474" s="235"/>
      <c r="Q474" s="235"/>
      <c r="R474" s="232"/>
      <c r="S474" s="235"/>
      <c r="T474" s="236"/>
      <c r="U474" s="232"/>
      <c r="V474" s="237"/>
    </row>
    <row r="475" spans="1:22" x14ac:dyDescent="0.3">
      <c r="A475" s="238"/>
      <c r="B475" s="239"/>
      <c r="C475" s="71" t="s">
        <v>88</v>
      </c>
      <c r="M475" s="232" t="str">
        <f>IF((L476=""),"",MAX(D477:L477))</f>
        <v/>
      </c>
      <c r="N475" s="232" t="str">
        <f>IF(L476="","",MIN(D477:L477))</f>
        <v/>
      </c>
      <c r="O475" s="232" t="str">
        <f>IF((L477=""),"",AVERAGE(D477:L477))</f>
        <v/>
      </c>
      <c r="P475" s="233">
        <v>19000</v>
      </c>
      <c r="Q475" s="233">
        <v>49000</v>
      </c>
      <c r="R475" s="232" t="str">
        <f>IF((L476=""),"",((M475-N475)/(M475+N475))*100)</f>
        <v/>
      </c>
      <c r="S475" s="233">
        <v>20</v>
      </c>
      <c r="T475" s="236" t="str">
        <f>IF(L476="","",IF(R572&lt;20,(IF(O475&gt;19000,IF(O475&lt;49000,"Pass","Fail"),"Fail"))))</f>
        <v/>
      </c>
      <c r="U475" s="232"/>
      <c r="V475" s="237"/>
    </row>
    <row r="476" spans="1:22" x14ac:dyDescent="0.3">
      <c r="A476" s="238"/>
      <c r="B476" s="240"/>
      <c r="C476" s="71" t="s">
        <v>89</v>
      </c>
      <c r="M476" s="232"/>
      <c r="N476" s="232"/>
      <c r="O476" s="232"/>
      <c r="P476" s="234"/>
      <c r="Q476" s="234"/>
      <c r="R476" s="232"/>
      <c r="S476" s="234"/>
      <c r="T476" s="236"/>
      <c r="U476" s="232"/>
      <c r="V476" s="237"/>
    </row>
    <row r="477" spans="1:22" ht="39.9" x14ac:dyDescent="0.3">
      <c r="A477" s="238"/>
      <c r="B477" s="241"/>
      <c r="C477" s="71" t="s">
        <v>123</v>
      </c>
      <c r="D477" s="38" t="str">
        <f t="shared" ref="D477:L477" si="155">IF(((D475="")*AND(D476="")),"",(D475-D476)*60/70)</f>
        <v/>
      </c>
      <c r="E477" s="38" t="str">
        <f t="shared" si="155"/>
        <v/>
      </c>
      <c r="F477" s="38" t="str">
        <f t="shared" si="155"/>
        <v/>
      </c>
      <c r="G477" s="38" t="str">
        <f t="shared" si="155"/>
        <v/>
      </c>
      <c r="H477" s="38" t="str">
        <f t="shared" si="155"/>
        <v/>
      </c>
      <c r="I477" s="38" t="str">
        <f t="shared" si="155"/>
        <v/>
      </c>
      <c r="J477" s="38" t="str">
        <f t="shared" si="155"/>
        <v/>
      </c>
      <c r="K477" s="38" t="str">
        <f t="shared" si="155"/>
        <v/>
      </c>
      <c r="L477" s="38" t="str">
        <f t="shared" si="155"/>
        <v/>
      </c>
      <c r="M477" s="232"/>
      <c r="N477" s="232"/>
      <c r="O477" s="232"/>
      <c r="P477" s="235"/>
      <c r="Q477" s="235"/>
      <c r="R477" s="232"/>
      <c r="S477" s="235"/>
      <c r="T477" s="236"/>
      <c r="U477" s="232"/>
      <c r="V477" s="237"/>
    </row>
    <row r="478" spans="1:22" x14ac:dyDescent="0.3">
      <c r="A478" s="238"/>
      <c r="B478" s="239"/>
      <c r="C478" s="71" t="s">
        <v>88</v>
      </c>
      <c r="M478" s="232" t="str">
        <f>IF((L479=""),"",MAX(D480:L480))</f>
        <v/>
      </c>
      <c r="N478" s="232" t="str">
        <f>IF(L479="","",MIN(D480:L480))</f>
        <v/>
      </c>
      <c r="O478" s="232" t="str">
        <f>IF((L480=""),"",AVERAGE(D480:L480))</f>
        <v/>
      </c>
      <c r="P478" s="233">
        <v>19000</v>
      </c>
      <c r="Q478" s="233">
        <v>49000</v>
      </c>
      <c r="R478" s="232" t="str">
        <f>IF((L479=""),"",((M478-N478)/(M478+N478))*100)</f>
        <v/>
      </c>
      <c r="S478" s="233">
        <v>20</v>
      </c>
      <c r="T478" s="236" t="str">
        <f>IF(L479="","",IF(R575&lt;20,(IF(O478&gt;19000,IF(O478&lt;49000,"Pass","Fail"),"Fail"))))</f>
        <v/>
      </c>
      <c r="U478" s="232"/>
      <c r="V478" s="237"/>
    </row>
    <row r="479" spans="1:22" x14ac:dyDescent="0.3">
      <c r="A479" s="238"/>
      <c r="B479" s="240"/>
      <c r="C479" s="71" t="s">
        <v>89</v>
      </c>
      <c r="M479" s="232"/>
      <c r="N479" s="232"/>
      <c r="O479" s="232"/>
      <c r="P479" s="234"/>
      <c r="Q479" s="234"/>
      <c r="R479" s="232"/>
      <c r="S479" s="234"/>
      <c r="T479" s="236"/>
      <c r="U479" s="232"/>
      <c r="V479" s="237"/>
    </row>
    <row r="480" spans="1:22" ht="39.9" x14ac:dyDescent="0.3">
      <c r="A480" s="238"/>
      <c r="B480" s="241"/>
      <c r="C480" s="71" t="s">
        <v>123</v>
      </c>
      <c r="D480" s="38" t="str">
        <f t="shared" ref="D480:L480" si="156">IF(((D478="")*AND(D479="")),"",(D478-D479)*60/70)</f>
        <v/>
      </c>
      <c r="E480" s="38" t="str">
        <f t="shared" si="156"/>
        <v/>
      </c>
      <c r="F480" s="38" t="str">
        <f t="shared" si="156"/>
        <v/>
      </c>
      <c r="G480" s="38" t="str">
        <f t="shared" si="156"/>
        <v/>
      </c>
      <c r="H480" s="38" t="str">
        <f t="shared" si="156"/>
        <v/>
      </c>
      <c r="I480" s="38" t="str">
        <f t="shared" si="156"/>
        <v/>
      </c>
      <c r="J480" s="38" t="str">
        <f t="shared" si="156"/>
        <v/>
      </c>
      <c r="K480" s="38" t="str">
        <f t="shared" si="156"/>
        <v/>
      </c>
      <c r="L480" s="38" t="str">
        <f t="shared" si="156"/>
        <v/>
      </c>
      <c r="M480" s="232"/>
      <c r="N480" s="232"/>
      <c r="O480" s="232"/>
      <c r="P480" s="235"/>
      <c r="Q480" s="235"/>
      <c r="R480" s="232"/>
      <c r="S480" s="235"/>
      <c r="T480" s="236"/>
      <c r="U480" s="232"/>
      <c r="V480" s="237"/>
    </row>
    <row r="481" spans="1:22" x14ac:dyDescent="0.3">
      <c r="A481" s="238"/>
      <c r="B481" s="239"/>
      <c r="C481" s="71" t="s">
        <v>88</v>
      </c>
      <c r="M481" s="232" t="str">
        <f>IF((L482=""),"",MAX(D483:L483))</f>
        <v/>
      </c>
      <c r="N481" s="232" t="str">
        <f>IF(L482="","",MIN(D483:L483))</f>
        <v/>
      </c>
      <c r="O481" s="232" t="str">
        <f>IF((L483=""),"",AVERAGE(D483:L483))</f>
        <v/>
      </c>
      <c r="P481" s="233">
        <v>19000</v>
      </c>
      <c r="Q481" s="233">
        <v>49000</v>
      </c>
      <c r="R481" s="232" t="str">
        <f>IF((L482=""),"",((M481-N481)/(M481+N481))*100)</f>
        <v/>
      </c>
      <c r="S481" s="233">
        <v>20</v>
      </c>
      <c r="T481" s="236" t="str">
        <f>IF(L482="","",IF(R578&lt;20,(IF(O481&gt;19000,IF(O481&lt;49000,"Pass","Fail"),"Fail"))))</f>
        <v/>
      </c>
      <c r="U481" s="232"/>
      <c r="V481" s="237"/>
    </row>
    <row r="482" spans="1:22" x14ac:dyDescent="0.3">
      <c r="A482" s="238"/>
      <c r="B482" s="240"/>
      <c r="C482" s="71" t="s">
        <v>89</v>
      </c>
      <c r="M482" s="232"/>
      <c r="N482" s="232"/>
      <c r="O482" s="232"/>
      <c r="P482" s="234"/>
      <c r="Q482" s="234"/>
      <c r="R482" s="232"/>
      <c r="S482" s="234"/>
      <c r="T482" s="236"/>
      <c r="U482" s="232"/>
      <c r="V482" s="237"/>
    </row>
    <row r="483" spans="1:22" ht="39.9" x14ac:dyDescent="0.3">
      <c r="A483" s="238"/>
      <c r="B483" s="241"/>
      <c r="C483" s="71" t="s">
        <v>123</v>
      </c>
      <c r="D483" s="38" t="str">
        <f t="shared" ref="D483:L483" si="157">IF(((D481="")*AND(D482="")),"",(D481-D482)*60/70)</f>
        <v/>
      </c>
      <c r="E483" s="38" t="str">
        <f t="shared" si="157"/>
        <v/>
      </c>
      <c r="F483" s="38" t="str">
        <f t="shared" si="157"/>
        <v/>
      </c>
      <c r="G483" s="38" t="str">
        <f t="shared" si="157"/>
        <v/>
      </c>
      <c r="H483" s="38" t="str">
        <f t="shared" si="157"/>
        <v/>
      </c>
      <c r="I483" s="38" t="str">
        <f t="shared" si="157"/>
        <v/>
      </c>
      <c r="J483" s="38" t="str">
        <f t="shared" si="157"/>
        <v/>
      </c>
      <c r="K483" s="38" t="str">
        <f t="shared" si="157"/>
        <v/>
      </c>
      <c r="L483" s="38" t="str">
        <f t="shared" si="157"/>
        <v/>
      </c>
      <c r="M483" s="232"/>
      <c r="N483" s="232"/>
      <c r="O483" s="232"/>
      <c r="P483" s="235"/>
      <c r="Q483" s="235"/>
      <c r="R483" s="232"/>
      <c r="S483" s="235"/>
      <c r="T483" s="236"/>
      <c r="U483" s="232"/>
      <c r="V483" s="237"/>
    </row>
    <row r="484" spans="1:22" x14ac:dyDescent="0.3">
      <c r="A484" s="238"/>
      <c r="B484" s="239"/>
      <c r="C484" s="71" t="s">
        <v>88</v>
      </c>
      <c r="M484" s="232" t="str">
        <f>IF((L485=""),"",MAX(D486:L486))</f>
        <v/>
      </c>
      <c r="N484" s="232" t="str">
        <f>IF(L485="","",MIN(D486:L486))</f>
        <v/>
      </c>
      <c r="O484" s="232" t="str">
        <f>IF((L486=""),"",AVERAGE(D486:L486))</f>
        <v/>
      </c>
      <c r="P484" s="233">
        <v>19000</v>
      </c>
      <c r="Q484" s="233">
        <v>49000</v>
      </c>
      <c r="R484" s="232" t="str">
        <f>IF((L485=""),"",((M484-N484)/(M484+N484))*100)</f>
        <v/>
      </c>
      <c r="S484" s="233">
        <v>20</v>
      </c>
      <c r="T484" s="236" t="str">
        <f>IF(L485="","",IF(R581&lt;20,(IF(O484&gt;19000,IF(O484&lt;49000,"Pass","Fail"),"Fail"))))</f>
        <v/>
      </c>
      <c r="U484" s="232"/>
      <c r="V484" s="237"/>
    </row>
    <row r="485" spans="1:22" x14ac:dyDescent="0.3">
      <c r="A485" s="238"/>
      <c r="B485" s="240"/>
      <c r="C485" s="71" t="s">
        <v>89</v>
      </c>
      <c r="M485" s="232"/>
      <c r="N485" s="232"/>
      <c r="O485" s="232"/>
      <c r="P485" s="234"/>
      <c r="Q485" s="234"/>
      <c r="R485" s="232"/>
      <c r="S485" s="234"/>
      <c r="T485" s="236"/>
      <c r="U485" s="232"/>
      <c r="V485" s="237"/>
    </row>
    <row r="486" spans="1:22" ht="39.9" x14ac:dyDescent="0.3">
      <c r="A486" s="238"/>
      <c r="B486" s="241"/>
      <c r="C486" s="71" t="s">
        <v>123</v>
      </c>
      <c r="D486" s="38" t="str">
        <f t="shared" ref="D486:L486" si="158">IF(((D484="")*AND(D485="")),"",(D484-D485)*60/70)</f>
        <v/>
      </c>
      <c r="E486" s="38" t="str">
        <f t="shared" si="158"/>
        <v/>
      </c>
      <c r="F486" s="38" t="str">
        <f t="shared" si="158"/>
        <v/>
      </c>
      <c r="G486" s="38" t="str">
        <f t="shared" si="158"/>
        <v/>
      </c>
      <c r="H486" s="38" t="str">
        <f t="shared" si="158"/>
        <v/>
      </c>
      <c r="I486" s="38" t="str">
        <f t="shared" si="158"/>
        <v/>
      </c>
      <c r="J486" s="38" t="str">
        <f t="shared" si="158"/>
        <v/>
      </c>
      <c r="K486" s="38" t="str">
        <f t="shared" si="158"/>
        <v/>
      </c>
      <c r="L486" s="38" t="str">
        <f t="shared" si="158"/>
        <v/>
      </c>
      <c r="M486" s="232"/>
      <c r="N486" s="232"/>
      <c r="O486" s="232"/>
      <c r="P486" s="235"/>
      <c r="Q486" s="235"/>
      <c r="R486" s="232"/>
      <c r="S486" s="235"/>
      <c r="T486" s="236"/>
      <c r="U486" s="232"/>
      <c r="V486" s="237"/>
    </row>
    <row r="487" spans="1:22" x14ac:dyDescent="0.3">
      <c r="A487" s="238"/>
      <c r="B487" s="239"/>
      <c r="C487" s="71" t="s">
        <v>88</v>
      </c>
      <c r="M487" s="232" t="str">
        <f>IF((L488=""),"",MAX(D489:L489))</f>
        <v/>
      </c>
      <c r="N487" s="232" t="str">
        <f>IF(L488="","",MIN(D489:L489))</f>
        <v/>
      </c>
      <c r="O487" s="232" t="str">
        <f>IF((L489=""),"",AVERAGE(D489:L489))</f>
        <v/>
      </c>
      <c r="P487" s="233">
        <v>19000</v>
      </c>
      <c r="Q487" s="233">
        <v>49000</v>
      </c>
      <c r="R487" s="232" t="str">
        <f>IF((L488=""),"",((M487-N487)/(M487+N487))*100)</f>
        <v/>
      </c>
      <c r="S487" s="233">
        <v>20</v>
      </c>
      <c r="T487" s="236" t="str">
        <f>IF(L488="","",IF(R584&lt;20,(IF(O487&gt;19000,IF(O487&lt;49000,"Pass","Fail"),"Fail"))))</f>
        <v/>
      </c>
      <c r="U487" s="232"/>
      <c r="V487" s="237"/>
    </row>
    <row r="488" spans="1:22" x14ac:dyDescent="0.3">
      <c r="A488" s="238"/>
      <c r="B488" s="240"/>
      <c r="C488" s="71" t="s">
        <v>89</v>
      </c>
      <c r="M488" s="232"/>
      <c r="N488" s="232"/>
      <c r="O488" s="232"/>
      <c r="P488" s="234"/>
      <c r="Q488" s="234"/>
      <c r="R488" s="232"/>
      <c r="S488" s="234"/>
      <c r="T488" s="236"/>
      <c r="U488" s="232"/>
      <c r="V488" s="237"/>
    </row>
    <row r="489" spans="1:22" ht="39.9" x14ac:dyDescent="0.3">
      <c r="A489" s="238"/>
      <c r="B489" s="241"/>
      <c r="C489" s="71" t="s">
        <v>123</v>
      </c>
      <c r="D489" s="38" t="str">
        <f t="shared" ref="D489:L489" si="159">IF(((D487="")*AND(D488="")),"",(D487-D488)*60/70)</f>
        <v/>
      </c>
      <c r="E489" s="38" t="str">
        <f t="shared" si="159"/>
        <v/>
      </c>
      <c r="F489" s="38" t="str">
        <f t="shared" si="159"/>
        <v/>
      </c>
      <c r="G489" s="38" t="str">
        <f t="shared" si="159"/>
        <v/>
      </c>
      <c r="H489" s="38" t="str">
        <f t="shared" si="159"/>
        <v/>
      </c>
      <c r="I489" s="38" t="str">
        <f t="shared" si="159"/>
        <v/>
      </c>
      <c r="J489" s="38" t="str">
        <f t="shared" si="159"/>
        <v/>
      </c>
      <c r="K489" s="38" t="str">
        <f t="shared" si="159"/>
        <v/>
      </c>
      <c r="L489" s="38" t="str">
        <f t="shared" si="159"/>
        <v/>
      </c>
      <c r="M489" s="232"/>
      <c r="N489" s="232"/>
      <c r="O489" s="232"/>
      <c r="P489" s="235"/>
      <c r="Q489" s="235"/>
      <c r="R489" s="232"/>
      <c r="S489" s="235"/>
      <c r="T489" s="236"/>
      <c r="U489" s="232"/>
      <c r="V489" s="237"/>
    </row>
    <row r="490" spans="1:22" x14ac:dyDescent="0.3">
      <c r="A490" s="238"/>
      <c r="B490" s="239"/>
      <c r="C490" s="71" t="s">
        <v>88</v>
      </c>
      <c r="M490" s="232" t="str">
        <f>IF((L491=""),"",MAX(D492:L492))</f>
        <v/>
      </c>
      <c r="N490" s="232" t="str">
        <f>IF(L491="","",MIN(D492:L492))</f>
        <v/>
      </c>
      <c r="O490" s="232" t="str">
        <f>IF((L492=""),"",AVERAGE(D492:L492))</f>
        <v/>
      </c>
      <c r="P490" s="233">
        <v>19000</v>
      </c>
      <c r="Q490" s="233">
        <v>49000</v>
      </c>
      <c r="R490" s="232" t="str">
        <f>IF((L491=""),"",((M490-N490)/(M490+N490))*100)</f>
        <v/>
      </c>
      <c r="S490" s="233">
        <v>20</v>
      </c>
      <c r="T490" s="236" t="str">
        <f>IF(L491="","",IF(R587&lt;20,(IF(O490&gt;19000,IF(O490&lt;49000,"Pass","Fail"),"Fail"))))</f>
        <v/>
      </c>
      <c r="U490" s="232"/>
      <c r="V490" s="237"/>
    </row>
    <row r="491" spans="1:22" x14ac:dyDescent="0.3">
      <c r="A491" s="238"/>
      <c r="B491" s="240"/>
      <c r="C491" s="71" t="s">
        <v>89</v>
      </c>
      <c r="M491" s="232"/>
      <c r="N491" s="232"/>
      <c r="O491" s="232"/>
      <c r="P491" s="234"/>
      <c r="Q491" s="234"/>
      <c r="R491" s="232"/>
      <c r="S491" s="234"/>
      <c r="T491" s="236"/>
      <c r="U491" s="232"/>
      <c r="V491" s="237"/>
    </row>
    <row r="492" spans="1:22" ht="39.9" x14ac:dyDescent="0.3">
      <c r="A492" s="238"/>
      <c r="B492" s="241"/>
      <c r="C492" s="71" t="s">
        <v>123</v>
      </c>
      <c r="D492" s="38" t="str">
        <f t="shared" ref="D492:L492" si="160">IF(((D490="")*AND(D491="")),"",(D490-D491)*60/70)</f>
        <v/>
      </c>
      <c r="E492" s="38" t="str">
        <f t="shared" si="160"/>
        <v/>
      </c>
      <c r="F492" s="38" t="str">
        <f t="shared" si="160"/>
        <v/>
      </c>
      <c r="G492" s="38" t="str">
        <f t="shared" si="160"/>
        <v/>
      </c>
      <c r="H492" s="38" t="str">
        <f t="shared" si="160"/>
        <v/>
      </c>
      <c r="I492" s="38" t="str">
        <f t="shared" si="160"/>
        <v/>
      </c>
      <c r="J492" s="38" t="str">
        <f t="shared" si="160"/>
        <v/>
      </c>
      <c r="K492" s="38" t="str">
        <f t="shared" si="160"/>
        <v/>
      </c>
      <c r="L492" s="38" t="str">
        <f t="shared" si="160"/>
        <v/>
      </c>
      <c r="M492" s="232"/>
      <c r="N492" s="232"/>
      <c r="O492" s="232"/>
      <c r="P492" s="235"/>
      <c r="Q492" s="235"/>
      <c r="R492" s="232"/>
      <c r="S492" s="235"/>
      <c r="T492" s="236"/>
      <c r="U492" s="232"/>
      <c r="V492" s="237"/>
    </row>
    <row r="493" spans="1:22" x14ac:dyDescent="0.3">
      <c r="A493" s="238"/>
      <c r="B493" s="239"/>
      <c r="C493" s="71" t="s">
        <v>88</v>
      </c>
      <c r="M493" s="232" t="str">
        <f>IF((L494=""),"",MAX(D495:L495))</f>
        <v/>
      </c>
      <c r="N493" s="232" t="str">
        <f>IF(L494="","",MIN(D495:L495))</f>
        <v/>
      </c>
      <c r="O493" s="232" t="str">
        <f>IF((L495=""),"",AVERAGE(D495:L495))</f>
        <v/>
      </c>
      <c r="P493" s="233">
        <v>19000</v>
      </c>
      <c r="Q493" s="233">
        <v>49000</v>
      </c>
      <c r="R493" s="232" t="str">
        <f>IF((L494=""),"",((M493-N493)/(M493+N493))*100)</f>
        <v/>
      </c>
      <c r="S493" s="233">
        <v>20</v>
      </c>
      <c r="T493" s="236" t="str">
        <f>IF(L494="","",IF(R590&lt;20,(IF(O493&gt;19000,IF(O493&lt;49000,"Pass","Fail"),"Fail"))))</f>
        <v/>
      </c>
      <c r="U493" s="232"/>
      <c r="V493" s="237"/>
    </row>
    <row r="494" spans="1:22" x14ac:dyDescent="0.3">
      <c r="A494" s="238"/>
      <c r="B494" s="240"/>
      <c r="C494" s="71" t="s">
        <v>89</v>
      </c>
      <c r="M494" s="232"/>
      <c r="N494" s="232"/>
      <c r="O494" s="232"/>
      <c r="P494" s="234"/>
      <c r="Q494" s="234"/>
      <c r="R494" s="232"/>
      <c r="S494" s="234"/>
      <c r="T494" s="236"/>
      <c r="U494" s="232"/>
      <c r="V494" s="237"/>
    </row>
    <row r="495" spans="1:22" ht="39.9" x14ac:dyDescent="0.3">
      <c r="A495" s="238"/>
      <c r="B495" s="241"/>
      <c r="C495" s="71" t="s">
        <v>123</v>
      </c>
      <c r="D495" s="38" t="str">
        <f t="shared" ref="D495:L495" si="161">IF(((D493="")*AND(D494="")),"",(D493-D494)*60/70)</f>
        <v/>
      </c>
      <c r="E495" s="38" t="str">
        <f t="shared" si="161"/>
        <v/>
      </c>
      <c r="F495" s="38" t="str">
        <f t="shared" si="161"/>
        <v/>
      </c>
      <c r="G495" s="38" t="str">
        <f t="shared" si="161"/>
        <v/>
      </c>
      <c r="H495" s="38" t="str">
        <f t="shared" si="161"/>
        <v/>
      </c>
      <c r="I495" s="38" t="str">
        <f t="shared" si="161"/>
        <v/>
      </c>
      <c r="J495" s="38" t="str">
        <f t="shared" si="161"/>
        <v/>
      </c>
      <c r="K495" s="38" t="str">
        <f t="shared" si="161"/>
        <v/>
      </c>
      <c r="L495" s="38" t="str">
        <f t="shared" si="161"/>
        <v/>
      </c>
      <c r="M495" s="232"/>
      <c r="N495" s="232"/>
      <c r="O495" s="232"/>
      <c r="P495" s="235"/>
      <c r="Q495" s="235"/>
      <c r="R495" s="232"/>
      <c r="S495" s="235"/>
      <c r="T495" s="236"/>
      <c r="U495" s="232"/>
      <c r="V495" s="237"/>
    </row>
    <row r="496" spans="1:22" x14ac:dyDescent="0.3">
      <c r="A496" s="238"/>
      <c r="B496" s="239"/>
      <c r="C496" s="71" t="s">
        <v>88</v>
      </c>
      <c r="M496" s="232" t="str">
        <f>IF((L497=""),"",MAX(D498:L498))</f>
        <v/>
      </c>
      <c r="N496" s="232" t="str">
        <f>IF(L497="","",MIN(D498:L498))</f>
        <v/>
      </c>
      <c r="O496" s="232" t="str">
        <f>IF((L498=""),"",AVERAGE(D498:L498))</f>
        <v/>
      </c>
      <c r="P496" s="233">
        <v>19000</v>
      </c>
      <c r="Q496" s="233">
        <v>49000</v>
      </c>
      <c r="R496" s="232" t="str">
        <f>IF((L497=""),"",((M496-N496)/(M496+N496))*100)</f>
        <v/>
      </c>
      <c r="S496" s="233">
        <v>20</v>
      </c>
      <c r="T496" s="236" t="str">
        <f>IF(L497="","",IF(R593&lt;20,(IF(O496&gt;19000,IF(O496&lt;49000,"Pass","Fail"),"Fail"))))</f>
        <v/>
      </c>
      <c r="U496" s="232"/>
      <c r="V496" s="237"/>
    </row>
    <row r="497" spans="1:22" x14ac:dyDescent="0.3">
      <c r="A497" s="238"/>
      <c r="B497" s="240"/>
      <c r="C497" s="71" t="s">
        <v>89</v>
      </c>
      <c r="M497" s="232"/>
      <c r="N497" s="232"/>
      <c r="O497" s="232"/>
      <c r="P497" s="234"/>
      <c r="Q497" s="234"/>
      <c r="R497" s="232"/>
      <c r="S497" s="234"/>
      <c r="T497" s="236"/>
      <c r="U497" s="232"/>
      <c r="V497" s="237"/>
    </row>
    <row r="498" spans="1:22" ht="39.9" x14ac:dyDescent="0.3">
      <c r="A498" s="238"/>
      <c r="B498" s="241"/>
      <c r="C498" s="71" t="s">
        <v>123</v>
      </c>
      <c r="D498" s="38" t="str">
        <f t="shared" ref="D498:L498" si="162">IF(((D496="")*AND(D497="")),"",(D496-D497)*60/70)</f>
        <v/>
      </c>
      <c r="E498" s="38" t="str">
        <f t="shared" si="162"/>
        <v/>
      </c>
      <c r="F498" s="38" t="str">
        <f t="shared" si="162"/>
        <v/>
      </c>
      <c r="G498" s="38" t="str">
        <f t="shared" si="162"/>
        <v/>
      </c>
      <c r="H498" s="38" t="str">
        <f t="shared" si="162"/>
        <v/>
      </c>
      <c r="I498" s="38" t="str">
        <f t="shared" si="162"/>
        <v/>
      </c>
      <c r="J498" s="38" t="str">
        <f t="shared" si="162"/>
        <v/>
      </c>
      <c r="K498" s="38" t="str">
        <f t="shared" si="162"/>
        <v/>
      </c>
      <c r="L498" s="38" t="str">
        <f t="shared" si="162"/>
        <v/>
      </c>
      <c r="M498" s="232"/>
      <c r="N498" s="232"/>
      <c r="O498" s="232"/>
      <c r="P498" s="235"/>
      <c r="Q498" s="235"/>
      <c r="R498" s="232"/>
      <c r="S498" s="235"/>
      <c r="T498" s="236"/>
      <c r="U498" s="232"/>
      <c r="V498" s="237"/>
    </row>
    <row r="499" spans="1:22" x14ac:dyDescent="0.3">
      <c r="A499" s="238"/>
      <c r="B499" s="239"/>
      <c r="C499" s="71" t="s">
        <v>88</v>
      </c>
      <c r="M499" s="232" t="str">
        <f>IF((L500=""),"",MAX(D501:L501))</f>
        <v/>
      </c>
      <c r="N499" s="232" t="str">
        <f>IF(L500="","",MIN(D501:L501))</f>
        <v/>
      </c>
      <c r="O499" s="232" t="str">
        <f>IF((L501=""),"",AVERAGE(D501:L501))</f>
        <v/>
      </c>
      <c r="P499" s="233">
        <v>19000</v>
      </c>
      <c r="Q499" s="233">
        <v>49000</v>
      </c>
      <c r="R499" s="232" t="str">
        <f>IF((L500=""),"",((M499-N499)/(M499+N499))*100)</f>
        <v/>
      </c>
      <c r="S499" s="233">
        <v>20</v>
      </c>
      <c r="T499" s="236" t="str">
        <f>IF(L500="","",IF(R596&lt;20,(IF(O499&gt;19000,IF(O499&lt;49000,"Pass","Fail"),"Fail"))))</f>
        <v/>
      </c>
      <c r="U499" s="232"/>
      <c r="V499" s="237"/>
    </row>
    <row r="500" spans="1:22" x14ac:dyDescent="0.3">
      <c r="A500" s="238"/>
      <c r="B500" s="240"/>
      <c r="C500" s="71" t="s">
        <v>89</v>
      </c>
      <c r="M500" s="232"/>
      <c r="N500" s="232"/>
      <c r="O500" s="232"/>
      <c r="P500" s="234"/>
      <c r="Q500" s="234"/>
      <c r="R500" s="232"/>
      <c r="S500" s="234"/>
      <c r="T500" s="236"/>
      <c r="U500" s="232"/>
      <c r="V500" s="237"/>
    </row>
    <row r="501" spans="1:22" ht="39.9" x14ac:dyDescent="0.3">
      <c r="A501" s="238"/>
      <c r="B501" s="241"/>
      <c r="C501" s="71" t="s">
        <v>123</v>
      </c>
      <c r="D501" s="38" t="str">
        <f t="shared" ref="D501:L501" si="163">IF(((D499="")*AND(D500="")),"",(D499-D500)*60/70)</f>
        <v/>
      </c>
      <c r="E501" s="38" t="str">
        <f t="shared" si="163"/>
        <v/>
      </c>
      <c r="F501" s="38" t="str">
        <f t="shared" si="163"/>
        <v/>
      </c>
      <c r="G501" s="38" t="str">
        <f t="shared" si="163"/>
        <v/>
      </c>
      <c r="H501" s="38" t="str">
        <f t="shared" si="163"/>
        <v/>
      </c>
      <c r="I501" s="38" t="str">
        <f t="shared" si="163"/>
        <v/>
      </c>
      <c r="J501" s="38" t="str">
        <f t="shared" si="163"/>
        <v/>
      </c>
      <c r="K501" s="38" t="str">
        <f t="shared" si="163"/>
        <v/>
      </c>
      <c r="L501" s="38" t="str">
        <f t="shared" si="163"/>
        <v/>
      </c>
      <c r="M501" s="232"/>
      <c r="N501" s="232"/>
      <c r="O501" s="232"/>
      <c r="P501" s="235"/>
      <c r="Q501" s="235"/>
      <c r="R501" s="232"/>
      <c r="S501" s="235"/>
      <c r="T501" s="236"/>
      <c r="U501" s="232"/>
      <c r="V501" s="237"/>
    </row>
    <row r="502" spans="1:22" x14ac:dyDescent="0.3">
      <c r="A502" s="238"/>
      <c r="B502" s="239"/>
      <c r="C502" s="71" t="s">
        <v>88</v>
      </c>
      <c r="M502" s="232" t="str">
        <f>IF((L503=""),"",MAX(D504:L504))</f>
        <v/>
      </c>
      <c r="N502" s="232" t="str">
        <f>IF(L503="","",MIN(D504:L504))</f>
        <v/>
      </c>
      <c r="O502" s="232" t="str">
        <f>IF((L504=""),"",AVERAGE(D504:L504))</f>
        <v/>
      </c>
      <c r="P502" s="233">
        <v>19000</v>
      </c>
      <c r="Q502" s="233">
        <v>49000</v>
      </c>
      <c r="R502" s="232" t="str">
        <f>IF((L503=""),"",((M502-N502)/(M502+N502))*100)</f>
        <v/>
      </c>
      <c r="S502" s="233">
        <v>20</v>
      </c>
      <c r="T502" s="236" t="str">
        <f>IF(L503="","",IF(R599&lt;20,(IF(O502&gt;19000,IF(O502&lt;49000,"Pass","Fail"),"Fail"))))</f>
        <v/>
      </c>
      <c r="U502" s="232"/>
      <c r="V502" s="237"/>
    </row>
    <row r="503" spans="1:22" x14ac:dyDescent="0.3">
      <c r="A503" s="238"/>
      <c r="B503" s="240"/>
      <c r="C503" s="71" t="s">
        <v>89</v>
      </c>
      <c r="M503" s="232"/>
      <c r="N503" s="232"/>
      <c r="O503" s="232"/>
      <c r="P503" s="234"/>
      <c r="Q503" s="234"/>
      <c r="R503" s="232"/>
      <c r="S503" s="234"/>
      <c r="T503" s="236"/>
      <c r="U503" s="232"/>
      <c r="V503" s="237"/>
    </row>
    <row r="504" spans="1:22" ht="39.9" x14ac:dyDescent="0.3">
      <c r="A504" s="238"/>
      <c r="B504" s="241"/>
      <c r="C504" s="71" t="s">
        <v>123</v>
      </c>
      <c r="D504" s="38" t="str">
        <f t="shared" ref="D504:L504" si="164">IF(((D502="")*AND(D503="")),"",(D502-D503)*60/70)</f>
        <v/>
      </c>
      <c r="E504" s="38" t="str">
        <f t="shared" si="164"/>
        <v/>
      </c>
      <c r="F504" s="38" t="str">
        <f t="shared" si="164"/>
        <v/>
      </c>
      <c r="G504" s="38" t="str">
        <f t="shared" si="164"/>
        <v/>
      </c>
      <c r="H504" s="38" t="str">
        <f t="shared" si="164"/>
        <v/>
      </c>
      <c r="I504" s="38" t="str">
        <f t="shared" si="164"/>
        <v/>
      </c>
      <c r="J504" s="38" t="str">
        <f t="shared" si="164"/>
        <v/>
      </c>
      <c r="K504" s="38" t="str">
        <f t="shared" si="164"/>
        <v/>
      </c>
      <c r="L504" s="38" t="str">
        <f t="shared" si="164"/>
        <v/>
      </c>
      <c r="M504" s="232"/>
      <c r="N504" s="232"/>
      <c r="O504" s="232"/>
      <c r="P504" s="235"/>
      <c r="Q504" s="235"/>
      <c r="R504" s="232"/>
      <c r="S504" s="235"/>
      <c r="T504" s="236"/>
      <c r="U504" s="232"/>
      <c r="V504" s="237"/>
    </row>
  </sheetData>
  <mergeCells count="1981">
    <mergeCell ref="D8:L8"/>
    <mergeCell ref="A10:A12"/>
    <mergeCell ref="B10:B12"/>
    <mergeCell ref="M10:M12"/>
    <mergeCell ref="N10:N12"/>
    <mergeCell ref="O10:O12"/>
    <mergeCell ref="T13:T15"/>
    <mergeCell ref="U13:U15"/>
    <mergeCell ref="V13:V15"/>
    <mergeCell ref="A16:A18"/>
    <mergeCell ref="B16:B18"/>
    <mergeCell ref="M16:M18"/>
    <mergeCell ref="N16:N18"/>
    <mergeCell ref="O16:O18"/>
    <mergeCell ref="P16:P18"/>
    <mergeCell ref="Q16:Q18"/>
    <mergeCell ref="V10:V12"/>
    <mergeCell ref="A13:A15"/>
    <mergeCell ref="B13:B15"/>
    <mergeCell ref="M13:M15"/>
    <mergeCell ref="N13:N15"/>
    <mergeCell ref="O13:O15"/>
    <mergeCell ref="P13:P15"/>
    <mergeCell ref="Q13:Q15"/>
    <mergeCell ref="R13:R15"/>
    <mergeCell ref="S13:S15"/>
    <mergeCell ref="P10:P12"/>
    <mergeCell ref="Q10:Q12"/>
    <mergeCell ref="R10:R12"/>
    <mergeCell ref="S10:S12"/>
    <mergeCell ref="T10:T12"/>
    <mergeCell ref="U10:U12"/>
    <mergeCell ref="V19:V21"/>
    <mergeCell ref="A22:A24"/>
    <mergeCell ref="B22:B24"/>
    <mergeCell ref="M22:M24"/>
    <mergeCell ref="N22:N24"/>
    <mergeCell ref="O22:O24"/>
    <mergeCell ref="P22:P24"/>
    <mergeCell ref="Q22:Q24"/>
    <mergeCell ref="R22:R24"/>
    <mergeCell ref="S22:S24"/>
    <mergeCell ref="P19:P21"/>
    <mergeCell ref="Q19:Q21"/>
    <mergeCell ref="R19:R21"/>
    <mergeCell ref="S19:S21"/>
    <mergeCell ref="T19:T21"/>
    <mergeCell ref="U19:U21"/>
    <mergeCell ref="R16:R18"/>
    <mergeCell ref="S16:S18"/>
    <mergeCell ref="T16:T18"/>
    <mergeCell ref="U16:U18"/>
    <mergeCell ref="V16:V18"/>
    <mergeCell ref="A19:A21"/>
    <mergeCell ref="B19:B21"/>
    <mergeCell ref="M19:M21"/>
    <mergeCell ref="N19:N21"/>
    <mergeCell ref="O19:O21"/>
    <mergeCell ref="R25:R27"/>
    <mergeCell ref="S25:S27"/>
    <mergeCell ref="T25:T27"/>
    <mergeCell ref="U25:U27"/>
    <mergeCell ref="V25:V27"/>
    <mergeCell ref="A28:A30"/>
    <mergeCell ref="B28:B30"/>
    <mergeCell ref="M28:M30"/>
    <mergeCell ref="N28:N30"/>
    <mergeCell ref="O28:O30"/>
    <mergeCell ref="T22:T24"/>
    <mergeCell ref="U22:U24"/>
    <mergeCell ref="V22:V24"/>
    <mergeCell ref="A25:A27"/>
    <mergeCell ref="B25:B27"/>
    <mergeCell ref="M25:M27"/>
    <mergeCell ref="N25:N27"/>
    <mergeCell ref="O25:O27"/>
    <mergeCell ref="P25:P27"/>
    <mergeCell ref="Q25:Q27"/>
    <mergeCell ref="T31:T33"/>
    <mergeCell ref="U31:U33"/>
    <mergeCell ref="V31:V33"/>
    <mergeCell ref="A34:A36"/>
    <mergeCell ref="B34:B36"/>
    <mergeCell ref="M34:M36"/>
    <mergeCell ref="N34:N36"/>
    <mergeCell ref="O34:O36"/>
    <mergeCell ref="P34:P36"/>
    <mergeCell ref="Q34:Q36"/>
    <mergeCell ref="V28:V30"/>
    <mergeCell ref="A31:A33"/>
    <mergeCell ref="B31:B33"/>
    <mergeCell ref="M31:M33"/>
    <mergeCell ref="N31:N33"/>
    <mergeCell ref="O31:O33"/>
    <mergeCell ref="P31:P33"/>
    <mergeCell ref="Q31:Q33"/>
    <mergeCell ref="R31:R33"/>
    <mergeCell ref="S31:S33"/>
    <mergeCell ref="P28:P30"/>
    <mergeCell ref="Q28:Q30"/>
    <mergeCell ref="R28:R30"/>
    <mergeCell ref="S28:S30"/>
    <mergeCell ref="T28:T30"/>
    <mergeCell ref="U28:U30"/>
    <mergeCell ref="V37:V39"/>
    <mergeCell ref="A40:A42"/>
    <mergeCell ref="B40:B42"/>
    <mergeCell ref="M40:M42"/>
    <mergeCell ref="N40:N42"/>
    <mergeCell ref="O40:O42"/>
    <mergeCell ref="P40:P42"/>
    <mergeCell ref="Q40:Q42"/>
    <mergeCell ref="R40:R42"/>
    <mergeCell ref="S40:S42"/>
    <mergeCell ref="P37:P39"/>
    <mergeCell ref="Q37:Q39"/>
    <mergeCell ref="R37:R39"/>
    <mergeCell ref="S37:S39"/>
    <mergeCell ref="T37:T39"/>
    <mergeCell ref="U37:U39"/>
    <mergeCell ref="R34:R36"/>
    <mergeCell ref="S34:S36"/>
    <mergeCell ref="T34:T36"/>
    <mergeCell ref="U34:U36"/>
    <mergeCell ref="V34:V36"/>
    <mergeCell ref="A37:A39"/>
    <mergeCell ref="B37:B39"/>
    <mergeCell ref="M37:M39"/>
    <mergeCell ref="N37:N39"/>
    <mergeCell ref="O37:O39"/>
    <mergeCell ref="R43:R45"/>
    <mergeCell ref="S43:S45"/>
    <mergeCell ref="T43:T45"/>
    <mergeCell ref="U43:U45"/>
    <mergeCell ref="V43:V45"/>
    <mergeCell ref="A46:A48"/>
    <mergeCell ref="B46:B48"/>
    <mergeCell ref="M46:M48"/>
    <mergeCell ref="N46:N48"/>
    <mergeCell ref="O46:O48"/>
    <mergeCell ref="T40:T42"/>
    <mergeCell ref="U40:U42"/>
    <mergeCell ref="V40:V42"/>
    <mergeCell ref="A43:A45"/>
    <mergeCell ref="B43:B45"/>
    <mergeCell ref="M43:M45"/>
    <mergeCell ref="N43:N45"/>
    <mergeCell ref="O43:O45"/>
    <mergeCell ref="P43:P45"/>
    <mergeCell ref="Q43:Q45"/>
    <mergeCell ref="T49:T51"/>
    <mergeCell ref="U49:U51"/>
    <mergeCell ref="V49:V51"/>
    <mergeCell ref="A52:A54"/>
    <mergeCell ref="B52:B54"/>
    <mergeCell ref="M52:M54"/>
    <mergeCell ref="N52:N54"/>
    <mergeCell ref="O52:O54"/>
    <mergeCell ref="P52:P54"/>
    <mergeCell ref="Q52:Q54"/>
    <mergeCell ref="V46:V48"/>
    <mergeCell ref="A49:A51"/>
    <mergeCell ref="B49:B51"/>
    <mergeCell ref="M49:M51"/>
    <mergeCell ref="N49:N51"/>
    <mergeCell ref="O49:O51"/>
    <mergeCell ref="P49:P51"/>
    <mergeCell ref="Q49:Q51"/>
    <mergeCell ref="R49:R51"/>
    <mergeCell ref="S49:S51"/>
    <mergeCell ref="P46:P48"/>
    <mergeCell ref="Q46:Q48"/>
    <mergeCell ref="R46:R48"/>
    <mergeCell ref="S46:S48"/>
    <mergeCell ref="T46:T48"/>
    <mergeCell ref="U46:U48"/>
    <mergeCell ref="V55:V57"/>
    <mergeCell ref="A58:A60"/>
    <mergeCell ref="B58:B60"/>
    <mergeCell ref="M58:M60"/>
    <mergeCell ref="N58:N60"/>
    <mergeCell ref="O58:O60"/>
    <mergeCell ref="P58:P60"/>
    <mergeCell ref="Q58:Q60"/>
    <mergeCell ref="R58:R60"/>
    <mergeCell ref="S58:S60"/>
    <mergeCell ref="P55:P57"/>
    <mergeCell ref="Q55:Q57"/>
    <mergeCell ref="R55:R57"/>
    <mergeCell ref="S55:S57"/>
    <mergeCell ref="T55:T57"/>
    <mergeCell ref="U55:U57"/>
    <mergeCell ref="R52:R54"/>
    <mergeCell ref="S52:S54"/>
    <mergeCell ref="T52:T54"/>
    <mergeCell ref="U52:U54"/>
    <mergeCell ref="V52:V54"/>
    <mergeCell ref="A55:A57"/>
    <mergeCell ref="B55:B57"/>
    <mergeCell ref="M55:M57"/>
    <mergeCell ref="N55:N57"/>
    <mergeCell ref="O55:O57"/>
    <mergeCell ref="R61:R63"/>
    <mergeCell ref="S61:S63"/>
    <mergeCell ref="T61:T63"/>
    <mergeCell ref="U61:U63"/>
    <mergeCell ref="V61:V63"/>
    <mergeCell ref="A64:A66"/>
    <mergeCell ref="B64:B66"/>
    <mergeCell ref="M64:M66"/>
    <mergeCell ref="N64:N66"/>
    <mergeCell ref="O64:O66"/>
    <mergeCell ref="T58:T60"/>
    <mergeCell ref="U58:U60"/>
    <mergeCell ref="V58:V60"/>
    <mergeCell ref="A61:A63"/>
    <mergeCell ref="B61:B63"/>
    <mergeCell ref="M61:M63"/>
    <mergeCell ref="N61:N63"/>
    <mergeCell ref="O61:O63"/>
    <mergeCell ref="P61:P63"/>
    <mergeCell ref="Q61:Q63"/>
    <mergeCell ref="T67:T69"/>
    <mergeCell ref="U67:U69"/>
    <mergeCell ref="V67:V69"/>
    <mergeCell ref="A70:A72"/>
    <mergeCell ref="B70:B72"/>
    <mergeCell ref="M70:M72"/>
    <mergeCell ref="N70:N72"/>
    <mergeCell ref="O70:O72"/>
    <mergeCell ref="P70:P72"/>
    <mergeCell ref="Q70:Q72"/>
    <mergeCell ref="V64:V66"/>
    <mergeCell ref="A67:A69"/>
    <mergeCell ref="B67:B69"/>
    <mergeCell ref="M67:M69"/>
    <mergeCell ref="N67:N69"/>
    <mergeCell ref="O67:O69"/>
    <mergeCell ref="P67:P69"/>
    <mergeCell ref="Q67:Q69"/>
    <mergeCell ref="R67:R69"/>
    <mergeCell ref="S67:S69"/>
    <mergeCell ref="P64:P66"/>
    <mergeCell ref="Q64:Q66"/>
    <mergeCell ref="R64:R66"/>
    <mergeCell ref="S64:S66"/>
    <mergeCell ref="T64:T66"/>
    <mergeCell ref="U64:U66"/>
    <mergeCell ref="V73:V75"/>
    <mergeCell ref="A76:A78"/>
    <mergeCell ref="B76:B78"/>
    <mergeCell ref="M76:M78"/>
    <mergeCell ref="N76:N78"/>
    <mergeCell ref="O76:O78"/>
    <mergeCell ref="P76:P78"/>
    <mergeCell ref="Q76:Q78"/>
    <mergeCell ref="R76:R78"/>
    <mergeCell ref="S76:S78"/>
    <mergeCell ref="P73:P75"/>
    <mergeCell ref="Q73:Q75"/>
    <mergeCell ref="R73:R75"/>
    <mergeCell ref="S73:S75"/>
    <mergeCell ref="T73:T75"/>
    <mergeCell ref="U73:U75"/>
    <mergeCell ref="R70:R72"/>
    <mergeCell ref="S70:S72"/>
    <mergeCell ref="T70:T72"/>
    <mergeCell ref="U70:U72"/>
    <mergeCell ref="V70:V72"/>
    <mergeCell ref="A73:A75"/>
    <mergeCell ref="B73:B75"/>
    <mergeCell ref="M73:M75"/>
    <mergeCell ref="N73:N75"/>
    <mergeCell ref="O73:O75"/>
    <mergeCell ref="R79:R81"/>
    <mergeCell ref="S79:S81"/>
    <mergeCell ref="T79:T81"/>
    <mergeCell ref="U79:U81"/>
    <mergeCell ref="V79:V81"/>
    <mergeCell ref="A82:A84"/>
    <mergeCell ref="B82:B84"/>
    <mergeCell ref="M82:M84"/>
    <mergeCell ref="N82:N84"/>
    <mergeCell ref="O82:O84"/>
    <mergeCell ref="T76:T78"/>
    <mergeCell ref="U76:U78"/>
    <mergeCell ref="V76:V78"/>
    <mergeCell ref="A79:A81"/>
    <mergeCell ref="B79:B81"/>
    <mergeCell ref="M79:M81"/>
    <mergeCell ref="N79:N81"/>
    <mergeCell ref="O79:O81"/>
    <mergeCell ref="P79:P81"/>
    <mergeCell ref="Q79:Q81"/>
    <mergeCell ref="T85:T87"/>
    <mergeCell ref="U85:U87"/>
    <mergeCell ref="V85:V87"/>
    <mergeCell ref="A88:A90"/>
    <mergeCell ref="B88:B90"/>
    <mergeCell ref="M88:M90"/>
    <mergeCell ref="N88:N90"/>
    <mergeCell ref="O88:O90"/>
    <mergeCell ref="P88:P90"/>
    <mergeCell ref="Q88:Q90"/>
    <mergeCell ref="V82:V84"/>
    <mergeCell ref="A85:A87"/>
    <mergeCell ref="B85:B87"/>
    <mergeCell ref="M85:M87"/>
    <mergeCell ref="N85:N87"/>
    <mergeCell ref="O85:O87"/>
    <mergeCell ref="P85:P87"/>
    <mergeCell ref="Q85:Q87"/>
    <mergeCell ref="R85:R87"/>
    <mergeCell ref="S85:S87"/>
    <mergeCell ref="P82:P84"/>
    <mergeCell ref="Q82:Q84"/>
    <mergeCell ref="R82:R84"/>
    <mergeCell ref="S82:S84"/>
    <mergeCell ref="T82:T84"/>
    <mergeCell ref="U82:U84"/>
    <mergeCell ref="V91:V93"/>
    <mergeCell ref="A94:A96"/>
    <mergeCell ref="B94:B96"/>
    <mergeCell ref="M94:M96"/>
    <mergeCell ref="N94:N96"/>
    <mergeCell ref="O94:O96"/>
    <mergeCell ref="P94:P96"/>
    <mergeCell ref="Q94:Q96"/>
    <mergeCell ref="R94:R96"/>
    <mergeCell ref="S94:S96"/>
    <mergeCell ref="P91:P93"/>
    <mergeCell ref="Q91:Q93"/>
    <mergeCell ref="R91:R93"/>
    <mergeCell ref="S91:S93"/>
    <mergeCell ref="T91:T93"/>
    <mergeCell ref="U91:U93"/>
    <mergeCell ref="R88:R90"/>
    <mergeCell ref="S88:S90"/>
    <mergeCell ref="T88:T90"/>
    <mergeCell ref="U88:U90"/>
    <mergeCell ref="V88:V90"/>
    <mergeCell ref="A91:A93"/>
    <mergeCell ref="B91:B93"/>
    <mergeCell ref="M91:M93"/>
    <mergeCell ref="N91:N93"/>
    <mergeCell ref="O91:O93"/>
    <mergeCell ref="R97:R99"/>
    <mergeCell ref="S97:S99"/>
    <mergeCell ref="T97:T99"/>
    <mergeCell ref="U97:U99"/>
    <mergeCell ref="V97:V99"/>
    <mergeCell ref="A100:A102"/>
    <mergeCell ref="B100:B102"/>
    <mergeCell ref="M100:M102"/>
    <mergeCell ref="N100:N102"/>
    <mergeCell ref="O100:O102"/>
    <mergeCell ref="T94:T96"/>
    <mergeCell ref="U94:U96"/>
    <mergeCell ref="V94:V96"/>
    <mergeCell ref="A97:A99"/>
    <mergeCell ref="B97:B99"/>
    <mergeCell ref="M97:M99"/>
    <mergeCell ref="N97:N99"/>
    <mergeCell ref="O97:O99"/>
    <mergeCell ref="P97:P99"/>
    <mergeCell ref="Q97:Q99"/>
    <mergeCell ref="T103:T105"/>
    <mergeCell ref="U103:U105"/>
    <mergeCell ref="V103:V105"/>
    <mergeCell ref="A106:A108"/>
    <mergeCell ref="B106:B108"/>
    <mergeCell ref="M106:M108"/>
    <mergeCell ref="N106:N108"/>
    <mergeCell ref="O106:O108"/>
    <mergeCell ref="P106:P108"/>
    <mergeCell ref="Q106:Q108"/>
    <mergeCell ref="V100:V102"/>
    <mergeCell ref="A103:A105"/>
    <mergeCell ref="B103:B105"/>
    <mergeCell ref="M103:M105"/>
    <mergeCell ref="N103:N105"/>
    <mergeCell ref="O103:O105"/>
    <mergeCell ref="P103:P105"/>
    <mergeCell ref="Q103:Q105"/>
    <mergeCell ref="R103:R105"/>
    <mergeCell ref="S103:S105"/>
    <mergeCell ref="P100:P102"/>
    <mergeCell ref="Q100:Q102"/>
    <mergeCell ref="R100:R102"/>
    <mergeCell ref="S100:S102"/>
    <mergeCell ref="T100:T102"/>
    <mergeCell ref="U100:U102"/>
    <mergeCell ref="V109:V111"/>
    <mergeCell ref="A112:A114"/>
    <mergeCell ref="B112:B114"/>
    <mergeCell ref="M112:M114"/>
    <mergeCell ref="N112:N114"/>
    <mergeCell ref="O112:O114"/>
    <mergeCell ref="P112:P114"/>
    <mergeCell ref="Q112:Q114"/>
    <mergeCell ref="R112:R114"/>
    <mergeCell ref="S112:S114"/>
    <mergeCell ref="P109:P111"/>
    <mergeCell ref="Q109:Q111"/>
    <mergeCell ref="R109:R111"/>
    <mergeCell ref="S109:S111"/>
    <mergeCell ref="T109:T111"/>
    <mergeCell ref="U109:U111"/>
    <mergeCell ref="R106:R108"/>
    <mergeCell ref="S106:S108"/>
    <mergeCell ref="T106:T108"/>
    <mergeCell ref="U106:U108"/>
    <mergeCell ref="V106:V108"/>
    <mergeCell ref="A109:A111"/>
    <mergeCell ref="B109:B111"/>
    <mergeCell ref="M109:M111"/>
    <mergeCell ref="N109:N111"/>
    <mergeCell ref="O109:O111"/>
    <mergeCell ref="R115:R117"/>
    <mergeCell ref="S115:S117"/>
    <mergeCell ref="T115:T117"/>
    <mergeCell ref="U115:U117"/>
    <mergeCell ref="V115:V117"/>
    <mergeCell ref="A118:A120"/>
    <mergeCell ref="B118:B120"/>
    <mergeCell ref="M118:M120"/>
    <mergeCell ref="N118:N120"/>
    <mergeCell ref="O118:O120"/>
    <mergeCell ref="T112:T114"/>
    <mergeCell ref="U112:U114"/>
    <mergeCell ref="V112:V114"/>
    <mergeCell ref="A115:A117"/>
    <mergeCell ref="B115:B117"/>
    <mergeCell ref="M115:M117"/>
    <mergeCell ref="N115:N117"/>
    <mergeCell ref="O115:O117"/>
    <mergeCell ref="P115:P117"/>
    <mergeCell ref="Q115:Q117"/>
    <mergeCell ref="T121:T123"/>
    <mergeCell ref="U121:U123"/>
    <mergeCell ref="V121:V123"/>
    <mergeCell ref="A124:A126"/>
    <mergeCell ref="B124:B126"/>
    <mergeCell ref="M124:M126"/>
    <mergeCell ref="N124:N126"/>
    <mergeCell ref="O124:O126"/>
    <mergeCell ref="P124:P126"/>
    <mergeCell ref="Q124:Q126"/>
    <mergeCell ref="V118:V120"/>
    <mergeCell ref="A121:A123"/>
    <mergeCell ref="B121:B123"/>
    <mergeCell ref="M121:M123"/>
    <mergeCell ref="N121:N123"/>
    <mergeCell ref="O121:O123"/>
    <mergeCell ref="P121:P123"/>
    <mergeCell ref="Q121:Q123"/>
    <mergeCell ref="R121:R123"/>
    <mergeCell ref="S121:S123"/>
    <mergeCell ref="P118:P120"/>
    <mergeCell ref="Q118:Q120"/>
    <mergeCell ref="R118:R120"/>
    <mergeCell ref="S118:S120"/>
    <mergeCell ref="T118:T120"/>
    <mergeCell ref="U118:U120"/>
    <mergeCell ref="V127:V129"/>
    <mergeCell ref="A130:A132"/>
    <mergeCell ref="B130:B132"/>
    <mergeCell ref="M130:M132"/>
    <mergeCell ref="N130:N132"/>
    <mergeCell ref="O130:O132"/>
    <mergeCell ref="P130:P132"/>
    <mergeCell ref="Q130:Q132"/>
    <mergeCell ref="R130:R132"/>
    <mergeCell ref="S130:S132"/>
    <mergeCell ref="P127:P129"/>
    <mergeCell ref="Q127:Q129"/>
    <mergeCell ref="R127:R129"/>
    <mergeCell ref="S127:S129"/>
    <mergeCell ref="T127:T129"/>
    <mergeCell ref="U127:U129"/>
    <mergeCell ref="R124:R126"/>
    <mergeCell ref="S124:S126"/>
    <mergeCell ref="T124:T126"/>
    <mergeCell ref="U124:U126"/>
    <mergeCell ref="V124:V126"/>
    <mergeCell ref="A127:A129"/>
    <mergeCell ref="B127:B129"/>
    <mergeCell ref="M127:M129"/>
    <mergeCell ref="N127:N129"/>
    <mergeCell ref="O127:O129"/>
    <mergeCell ref="R133:R135"/>
    <mergeCell ref="S133:S135"/>
    <mergeCell ref="T133:T135"/>
    <mergeCell ref="U133:U135"/>
    <mergeCell ref="V133:V135"/>
    <mergeCell ref="A136:A138"/>
    <mergeCell ref="B136:B138"/>
    <mergeCell ref="M136:M138"/>
    <mergeCell ref="N136:N138"/>
    <mergeCell ref="O136:O138"/>
    <mergeCell ref="T130:T132"/>
    <mergeCell ref="U130:U132"/>
    <mergeCell ref="V130:V132"/>
    <mergeCell ref="A133:A135"/>
    <mergeCell ref="B133:B135"/>
    <mergeCell ref="M133:M135"/>
    <mergeCell ref="N133:N135"/>
    <mergeCell ref="O133:O135"/>
    <mergeCell ref="P133:P135"/>
    <mergeCell ref="Q133:Q135"/>
    <mergeCell ref="T139:T141"/>
    <mergeCell ref="U139:U141"/>
    <mergeCell ref="V139:V141"/>
    <mergeCell ref="A142:A144"/>
    <mergeCell ref="B142:B144"/>
    <mergeCell ref="M142:M144"/>
    <mergeCell ref="N142:N144"/>
    <mergeCell ref="O142:O144"/>
    <mergeCell ref="P142:P144"/>
    <mergeCell ref="Q142:Q144"/>
    <mergeCell ref="V136:V138"/>
    <mergeCell ref="A139:A141"/>
    <mergeCell ref="B139:B141"/>
    <mergeCell ref="M139:M141"/>
    <mergeCell ref="N139:N141"/>
    <mergeCell ref="O139:O141"/>
    <mergeCell ref="P139:P141"/>
    <mergeCell ref="Q139:Q141"/>
    <mergeCell ref="R139:R141"/>
    <mergeCell ref="S139:S141"/>
    <mergeCell ref="P136:P138"/>
    <mergeCell ref="Q136:Q138"/>
    <mergeCell ref="R136:R138"/>
    <mergeCell ref="S136:S138"/>
    <mergeCell ref="T136:T138"/>
    <mergeCell ref="U136:U138"/>
    <mergeCell ref="V145:V147"/>
    <mergeCell ref="A148:A150"/>
    <mergeCell ref="B148:B150"/>
    <mergeCell ref="M148:M150"/>
    <mergeCell ref="N148:N150"/>
    <mergeCell ref="O148:O150"/>
    <mergeCell ref="P148:P150"/>
    <mergeCell ref="Q148:Q150"/>
    <mergeCell ref="R148:R150"/>
    <mergeCell ref="S148:S150"/>
    <mergeCell ref="P145:P147"/>
    <mergeCell ref="Q145:Q147"/>
    <mergeCell ref="R145:R147"/>
    <mergeCell ref="S145:S147"/>
    <mergeCell ref="T145:T147"/>
    <mergeCell ref="U145:U147"/>
    <mergeCell ref="R142:R144"/>
    <mergeCell ref="S142:S144"/>
    <mergeCell ref="T142:T144"/>
    <mergeCell ref="U142:U144"/>
    <mergeCell ref="V142:V144"/>
    <mergeCell ref="A145:A147"/>
    <mergeCell ref="B145:B147"/>
    <mergeCell ref="M145:M147"/>
    <mergeCell ref="N145:N147"/>
    <mergeCell ref="O145:O147"/>
    <mergeCell ref="R151:R153"/>
    <mergeCell ref="S151:S153"/>
    <mergeCell ref="T151:T153"/>
    <mergeCell ref="U151:U153"/>
    <mergeCell ref="V151:V153"/>
    <mergeCell ref="A154:A156"/>
    <mergeCell ref="B154:B156"/>
    <mergeCell ref="M154:M156"/>
    <mergeCell ref="N154:N156"/>
    <mergeCell ref="O154:O156"/>
    <mergeCell ref="T148:T150"/>
    <mergeCell ref="U148:U150"/>
    <mergeCell ref="V148:V150"/>
    <mergeCell ref="A151:A153"/>
    <mergeCell ref="B151:B153"/>
    <mergeCell ref="M151:M153"/>
    <mergeCell ref="N151:N153"/>
    <mergeCell ref="O151:O153"/>
    <mergeCell ref="P151:P153"/>
    <mergeCell ref="Q151:Q153"/>
    <mergeCell ref="T157:T159"/>
    <mergeCell ref="U157:U159"/>
    <mergeCell ref="V157:V159"/>
    <mergeCell ref="A160:A162"/>
    <mergeCell ref="B160:B162"/>
    <mergeCell ref="M160:M162"/>
    <mergeCell ref="N160:N162"/>
    <mergeCell ref="O160:O162"/>
    <mergeCell ref="P160:P162"/>
    <mergeCell ref="Q160:Q162"/>
    <mergeCell ref="V154:V156"/>
    <mergeCell ref="A157:A159"/>
    <mergeCell ref="B157:B159"/>
    <mergeCell ref="M157:M159"/>
    <mergeCell ref="N157:N159"/>
    <mergeCell ref="O157:O159"/>
    <mergeCell ref="P157:P159"/>
    <mergeCell ref="Q157:Q159"/>
    <mergeCell ref="R157:R159"/>
    <mergeCell ref="S157:S159"/>
    <mergeCell ref="P154:P156"/>
    <mergeCell ref="Q154:Q156"/>
    <mergeCell ref="R154:R156"/>
    <mergeCell ref="S154:S156"/>
    <mergeCell ref="T154:T156"/>
    <mergeCell ref="U154:U156"/>
    <mergeCell ref="V163:V165"/>
    <mergeCell ref="A166:A168"/>
    <mergeCell ref="B166:B168"/>
    <mergeCell ref="M166:M168"/>
    <mergeCell ref="N166:N168"/>
    <mergeCell ref="O166:O168"/>
    <mergeCell ref="P166:P168"/>
    <mergeCell ref="Q166:Q168"/>
    <mergeCell ref="R166:R168"/>
    <mergeCell ref="S166:S168"/>
    <mergeCell ref="P163:P165"/>
    <mergeCell ref="Q163:Q165"/>
    <mergeCell ref="R163:R165"/>
    <mergeCell ref="S163:S165"/>
    <mergeCell ref="T163:T165"/>
    <mergeCell ref="U163:U165"/>
    <mergeCell ref="R160:R162"/>
    <mergeCell ref="S160:S162"/>
    <mergeCell ref="T160:T162"/>
    <mergeCell ref="U160:U162"/>
    <mergeCell ref="V160:V162"/>
    <mergeCell ref="A163:A165"/>
    <mergeCell ref="B163:B165"/>
    <mergeCell ref="M163:M165"/>
    <mergeCell ref="N163:N165"/>
    <mergeCell ref="O163:O165"/>
    <mergeCell ref="R169:R171"/>
    <mergeCell ref="S169:S171"/>
    <mergeCell ref="T169:T171"/>
    <mergeCell ref="U169:U171"/>
    <mergeCell ref="V169:V171"/>
    <mergeCell ref="A172:A174"/>
    <mergeCell ref="B172:B174"/>
    <mergeCell ref="M172:M174"/>
    <mergeCell ref="N172:N174"/>
    <mergeCell ref="O172:O174"/>
    <mergeCell ref="T166:T168"/>
    <mergeCell ref="U166:U168"/>
    <mergeCell ref="V166:V168"/>
    <mergeCell ref="A169:A171"/>
    <mergeCell ref="B169:B171"/>
    <mergeCell ref="M169:M171"/>
    <mergeCell ref="N169:N171"/>
    <mergeCell ref="O169:O171"/>
    <mergeCell ref="P169:P171"/>
    <mergeCell ref="Q169:Q171"/>
    <mergeCell ref="T175:T177"/>
    <mergeCell ref="U175:U177"/>
    <mergeCell ref="V175:V177"/>
    <mergeCell ref="A178:A180"/>
    <mergeCell ref="B178:B180"/>
    <mergeCell ref="M178:M180"/>
    <mergeCell ref="N178:N180"/>
    <mergeCell ref="O178:O180"/>
    <mergeCell ref="P178:P180"/>
    <mergeCell ref="Q178:Q180"/>
    <mergeCell ref="V172:V174"/>
    <mergeCell ref="A175:A177"/>
    <mergeCell ref="B175:B177"/>
    <mergeCell ref="M175:M177"/>
    <mergeCell ref="N175:N177"/>
    <mergeCell ref="O175:O177"/>
    <mergeCell ref="P175:P177"/>
    <mergeCell ref="Q175:Q177"/>
    <mergeCell ref="R175:R177"/>
    <mergeCell ref="S175:S177"/>
    <mergeCell ref="P172:P174"/>
    <mergeCell ref="Q172:Q174"/>
    <mergeCell ref="R172:R174"/>
    <mergeCell ref="S172:S174"/>
    <mergeCell ref="T172:T174"/>
    <mergeCell ref="U172:U174"/>
    <mergeCell ref="V181:V183"/>
    <mergeCell ref="A184:A186"/>
    <mergeCell ref="B184:B186"/>
    <mergeCell ref="M184:M186"/>
    <mergeCell ref="N184:N186"/>
    <mergeCell ref="O184:O186"/>
    <mergeCell ref="P184:P186"/>
    <mergeCell ref="Q184:Q186"/>
    <mergeCell ref="R184:R186"/>
    <mergeCell ref="S184:S186"/>
    <mergeCell ref="P181:P183"/>
    <mergeCell ref="Q181:Q183"/>
    <mergeCell ref="R181:R183"/>
    <mergeCell ref="S181:S183"/>
    <mergeCell ref="T181:T183"/>
    <mergeCell ref="U181:U183"/>
    <mergeCell ref="R178:R180"/>
    <mergeCell ref="S178:S180"/>
    <mergeCell ref="T178:T180"/>
    <mergeCell ref="U178:U180"/>
    <mergeCell ref="V178:V180"/>
    <mergeCell ref="A181:A183"/>
    <mergeCell ref="B181:B183"/>
    <mergeCell ref="M181:M183"/>
    <mergeCell ref="N181:N183"/>
    <mergeCell ref="O181:O183"/>
    <mergeCell ref="R187:R189"/>
    <mergeCell ref="S187:S189"/>
    <mergeCell ref="T187:T189"/>
    <mergeCell ref="U187:U189"/>
    <mergeCell ref="V187:V189"/>
    <mergeCell ref="A190:A192"/>
    <mergeCell ref="B190:B192"/>
    <mergeCell ref="M190:M192"/>
    <mergeCell ref="N190:N192"/>
    <mergeCell ref="O190:O192"/>
    <mergeCell ref="T184:T186"/>
    <mergeCell ref="U184:U186"/>
    <mergeCell ref="V184:V186"/>
    <mergeCell ref="A187:A189"/>
    <mergeCell ref="B187:B189"/>
    <mergeCell ref="M187:M189"/>
    <mergeCell ref="N187:N189"/>
    <mergeCell ref="O187:O189"/>
    <mergeCell ref="P187:P189"/>
    <mergeCell ref="Q187:Q189"/>
    <mergeCell ref="T193:T195"/>
    <mergeCell ref="U193:U195"/>
    <mergeCell ref="V193:V195"/>
    <mergeCell ref="A196:A198"/>
    <mergeCell ref="B196:B198"/>
    <mergeCell ref="M196:M198"/>
    <mergeCell ref="N196:N198"/>
    <mergeCell ref="O196:O198"/>
    <mergeCell ref="P196:P198"/>
    <mergeCell ref="Q196:Q198"/>
    <mergeCell ref="V190:V192"/>
    <mergeCell ref="A193:A195"/>
    <mergeCell ref="B193:B195"/>
    <mergeCell ref="M193:M195"/>
    <mergeCell ref="N193:N195"/>
    <mergeCell ref="O193:O195"/>
    <mergeCell ref="P193:P195"/>
    <mergeCell ref="Q193:Q195"/>
    <mergeCell ref="R193:R195"/>
    <mergeCell ref="S193:S195"/>
    <mergeCell ref="P190:P192"/>
    <mergeCell ref="Q190:Q192"/>
    <mergeCell ref="R190:R192"/>
    <mergeCell ref="S190:S192"/>
    <mergeCell ref="T190:T192"/>
    <mergeCell ref="U190:U192"/>
    <mergeCell ref="V199:V201"/>
    <mergeCell ref="A202:A204"/>
    <mergeCell ref="B202:B204"/>
    <mergeCell ref="M202:M204"/>
    <mergeCell ref="N202:N204"/>
    <mergeCell ref="O202:O204"/>
    <mergeCell ref="P202:P204"/>
    <mergeCell ref="Q202:Q204"/>
    <mergeCell ref="R202:R204"/>
    <mergeCell ref="S202:S204"/>
    <mergeCell ref="P199:P201"/>
    <mergeCell ref="Q199:Q201"/>
    <mergeCell ref="R199:R201"/>
    <mergeCell ref="S199:S201"/>
    <mergeCell ref="T199:T201"/>
    <mergeCell ref="U199:U201"/>
    <mergeCell ref="R196:R198"/>
    <mergeCell ref="S196:S198"/>
    <mergeCell ref="T196:T198"/>
    <mergeCell ref="U196:U198"/>
    <mergeCell ref="V196:V198"/>
    <mergeCell ref="A199:A201"/>
    <mergeCell ref="B199:B201"/>
    <mergeCell ref="M199:M201"/>
    <mergeCell ref="N199:N201"/>
    <mergeCell ref="O199:O201"/>
    <mergeCell ref="R205:R207"/>
    <mergeCell ref="S205:S207"/>
    <mergeCell ref="T205:T207"/>
    <mergeCell ref="U205:U207"/>
    <mergeCell ref="V205:V207"/>
    <mergeCell ref="A208:A210"/>
    <mergeCell ref="B208:B210"/>
    <mergeCell ref="M208:M210"/>
    <mergeCell ref="N208:N210"/>
    <mergeCell ref="O208:O210"/>
    <mergeCell ref="T202:T204"/>
    <mergeCell ref="U202:U204"/>
    <mergeCell ref="V202:V204"/>
    <mergeCell ref="A205:A207"/>
    <mergeCell ref="B205:B207"/>
    <mergeCell ref="M205:M207"/>
    <mergeCell ref="N205:N207"/>
    <mergeCell ref="O205:O207"/>
    <mergeCell ref="P205:P207"/>
    <mergeCell ref="Q205:Q207"/>
    <mergeCell ref="T211:T213"/>
    <mergeCell ref="U211:U213"/>
    <mergeCell ref="V211:V213"/>
    <mergeCell ref="A214:A216"/>
    <mergeCell ref="B214:B216"/>
    <mergeCell ref="M214:M216"/>
    <mergeCell ref="N214:N216"/>
    <mergeCell ref="O214:O216"/>
    <mergeCell ref="P214:P216"/>
    <mergeCell ref="Q214:Q216"/>
    <mergeCell ref="V208:V210"/>
    <mergeCell ref="A211:A213"/>
    <mergeCell ref="B211:B213"/>
    <mergeCell ref="M211:M213"/>
    <mergeCell ref="N211:N213"/>
    <mergeCell ref="O211:O213"/>
    <mergeCell ref="P211:P213"/>
    <mergeCell ref="Q211:Q213"/>
    <mergeCell ref="R211:R213"/>
    <mergeCell ref="S211:S213"/>
    <mergeCell ref="P208:P210"/>
    <mergeCell ref="Q208:Q210"/>
    <mergeCell ref="R208:R210"/>
    <mergeCell ref="S208:S210"/>
    <mergeCell ref="T208:T210"/>
    <mergeCell ref="U208:U210"/>
    <mergeCell ref="V217:V219"/>
    <mergeCell ref="A220:A222"/>
    <mergeCell ref="B220:B222"/>
    <mergeCell ref="M220:M222"/>
    <mergeCell ref="N220:N222"/>
    <mergeCell ref="O220:O222"/>
    <mergeCell ref="P220:P222"/>
    <mergeCell ref="Q220:Q222"/>
    <mergeCell ref="R220:R222"/>
    <mergeCell ref="S220:S222"/>
    <mergeCell ref="P217:P219"/>
    <mergeCell ref="Q217:Q219"/>
    <mergeCell ref="R217:R219"/>
    <mergeCell ref="S217:S219"/>
    <mergeCell ref="T217:T219"/>
    <mergeCell ref="U217:U219"/>
    <mergeCell ref="R214:R216"/>
    <mergeCell ref="S214:S216"/>
    <mergeCell ref="T214:T216"/>
    <mergeCell ref="U214:U216"/>
    <mergeCell ref="V214:V216"/>
    <mergeCell ref="A217:A219"/>
    <mergeCell ref="B217:B219"/>
    <mergeCell ref="M217:M219"/>
    <mergeCell ref="N217:N219"/>
    <mergeCell ref="O217:O219"/>
    <mergeCell ref="R223:R225"/>
    <mergeCell ref="S223:S225"/>
    <mergeCell ref="T223:T225"/>
    <mergeCell ref="U223:U225"/>
    <mergeCell ref="V223:V225"/>
    <mergeCell ref="A226:A228"/>
    <mergeCell ref="B226:B228"/>
    <mergeCell ref="M226:M228"/>
    <mergeCell ref="N226:N228"/>
    <mergeCell ref="O226:O228"/>
    <mergeCell ref="T220:T222"/>
    <mergeCell ref="U220:U222"/>
    <mergeCell ref="V220:V222"/>
    <mergeCell ref="A223:A225"/>
    <mergeCell ref="B223:B225"/>
    <mergeCell ref="M223:M225"/>
    <mergeCell ref="N223:N225"/>
    <mergeCell ref="O223:O225"/>
    <mergeCell ref="P223:P225"/>
    <mergeCell ref="Q223:Q225"/>
    <mergeCell ref="T229:T231"/>
    <mergeCell ref="U229:U231"/>
    <mergeCell ref="V229:V231"/>
    <mergeCell ref="A232:A234"/>
    <mergeCell ref="B232:B234"/>
    <mergeCell ref="M232:M234"/>
    <mergeCell ref="N232:N234"/>
    <mergeCell ref="O232:O234"/>
    <mergeCell ref="P232:P234"/>
    <mergeCell ref="Q232:Q234"/>
    <mergeCell ref="V226:V228"/>
    <mergeCell ref="A229:A231"/>
    <mergeCell ref="B229:B231"/>
    <mergeCell ref="M229:M231"/>
    <mergeCell ref="N229:N231"/>
    <mergeCell ref="O229:O231"/>
    <mergeCell ref="P229:P231"/>
    <mergeCell ref="Q229:Q231"/>
    <mergeCell ref="R229:R231"/>
    <mergeCell ref="S229:S231"/>
    <mergeCell ref="P226:P228"/>
    <mergeCell ref="Q226:Q228"/>
    <mergeCell ref="R226:R228"/>
    <mergeCell ref="S226:S228"/>
    <mergeCell ref="T226:T228"/>
    <mergeCell ref="U226:U228"/>
    <mergeCell ref="V235:V237"/>
    <mergeCell ref="A238:A240"/>
    <mergeCell ref="B238:B240"/>
    <mergeCell ref="M238:M240"/>
    <mergeCell ref="N238:N240"/>
    <mergeCell ref="O238:O240"/>
    <mergeCell ref="P238:P240"/>
    <mergeCell ref="Q238:Q240"/>
    <mergeCell ref="R238:R240"/>
    <mergeCell ref="S238:S240"/>
    <mergeCell ref="P235:P237"/>
    <mergeCell ref="Q235:Q237"/>
    <mergeCell ref="R235:R237"/>
    <mergeCell ref="S235:S237"/>
    <mergeCell ref="T235:T237"/>
    <mergeCell ref="U235:U237"/>
    <mergeCell ref="R232:R234"/>
    <mergeCell ref="S232:S234"/>
    <mergeCell ref="T232:T234"/>
    <mergeCell ref="U232:U234"/>
    <mergeCell ref="V232:V234"/>
    <mergeCell ref="A235:A237"/>
    <mergeCell ref="B235:B237"/>
    <mergeCell ref="M235:M237"/>
    <mergeCell ref="N235:N237"/>
    <mergeCell ref="O235:O237"/>
    <mergeCell ref="R241:R243"/>
    <mergeCell ref="S241:S243"/>
    <mergeCell ref="T241:T243"/>
    <mergeCell ref="U241:U243"/>
    <mergeCell ref="V241:V243"/>
    <mergeCell ref="A244:A246"/>
    <mergeCell ref="B244:B246"/>
    <mergeCell ref="M244:M246"/>
    <mergeCell ref="N244:N246"/>
    <mergeCell ref="O244:O246"/>
    <mergeCell ref="T238:T240"/>
    <mergeCell ref="U238:U240"/>
    <mergeCell ref="V238:V240"/>
    <mergeCell ref="A241:A243"/>
    <mergeCell ref="B241:B243"/>
    <mergeCell ref="M241:M243"/>
    <mergeCell ref="N241:N243"/>
    <mergeCell ref="O241:O243"/>
    <mergeCell ref="P241:P243"/>
    <mergeCell ref="Q241:Q243"/>
    <mergeCell ref="T247:T249"/>
    <mergeCell ref="U247:U249"/>
    <mergeCell ref="V247:V249"/>
    <mergeCell ref="A250:A252"/>
    <mergeCell ref="B250:B252"/>
    <mergeCell ref="M250:M252"/>
    <mergeCell ref="N250:N252"/>
    <mergeCell ref="O250:O252"/>
    <mergeCell ref="P250:P252"/>
    <mergeCell ref="Q250:Q252"/>
    <mergeCell ref="V244:V246"/>
    <mergeCell ref="A247:A249"/>
    <mergeCell ref="B247:B249"/>
    <mergeCell ref="M247:M249"/>
    <mergeCell ref="N247:N249"/>
    <mergeCell ref="O247:O249"/>
    <mergeCell ref="P247:P249"/>
    <mergeCell ref="Q247:Q249"/>
    <mergeCell ref="R247:R249"/>
    <mergeCell ref="S247:S249"/>
    <mergeCell ref="P244:P246"/>
    <mergeCell ref="Q244:Q246"/>
    <mergeCell ref="R244:R246"/>
    <mergeCell ref="S244:S246"/>
    <mergeCell ref="T244:T246"/>
    <mergeCell ref="U244:U246"/>
    <mergeCell ref="V253:V255"/>
    <mergeCell ref="A256:A258"/>
    <mergeCell ref="B256:B258"/>
    <mergeCell ref="M256:M258"/>
    <mergeCell ref="N256:N258"/>
    <mergeCell ref="O256:O258"/>
    <mergeCell ref="P256:P258"/>
    <mergeCell ref="Q256:Q258"/>
    <mergeCell ref="R256:R258"/>
    <mergeCell ref="S256:S258"/>
    <mergeCell ref="P253:P255"/>
    <mergeCell ref="Q253:Q255"/>
    <mergeCell ref="R253:R255"/>
    <mergeCell ref="S253:S255"/>
    <mergeCell ref="T253:T255"/>
    <mergeCell ref="U253:U255"/>
    <mergeCell ref="R250:R252"/>
    <mergeCell ref="S250:S252"/>
    <mergeCell ref="T250:T252"/>
    <mergeCell ref="U250:U252"/>
    <mergeCell ref="V250:V252"/>
    <mergeCell ref="A253:A255"/>
    <mergeCell ref="B253:B255"/>
    <mergeCell ref="M253:M255"/>
    <mergeCell ref="N253:N255"/>
    <mergeCell ref="O253:O255"/>
    <mergeCell ref="R259:R261"/>
    <mergeCell ref="S259:S261"/>
    <mergeCell ref="T259:T261"/>
    <mergeCell ref="U259:U261"/>
    <mergeCell ref="V259:V261"/>
    <mergeCell ref="A262:A264"/>
    <mergeCell ref="B262:B264"/>
    <mergeCell ref="M262:M264"/>
    <mergeCell ref="N262:N264"/>
    <mergeCell ref="O262:O264"/>
    <mergeCell ref="T256:T258"/>
    <mergeCell ref="U256:U258"/>
    <mergeCell ref="V256:V258"/>
    <mergeCell ref="A259:A261"/>
    <mergeCell ref="B259:B261"/>
    <mergeCell ref="M259:M261"/>
    <mergeCell ref="N259:N261"/>
    <mergeCell ref="O259:O261"/>
    <mergeCell ref="P259:P261"/>
    <mergeCell ref="Q259:Q261"/>
    <mergeCell ref="T265:T267"/>
    <mergeCell ref="U265:U267"/>
    <mergeCell ref="V265:V267"/>
    <mergeCell ref="A268:A270"/>
    <mergeCell ref="B268:B270"/>
    <mergeCell ref="M268:M270"/>
    <mergeCell ref="N268:N270"/>
    <mergeCell ref="O268:O270"/>
    <mergeCell ref="P268:P270"/>
    <mergeCell ref="Q268:Q270"/>
    <mergeCell ref="V262:V264"/>
    <mergeCell ref="A265:A267"/>
    <mergeCell ref="B265:B267"/>
    <mergeCell ref="M265:M267"/>
    <mergeCell ref="N265:N267"/>
    <mergeCell ref="O265:O267"/>
    <mergeCell ref="P265:P267"/>
    <mergeCell ref="Q265:Q267"/>
    <mergeCell ref="R265:R267"/>
    <mergeCell ref="S265:S267"/>
    <mergeCell ref="P262:P264"/>
    <mergeCell ref="Q262:Q264"/>
    <mergeCell ref="R262:R264"/>
    <mergeCell ref="S262:S264"/>
    <mergeCell ref="T262:T264"/>
    <mergeCell ref="U262:U264"/>
    <mergeCell ref="V271:V273"/>
    <mergeCell ref="A274:A276"/>
    <mergeCell ref="B274:B276"/>
    <mergeCell ref="M274:M276"/>
    <mergeCell ref="N274:N276"/>
    <mergeCell ref="O274:O276"/>
    <mergeCell ref="P274:P276"/>
    <mergeCell ref="Q274:Q276"/>
    <mergeCell ref="R274:R276"/>
    <mergeCell ref="S274:S276"/>
    <mergeCell ref="P271:P273"/>
    <mergeCell ref="Q271:Q273"/>
    <mergeCell ref="R271:R273"/>
    <mergeCell ref="S271:S273"/>
    <mergeCell ref="T271:T273"/>
    <mergeCell ref="U271:U273"/>
    <mergeCell ref="R268:R270"/>
    <mergeCell ref="S268:S270"/>
    <mergeCell ref="T268:T270"/>
    <mergeCell ref="U268:U270"/>
    <mergeCell ref="V268:V270"/>
    <mergeCell ref="A271:A273"/>
    <mergeCell ref="B271:B273"/>
    <mergeCell ref="M271:M273"/>
    <mergeCell ref="N271:N273"/>
    <mergeCell ref="O271:O273"/>
    <mergeCell ref="R277:R279"/>
    <mergeCell ref="S277:S279"/>
    <mergeCell ref="T277:T279"/>
    <mergeCell ref="U277:U279"/>
    <mergeCell ref="V277:V279"/>
    <mergeCell ref="A280:A282"/>
    <mergeCell ref="B280:B282"/>
    <mergeCell ref="M280:M282"/>
    <mergeCell ref="N280:N282"/>
    <mergeCell ref="O280:O282"/>
    <mergeCell ref="T274:T276"/>
    <mergeCell ref="U274:U276"/>
    <mergeCell ref="V274:V276"/>
    <mergeCell ref="A277:A279"/>
    <mergeCell ref="B277:B279"/>
    <mergeCell ref="M277:M279"/>
    <mergeCell ref="N277:N279"/>
    <mergeCell ref="O277:O279"/>
    <mergeCell ref="P277:P279"/>
    <mergeCell ref="Q277:Q279"/>
    <mergeCell ref="T283:T285"/>
    <mergeCell ref="U283:U285"/>
    <mergeCell ref="V283:V285"/>
    <mergeCell ref="A286:A288"/>
    <mergeCell ref="B286:B288"/>
    <mergeCell ref="M286:M288"/>
    <mergeCell ref="N286:N288"/>
    <mergeCell ref="O286:O288"/>
    <mergeCell ref="P286:P288"/>
    <mergeCell ref="Q286:Q288"/>
    <mergeCell ref="V280:V282"/>
    <mergeCell ref="A283:A285"/>
    <mergeCell ref="B283:B285"/>
    <mergeCell ref="M283:M285"/>
    <mergeCell ref="N283:N285"/>
    <mergeCell ref="O283:O285"/>
    <mergeCell ref="P283:P285"/>
    <mergeCell ref="Q283:Q285"/>
    <mergeCell ref="R283:R285"/>
    <mergeCell ref="S283:S285"/>
    <mergeCell ref="P280:P282"/>
    <mergeCell ref="Q280:Q282"/>
    <mergeCell ref="R280:R282"/>
    <mergeCell ref="S280:S282"/>
    <mergeCell ref="T280:T282"/>
    <mergeCell ref="U280:U282"/>
    <mergeCell ref="V289:V291"/>
    <mergeCell ref="A292:A294"/>
    <mergeCell ref="B292:B294"/>
    <mergeCell ref="M292:M294"/>
    <mergeCell ref="N292:N294"/>
    <mergeCell ref="O292:O294"/>
    <mergeCell ref="P292:P294"/>
    <mergeCell ref="Q292:Q294"/>
    <mergeCell ref="R292:R294"/>
    <mergeCell ref="S292:S294"/>
    <mergeCell ref="P289:P291"/>
    <mergeCell ref="Q289:Q291"/>
    <mergeCell ref="R289:R291"/>
    <mergeCell ref="S289:S291"/>
    <mergeCell ref="T289:T291"/>
    <mergeCell ref="U289:U291"/>
    <mergeCell ref="R286:R288"/>
    <mergeCell ref="S286:S288"/>
    <mergeCell ref="T286:T288"/>
    <mergeCell ref="U286:U288"/>
    <mergeCell ref="V286:V288"/>
    <mergeCell ref="A289:A291"/>
    <mergeCell ref="B289:B291"/>
    <mergeCell ref="M289:M291"/>
    <mergeCell ref="N289:N291"/>
    <mergeCell ref="O289:O291"/>
    <mergeCell ref="R295:R297"/>
    <mergeCell ref="S295:S297"/>
    <mergeCell ref="T295:T297"/>
    <mergeCell ref="U295:U297"/>
    <mergeCell ref="V295:V297"/>
    <mergeCell ref="A298:A300"/>
    <mergeCell ref="B298:B300"/>
    <mergeCell ref="M298:M300"/>
    <mergeCell ref="N298:N300"/>
    <mergeCell ref="O298:O300"/>
    <mergeCell ref="T292:T294"/>
    <mergeCell ref="U292:U294"/>
    <mergeCell ref="V292:V294"/>
    <mergeCell ref="A295:A297"/>
    <mergeCell ref="B295:B297"/>
    <mergeCell ref="M295:M297"/>
    <mergeCell ref="N295:N297"/>
    <mergeCell ref="O295:O297"/>
    <mergeCell ref="P295:P297"/>
    <mergeCell ref="Q295:Q297"/>
    <mergeCell ref="T301:T303"/>
    <mergeCell ref="U301:U303"/>
    <mergeCell ref="V301:V303"/>
    <mergeCell ref="A304:A306"/>
    <mergeCell ref="B304:B306"/>
    <mergeCell ref="M304:M306"/>
    <mergeCell ref="N304:N306"/>
    <mergeCell ref="O304:O306"/>
    <mergeCell ref="P304:P306"/>
    <mergeCell ref="Q304:Q306"/>
    <mergeCell ref="V298:V300"/>
    <mergeCell ref="A301:A303"/>
    <mergeCell ref="B301:B303"/>
    <mergeCell ref="M301:M303"/>
    <mergeCell ref="N301:N303"/>
    <mergeCell ref="O301:O303"/>
    <mergeCell ref="P301:P303"/>
    <mergeCell ref="Q301:Q303"/>
    <mergeCell ref="R301:R303"/>
    <mergeCell ref="S301:S303"/>
    <mergeCell ref="P298:P300"/>
    <mergeCell ref="Q298:Q300"/>
    <mergeCell ref="R298:R300"/>
    <mergeCell ref="S298:S300"/>
    <mergeCell ref="T298:T300"/>
    <mergeCell ref="U298:U300"/>
    <mergeCell ref="V307:V309"/>
    <mergeCell ref="A310:A312"/>
    <mergeCell ref="B310:B312"/>
    <mergeCell ref="M310:M312"/>
    <mergeCell ref="N310:N312"/>
    <mergeCell ref="O310:O312"/>
    <mergeCell ref="P310:P312"/>
    <mergeCell ref="Q310:Q312"/>
    <mergeCell ref="R310:R312"/>
    <mergeCell ref="S310:S312"/>
    <mergeCell ref="P307:P309"/>
    <mergeCell ref="Q307:Q309"/>
    <mergeCell ref="R307:R309"/>
    <mergeCell ref="S307:S309"/>
    <mergeCell ref="T307:T309"/>
    <mergeCell ref="U307:U309"/>
    <mergeCell ref="R304:R306"/>
    <mergeCell ref="S304:S306"/>
    <mergeCell ref="T304:T306"/>
    <mergeCell ref="U304:U306"/>
    <mergeCell ref="V304:V306"/>
    <mergeCell ref="A307:A309"/>
    <mergeCell ref="B307:B309"/>
    <mergeCell ref="M307:M309"/>
    <mergeCell ref="N307:N309"/>
    <mergeCell ref="O307:O309"/>
    <mergeCell ref="R313:R315"/>
    <mergeCell ref="S313:S315"/>
    <mergeCell ref="T313:T315"/>
    <mergeCell ref="U313:U315"/>
    <mergeCell ref="V313:V315"/>
    <mergeCell ref="A316:A318"/>
    <mergeCell ref="B316:B318"/>
    <mergeCell ref="M316:M318"/>
    <mergeCell ref="N316:N318"/>
    <mergeCell ref="O316:O318"/>
    <mergeCell ref="T310:T312"/>
    <mergeCell ref="U310:U312"/>
    <mergeCell ref="V310:V312"/>
    <mergeCell ref="A313:A315"/>
    <mergeCell ref="B313:B315"/>
    <mergeCell ref="M313:M315"/>
    <mergeCell ref="N313:N315"/>
    <mergeCell ref="O313:O315"/>
    <mergeCell ref="P313:P315"/>
    <mergeCell ref="Q313:Q315"/>
    <mergeCell ref="T319:T321"/>
    <mergeCell ref="U319:U321"/>
    <mergeCell ref="V319:V321"/>
    <mergeCell ref="A322:A324"/>
    <mergeCell ref="B322:B324"/>
    <mergeCell ref="M322:M324"/>
    <mergeCell ref="N322:N324"/>
    <mergeCell ref="O322:O324"/>
    <mergeCell ref="P322:P324"/>
    <mergeCell ref="Q322:Q324"/>
    <mergeCell ref="V316:V318"/>
    <mergeCell ref="A319:A321"/>
    <mergeCell ref="B319:B321"/>
    <mergeCell ref="M319:M321"/>
    <mergeCell ref="N319:N321"/>
    <mergeCell ref="O319:O321"/>
    <mergeCell ref="P319:P321"/>
    <mergeCell ref="Q319:Q321"/>
    <mergeCell ref="R319:R321"/>
    <mergeCell ref="S319:S321"/>
    <mergeCell ref="P316:P318"/>
    <mergeCell ref="Q316:Q318"/>
    <mergeCell ref="R316:R318"/>
    <mergeCell ref="S316:S318"/>
    <mergeCell ref="T316:T318"/>
    <mergeCell ref="U316:U318"/>
    <mergeCell ref="V325:V327"/>
    <mergeCell ref="A328:A330"/>
    <mergeCell ref="B328:B330"/>
    <mergeCell ref="M328:M330"/>
    <mergeCell ref="N328:N330"/>
    <mergeCell ref="O328:O330"/>
    <mergeCell ref="P328:P330"/>
    <mergeCell ref="Q328:Q330"/>
    <mergeCell ref="R328:R330"/>
    <mergeCell ref="S328:S330"/>
    <mergeCell ref="P325:P327"/>
    <mergeCell ref="Q325:Q327"/>
    <mergeCell ref="R325:R327"/>
    <mergeCell ref="S325:S327"/>
    <mergeCell ref="T325:T327"/>
    <mergeCell ref="U325:U327"/>
    <mergeCell ref="R322:R324"/>
    <mergeCell ref="S322:S324"/>
    <mergeCell ref="T322:T324"/>
    <mergeCell ref="U322:U324"/>
    <mergeCell ref="V322:V324"/>
    <mergeCell ref="A325:A327"/>
    <mergeCell ref="B325:B327"/>
    <mergeCell ref="M325:M327"/>
    <mergeCell ref="N325:N327"/>
    <mergeCell ref="O325:O327"/>
    <mergeCell ref="R331:R333"/>
    <mergeCell ref="S331:S333"/>
    <mergeCell ref="T331:T333"/>
    <mergeCell ref="U331:U333"/>
    <mergeCell ref="V331:V333"/>
    <mergeCell ref="A334:A336"/>
    <mergeCell ref="B334:B336"/>
    <mergeCell ref="M334:M336"/>
    <mergeCell ref="N334:N336"/>
    <mergeCell ref="O334:O336"/>
    <mergeCell ref="T328:T330"/>
    <mergeCell ref="U328:U330"/>
    <mergeCell ref="V328:V330"/>
    <mergeCell ref="A331:A333"/>
    <mergeCell ref="B331:B333"/>
    <mergeCell ref="M331:M333"/>
    <mergeCell ref="N331:N333"/>
    <mergeCell ref="O331:O333"/>
    <mergeCell ref="P331:P333"/>
    <mergeCell ref="Q331:Q333"/>
    <mergeCell ref="T337:T339"/>
    <mergeCell ref="U337:U339"/>
    <mergeCell ref="V337:V339"/>
    <mergeCell ref="A340:A342"/>
    <mergeCell ref="B340:B342"/>
    <mergeCell ref="M340:M342"/>
    <mergeCell ref="N340:N342"/>
    <mergeCell ref="O340:O342"/>
    <mergeCell ref="P340:P342"/>
    <mergeCell ref="Q340:Q342"/>
    <mergeCell ref="V334:V336"/>
    <mergeCell ref="A337:A339"/>
    <mergeCell ref="B337:B339"/>
    <mergeCell ref="M337:M339"/>
    <mergeCell ref="N337:N339"/>
    <mergeCell ref="O337:O339"/>
    <mergeCell ref="P337:P339"/>
    <mergeCell ref="Q337:Q339"/>
    <mergeCell ref="R337:R339"/>
    <mergeCell ref="S337:S339"/>
    <mergeCell ref="P334:P336"/>
    <mergeCell ref="Q334:Q336"/>
    <mergeCell ref="R334:R336"/>
    <mergeCell ref="S334:S336"/>
    <mergeCell ref="T334:T336"/>
    <mergeCell ref="U334:U336"/>
    <mergeCell ref="V343:V345"/>
    <mergeCell ref="A346:A348"/>
    <mergeCell ref="B346:B348"/>
    <mergeCell ref="M346:M348"/>
    <mergeCell ref="N346:N348"/>
    <mergeCell ref="O346:O348"/>
    <mergeCell ref="P346:P348"/>
    <mergeCell ref="Q346:Q348"/>
    <mergeCell ref="R346:R348"/>
    <mergeCell ref="S346:S348"/>
    <mergeCell ref="P343:P345"/>
    <mergeCell ref="Q343:Q345"/>
    <mergeCell ref="R343:R345"/>
    <mergeCell ref="S343:S345"/>
    <mergeCell ref="T343:T345"/>
    <mergeCell ref="U343:U345"/>
    <mergeCell ref="R340:R342"/>
    <mergeCell ref="S340:S342"/>
    <mergeCell ref="T340:T342"/>
    <mergeCell ref="U340:U342"/>
    <mergeCell ref="V340:V342"/>
    <mergeCell ref="A343:A345"/>
    <mergeCell ref="B343:B345"/>
    <mergeCell ref="M343:M345"/>
    <mergeCell ref="N343:N345"/>
    <mergeCell ref="O343:O345"/>
    <mergeCell ref="R349:R351"/>
    <mergeCell ref="S349:S351"/>
    <mergeCell ref="T349:T351"/>
    <mergeCell ref="U349:U351"/>
    <mergeCell ref="V349:V351"/>
    <mergeCell ref="A352:A354"/>
    <mergeCell ref="B352:B354"/>
    <mergeCell ref="M352:M354"/>
    <mergeCell ref="N352:N354"/>
    <mergeCell ref="O352:O354"/>
    <mergeCell ref="T346:T348"/>
    <mergeCell ref="U346:U348"/>
    <mergeCell ref="V346:V348"/>
    <mergeCell ref="A349:A351"/>
    <mergeCell ref="B349:B351"/>
    <mergeCell ref="M349:M351"/>
    <mergeCell ref="N349:N351"/>
    <mergeCell ref="O349:O351"/>
    <mergeCell ref="P349:P351"/>
    <mergeCell ref="Q349:Q351"/>
    <mergeCell ref="T355:T357"/>
    <mergeCell ref="U355:U357"/>
    <mergeCell ref="V355:V357"/>
    <mergeCell ref="A358:A360"/>
    <mergeCell ref="B358:B360"/>
    <mergeCell ref="M358:M360"/>
    <mergeCell ref="N358:N360"/>
    <mergeCell ref="O358:O360"/>
    <mergeCell ref="P358:P360"/>
    <mergeCell ref="Q358:Q360"/>
    <mergeCell ref="V352:V354"/>
    <mergeCell ref="A355:A357"/>
    <mergeCell ref="B355:B357"/>
    <mergeCell ref="M355:M357"/>
    <mergeCell ref="N355:N357"/>
    <mergeCell ref="O355:O357"/>
    <mergeCell ref="P355:P357"/>
    <mergeCell ref="Q355:Q357"/>
    <mergeCell ref="R355:R357"/>
    <mergeCell ref="S355:S357"/>
    <mergeCell ref="P352:P354"/>
    <mergeCell ref="Q352:Q354"/>
    <mergeCell ref="R352:R354"/>
    <mergeCell ref="S352:S354"/>
    <mergeCell ref="T352:T354"/>
    <mergeCell ref="U352:U354"/>
    <mergeCell ref="V361:V363"/>
    <mergeCell ref="A364:A366"/>
    <mergeCell ref="B364:B366"/>
    <mergeCell ref="M364:M366"/>
    <mergeCell ref="N364:N366"/>
    <mergeCell ref="O364:O366"/>
    <mergeCell ref="P364:P366"/>
    <mergeCell ref="Q364:Q366"/>
    <mergeCell ref="R364:R366"/>
    <mergeCell ref="S364:S366"/>
    <mergeCell ref="P361:P363"/>
    <mergeCell ref="Q361:Q363"/>
    <mergeCell ref="R361:R363"/>
    <mergeCell ref="S361:S363"/>
    <mergeCell ref="T361:T363"/>
    <mergeCell ref="U361:U363"/>
    <mergeCell ref="R358:R360"/>
    <mergeCell ref="S358:S360"/>
    <mergeCell ref="T358:T360"/>
    <mergeCell ref="U358:U360"/>
    <mergeCell ref="V358:V360"/>
    <mergeCell ref="A361:A363"/>
    <mergeCell ref="B361:B363"/>
    <mergeCell ref="M361:M363"/>
    <mergeCell ref="N361:N363"/>
    <mergeCell ref="O361:O363"/>
    <mergeCell ref="R367:R369"/>
    <mergeCell ref="S367:S369"/>
    <mergeCell ref="T367:T369"/>
    <mergeCell ref="U367:U369"/>
    <mergeCell ref="V367:V369"/>
    <mergeCell ref="A370:A372"/>
    <mergeCell ref="B370:B372"/>
    <mergeCell ref="M370:M372"/>
    <mergeCell ref="N370:N372"/>
    <mergeCell ref="O370:O372"/>
    <mergeCell ref="T364:T366"/>
    <mergeCell ref="U364:U366"/>
    <mergeCell ref="V364:V366"/>
    <mergeCell ref="A367:A369"/>
    <mergeCell ref="B367:B369"/>
    <mergeCell ref="M367:M369"/>
    <mergeCell ref="N367:N369"/>
    <mergeCell ref="O367:O369"/>
    <mergeCell ref="P367:P369"/>
    <mergeCell ref="Q367:Q369"/>
    <mergeCell ref="T373:T375"/>
    <mergeCell ref="U373:U375"/>
    <mergeCell ref="V373:V375"/>
    <mergeCell ref="A376:A378"/>
    <mergeCell ref="B376:B378"/>
    <mergeCell ref="M376:M378"/>
    <mergeCell ref="N376:N378"/>
    <mergeCell ref="O376:O378"/>
    <mergeCell ref="P376:P378"/>
    <mergeCell ref="Q376:Q378"/>
    <mergeCell ref="V370:V372"/>
    <mergeCell ref="A373:A375"/>
    <mergeCell ref="B373:B375"/>
    <mergeCell ref="M373:M375"/>
    <mergeCell ref="N373:N375"/>
    <mergeCell ref="O373:O375"/>
    <mergeCell ref="P373:P375"/>
    <mergeCell ref="Q373:Q375"/>
    <mergeCell ref="R373:R375"/>
    <mergeCell ref="S373:S375"/>
    <mergeCell ref="P370:P372"/>
    <mergeCell ref="Q370:Q372"/>
    <mergeCell ref="R370:R372"/>
    <mergeCell ref="S370:S372"/>
    <mergeCell ref="T370:T372"/>
    <mergeCell ref="U370:U372"/>
    <mergeCell ref="V379:V381"/>
    <mergeCell ref="A382:A384"/>
    <mergeCell ref="B382:B384"/>
    <mergeCell ref="M382:M384"/>
    <mergeCell ref="N382:N384"/>
    <mergeCell ref="O382:O384"/>
    <mergeCell ref="P382:P384"/>
    <mergeCell ref="Q382:Q384"/>
    <mergeCell ref="R382:R384"/>
    <mergeCell ref="S382:S384"/>
    <mergeCell ref="P379:P381"/>
    <mergeCell ref="Q379:Q381"/>
    <mergeCell ref="R379:R381"/>
    <mergeCell ref="S379:S381"/>
    <mergeCell ref="T379:T381"/>
    <mergeCell ref="U379:U381"/>
    <mergeCell ref="R376:R378"/>
    <mergeCell ref="S376:S378"/>
    <mergeCell ref="T376:T378"/>
    <mergeCell ref="U376:U378"/>
    <mergeCell ref="V376:V378"/>
    <mergeCell ref="A379:A381"/>
    <mergeCell ref="B379:B381"/>
    <mergeCell ref="M379:M381"/>
    <mergeCell ref="N379:N381"/>
    <mergeCell ref="O379:O381"/>
    <mergeCell ref="R385:R387"/>
    <mergeCell ref="S385:S387"/>
    <mergeCell ref="T385:T387"/>
    <mergeCell ref="U385:U387"/>
    <mergeCell ref="V385:V387"/>
    <mergeCell ref="A388:A390"/>
    <mergeCell ref="B388:B390"/>
    <mergeCell ref="M388:M390"/>
    <mergeCell ref="N388:N390"/>
    <mergeCell ref="O388:O390"/>
    <mergeCell ref="T382:T384"/>
    <mergeCell ref="U382:U384"/>
    <mergeCell ref="V382:V384"/>
    <mergeCell ref="A385:A387"/>
    <mergeCell ref="B385:B387"/>
    <mergeCell ref="M385:M387"/>
    <mergeCell ref="N385:N387"/>
    <mergeCell ref="O385:O387"/>
    <mergeCell ref="P385:P387"/>
    <mergeCell ref="Q385:Q387"/>
    <mergeCell ref="T391:T393"/>
    <mergeCell ref="U391:U393"/>
    <mergeCell ref="V391:V393"/>
    <mergeCell ref="A394:A396"/>
    <mergeCell ref="B394:B396"/>
    <mergeCell ref="M394:M396"/>
    <mergeCell ref="N394:N396"/>
    <mergeCell ref="O394:O396"/>
    <mergeCell ref="P394:P396"/>
    <mergeCell ref="Q394:Q396"/>
    <mergeCell ref="V388:V390"/>
    <mergeCell ref="A391:A393"/>
    <mergeCell ref="B391:B393"/>
    <mergeCell ref="M391:M393"/>
    <mergeCell ref="N391:N393"/>
    <mergeCell ref="O391:O393"/>
    <mergeCell ref="P391:P393"/>
    <mergeCell ref="Q391:Q393"/>
    <mergeCell ref="R391:R393"/>
    <mergeCell ref="S391:S393"/>
    <mergeCell ref="P388:P390"/>
    <mergeCell ref="Q388:Q390"/>
    <mergeCell ref="R388:R390"/>
    <mergeCell ref="S388:S390"/>
    <mergeCell ref="T388:T390"/>
    <mergeCell ref="U388:U390"/>
    <mergeCell ref="V397:V399"/>
    <mergeCell ref="A400:A402"/>
    <mergeCell ref="B400:B402"/>
    <mergeCell ref="M400:M402"/>
    <mergeCell ref="N400:N402"/>
    <mergeCell ref="O400:O402"/>
    <mergeCell ref="P400:P402"/>
    <mergeCell ref="Q400:Q402"/>
    <mergeCell ref="R400:R402"/>
    <mergeCell ref="S400:S402"/>
    <mergeCell ref="P397:P399"/>
    <mergeCell ref="Q397:Q399"/>
    <mergeCell ref="R397:R399"/>
    <mergeCell ref="S397:S399"/>
    <mergeCell ref="T397:T399"/>
    <mergeCell ref="U397:U399"/>
    <mergeCell ref="R394:R396"/>
    <mergeCell ref="S394:S396"/>
    <mergeCell ref="T394:T396"/>
    <mergeCell ref="U394:U396"/>
    <mergeCell ref="V394:V396"/>
    <mergeCell ref="A397:A399"/>
    <mergeCell ref="B397:B399"/>
    <mergeCell ref="M397:M399"/>
    <mergeCell ref="N397:N399"/>
    <mergeCell ref="O397:O399"/>
    <mergeCell ref="R403:R405"/>
    <mergeCell ref="S403:S405"/>
    <mergeCell ref="T403:T405"/>
    <mergeCell ref="U403:U405"/>
    <mergeCell ref="V403:V405"/>
    <mergeCell ref="A406:A408"/>
    <mergeCell ref="B406:B408"/>
    <mergeCell ref="M406:M408"/>
    <mergeCell ref="N406:N408"/>
    <mergeCell ref="O406:O408"/>
    <mergeCell ref="T400:T402"/>
    <mergeCell ref="U400:U402"/>
    <mergeCell ref="V400:V402"/>
    <mergeCell ref="A403:A405"/>
    <mergeCell ref="B403:B405"/>
    <mergeCell ref="M403:M405"/>
    <mergeCell ref="N403:N405"/>
    <mergeCell ref="O403:O405"/>
    <mergeCell ref="P403:P405"/>
    <mergeCell ref="Q403:Q405"/>
    <mergeCell ref="T409:T411"/>
    <mergeCell ref="U409:U411"/>
    <mergeCell ref="V409:V411"/>
    <mergeCell ref="A412:A414"/>
    <mergeCell ref="B412:B414"/>
    <mergeCell ref="M412:M414"/>
    <mergeCell ref="N412:N414"/>
    <mergeCell ref="O412:O414"/>
    <mergeCell ref="P412:P414"/>
    <mergeCell ref="Q412:Q414"/>
    <mergeCell ref="V406:V408"/>
    <mergeCell ref="A409:A411"/>
    <mergeCell ref="B409:B411"/>
    <mergeCell ref="M409:M411"/>
    <mergeCell ref="N409:N411"/>
    <mergeCell ref="O409:O411"/>
    <mergeCell ref="P409:P411"/>
    <mergeCell ref="Q409:Q411"/>
    <mergeCell ref="R409:R411"/>
    <mergeCell ref="S409:S411"/>
    <mergeCell ref="P406:P408"/>
    <mergeCell ref="Q406:Q408"/>
    <mergeCell ref="R406:R408"/>
    <mergeCell ref="S406:S408"/>
    <mergeCell ref="T406:T408"/>
    <mergeCell ref="U406:U408"/>
    <mergeCell ref="V415:V417"/>
    <mergeCell ref="A418:A420"/>
    <mergeCell ref="B418:B420"/>
    <mergeCell ref="M418:M420"/>
    <mergeCell ref="N418:N420"/>
    <mergeCell ref="O418:O420"/>
    <mergeCell ref="P418:P420"/>
    <mergeCell ref="Q418:Q420"/>
    <mergeCell ref="R418:R420"/>
    <mergeCell ref="S418:S420"/>
    <mergeCell ref="P415:P417"/>
    <mergeCell ref="Q415:Q417"/>
    <mergeCell ref="R415:R417"/>
    <mergeCell ref="S415:S417"/>
    <mergeCell ref="T415:T417"/>
    <mergeCell ref="U415:U417"/>
    <mergeCell ref="R412:R414"/>
    <mergeCell ref="S412:S414"/>
    <mergeCell ref="T412:T414"/>
    <mergeCell ref="U412:U414"/>
    <mergeCell ref="V412:V414"/>
    <mergeCell ref="A415:A417"/>
    <mergeCell ref="B415:B417"/>
    <mergeCell ref="M415:M417"/>
    <mergeCell ref="N415:N417"/>
    <mergeCell ref="O415:O417"/>
    <mergeCell ref="R421:R423"/>
    <mergeCell ref="S421:S423"/>
    <mergeCell ref="T421:T423"/>
    <mergeCell ref="U421:U423"/>
    <mergeCell ref="V421:V423"/>
    <mergeCell ref="A424:A426"/>
    <mergeCell ref="B424:B426"/>
    <mergeCell ref="M424:M426"/>
    <mergeCell ref="N424:N426"/>
    <mergeCell ref="O424:O426"/>
    <mergeCell ref="T418:T420"/>
    <mergeCell ref="U418:U420"/>
    <mergeCell ref="V418:V420"/>
    <mergeCell ref="A421:A423"/>
    <mergeCell ref="B421:B423"/>
    <mergeCell ref="M421:M423"/>
    <mergeCell ref="N421:N423"/>
    <mergeCell ref="O421:O423"/>
    <mergeCell ref="P421:P423"/>
    <mergeCell ref="Q421:Q423"/>
    <mergeCell ref="T427:T429"/>
    <mergeCell ref="U427:U429"/>
    <mergeCell ref="V427:V429"/>
    <mergeCell ref="A430:A432"/>
    <mergeCell ref="B430:B432"/>
    <mergeCell ref="M430:M432"/>
    <mergeCell ref="N430:N432"/>
    <mergeCell ref="O430:O432"/>
    <mergeCell ref="P430:P432"/>
    <mergeCell ref="Q430:Q432"/>
    <mergeCell ref="V424:V426"/>
    <mergeCell ref="A427:A429"/>
    <mergeCell ref="B427:B429"/>
    <mergeCell ref="M427:M429"/>
    <mergeCell ref="N427:N429"/>
    <mergeCell ref="O427:O429"/>
    <mergeCell ref="P427:P429"/>
    <mergeCell ref="Q427:Q429"/>
    <mergeCell ref="R427:R429"/>
    <mergeCell ref="S427:S429"/>
    <mergeCell ref="P424:P426"/>
    <mergeCell ref="Q424:Q426"/>
    <mergeCell ref="R424:R426"/>
    <mergeCell ref="S424:S426"/>
    <mergeCell ref="T424:T426"/>
    <mergeCell ref="U424:U426"/>
    <mergeCell ref="V433:V435"/>
    <mergeCell ref="A436:A438"/>
    <mergeCell ref="B436:B438"/>
    <mergeCell ref="M436:M438"/>
    <mergeCell ref="N436:N438"/>
    <mergeCell ref="O436:O438"/>
    <mergeCell ref="P436:P438"/>
    <mergeCell ref="Q436:Q438"/>
    <mergeCell ref="R436:R438"/>
    <mergeCell ref="S436:S438"/>
    <mergeCell ref="P433:P435"/>
    <mergeCell ref="Q433:Q435"/>
    <mergeCell ref="R433:R435"/>
    <mergeCell ref="S433:S435"/>
    <mergeCell ref="T433:T435"/>
    <mergeCell ref="U433:U435"/>
    <mergeCell ref="R430:R432"/>
    <mergeCell ref="S430:S432"/>
    <mergeCell ref="T430:T432"/>
    <mergeCell ref="U430:U432"/>
    <mergeCell ref="V430:V432"/>
    <mergeCell ref="A433:A435"/>
    <mergeCell ref="B433:B435"/>
    <mergeCell ref="M433:M435"/>
    <mergeCell ref="N433:N435"/>
    <mergeCell ref="O433:O435"/>
    <mergeCell ref="R439:R441"/>
    <mergeCell ref="S439:S441"/>
    <mergeCell ref="T439:T441"/>
    <mergeCell ref="U439:U441"/>
    <mergeCell ref="V439:V441"/>
    <mergeCell ref="A442:A444"/>
    <mergeCell ref="B442:B444"/>
    <mergeCell ref="M442:M444"/>
    <mergeCell ref="N442:N444"/>
    <mergeCell ref="O442:O444"/>
    <mergeCell ref="T436:T438"/>
    <mergeCell ref="U436:U438"/>
    <mergeCell ref="V436:V438"/>
    <mergeCell ref="A439:A441"/>
    <mergeCell ref="B439:B441"/>
    <mergeCell ref="M439:M441"/>
    <mergeCell ref="N439:N441"/>
    <mergeCell ref="O439:O441"/>
    <mergeCell ref="P439:P441"/>
    <mergeCell ref="Q439:Q441"/>
    <mergeCell ref="T445:T447"/>
    <mergeCell ref="U445:U447"/>
    <mergeCell ref="V445:V447"/>
    <mergeCell ref="A448:A450"/>
    <mergeCell ref="B448:B450"/>
    <mergeCell ref="M448:M450"/>
    <mergeCell ref="N448:N450"/>
    <mergeCell ref="O448:O450"/>
    <mergeCell ref="P448:P450"/>
    <mergeCell ref="Q448:Q450"/>
    <mergeCell ref="V442:V444"/>
    <mergeCell ref="A445:A447"/>
    <mergeCell ref="B445:B447"/>
    <mergeCell ref="M445:M447"/>
    <mergeCell ref="N445:N447"/>
    <mergeCell ref="O445:O447"/>
    <mergeCell ref="P445:P447"/>
    <mergeCell ref="Q445:Q447"/>
    <mergeCell ref="R445:R447"/>
    <mergeCell ref="S445:S447"/>
    <mergeCell ref="P442:P444"/>
    <mergeCell ref="Q442:Q444"/>
    <mergeCell ref="R442:R444"/>
    <mergeCell ref="S442:S444"/>
    <mergeCell ref="T442:T444"/>
    <mergeCell ref="U442:U444"/>
    <mergeCell ref="V451:V453"/>
    <mergeCell ref="A454:A456"/>
    <mergeCell ref="B454:B456"/>
    <mergeCell ref="M454:M456"/>
    <mergeCell ref="N454:N456"/>
    <mergeCell ref="O454:O456"/>
    <mergeCell ref="P454:P456"/>
    <mergeCell ref="Q454:Q456"/>
    <mergeCell ref="R454:R456"/>
    <mergeCell ref="S454:S456"/>
    <mergeCell ref="P451:P453"/>
    <mergeCell ref="Q451:Q453"/>
    <mergeCell ref="R451:R453"/>
    <mergeCell ref="S451:S453"/>
    <mergeCell ref="T451:T453"/>
    <mergeCell ref="U451:U453"/>
    <mergeCell ref="R448:R450"/>
    <mergeCell ref="S448:S450"/>
    <mergeCell ref="T448:T450"/>
    <mergeCell ref="U448:U450"/>
    <mergeCell ref="V448:V450"/>
    <mergeCell ref="A451:A453"/>
    <mergeCell ref="B451:B453"/>
    <mergeCell ref="M451:M453"/>
    <mergeCell ref="N451:N453"/>
    <mergeCell ref="O451:O453"/>
    <mergeCell ref="R457:R459"/>
    <mergeCell ref="S457:S459"/>
    <mergeCell ref="T457:T459"/>
    <mergeCell ref="U457:U459"/>
    <mergeCell ref="V457:V459"/>
    <mergeCell ref="A460:A462"/>
    <mergeCell ref="B460:B462"/>
    <mergeCell ref="M460:M462"/>
    <mergeCell ref="N460:N462"/>
    <mergeCell ref="O460:O462"/>
    <mergeCell ref="T454:T456"/>
    <mergeCell ref="U454:U456"/>
    <mergeCell ref="V454:V456"/>
    <mergeCell ref="A457:A459"/>
    <mergeCell ref="B457:B459"/>
    <mergeCell ref="M457:M459"/>
    <mergeCell ref="N457:N459"/>
    <mergeCell ref="O457:O459"/>
    <mergeCell ref="P457:P459"/>
    <mergeCell ref="Q457:Q459"/>
    <mergeCell ref="T463:T465"/>
    <mergeCell ref="U463:U465"/>
    <mergeCell ref="V463:V465"/>
    <mergeCell ref="A466:A468"/>
    <mergeCell ref="B466:B468"/>
    <mergeCell ref="M466:M468"/>
    <mergeCell ref="N466:N468"/>
    <mergeCell ref="O466:O468"/>
    <mergeCell ref="P466:P468"/>
    <mergeCell ref="Q466:Q468"/>
    <mergeCell ref="V460:V462"/>
    <mergeCell ref="A463:A465"/>
    <mergeCell ref="B463:B465"/>
    <mergeCell ref="M463:M465"/>
    <mergeCell ref="N463:N465"/>
    <mergeCell ref="O463:O465"/>
    <mergeCell ref="P463:P465"/>
    <mergeCell ref="Q463:Q465"/>
    <mergeCell ref="R463:R465"/>
    <mergeCell ref="S463:S465"/>
    <mergeCell ref="P460:P462"/>
    <mergeCell ref="Q460:Q462"/>
    <mergeCell ref="R460:R462"/>
    <mergeCell ref="S460:S462"/>
    <mergeCell ref="T460:T462"/>
    <mergeCell ref="U460:U462"/>
    <mergeCell ref="V469:V471"/>
    <mergeCell ref="A472:A474"/>
    <mergeCell ref="B472:B474"/>
    <mergeCell ref="M472:M474"/>
    <mergeCell ref="N472:N474"/>
    <mergeCell ref="O472:O474"/>
    <mergeCell ref="P472:P474"/>
    <mergeCell ref="Q472:Q474"/>
    <mergeCell ref="R472:R474"/>
    <mergeCell ref="S472:S474"/>
    <mergeCell ref="P469:P471"/>
    <mergeCell ref="Q469:Q471"/>
    <mergeCell ref="R469:R471"/>
    <mergeCell ref="S469:S471"/>
    <mergeCell ref="T469:T471"/>
    <mergeCell ref="U469:U471"/>
    <mergeCell ref="R466:R468"/>
    <mergeCell ref="S466:S468"/>
    <mergeCell ref="T466:T468"/>
    <mergeCell ref="U466:U468"/>
    <mergeCell ref="V466:V468"/>
    <mergeCell ref="A469:A471"/>
    <mergeCell ref="B469:B471"/>
    <mergeCell ref="M469:M471"/>
    <mergeCell ref="N469:N471"/>
    <mergeCell ref="O469:O471"/>
    <mergeCell ref="R475:R477"/>
    <mergeCell ref="S475:S477"/>
    <mergeCell ref="T475:T477"/>
    <mergeCell ref="U475:U477"/>
    <mergeCell ref="V475:V477"/>
    <mergeCell ref="A478:A480"/>
    <mergeCell ref="B478:B480"/>
    <mergeCell ref="M478:M480"/>
    <mergeCell ref="N478:N480"/>
    <mergeCell ref="O478:O480"/>
    <mergeCell ref="T472:T474"/>
    <mergeCell ref="U472:U474"/>
    <mergeCell ref="V472:V474"/>
    <mergeCell ref="A475:A477"/>
    <mergeCell ref="B475:B477"/>
    <mergeCell ref="M475:M477"/>
    <mergeCell ref="N475:N477"/>
    <mergeCell ref="O475:O477"/>
    <mergeCell ref="P475:P477"/>
    <mergeCell ref="Q475:Q477"/>
    <mergeCell ref="T481:T483"/>
    <mergeCell ref="U481:U483"/>
    <mergeCell ref="V481:V483"/>
    <mergeCell ref="A484:A486"/>
    <mergeCell ref="B484:B486"/>
    <mergeCell ref="M484:M486"/>
    <mergeCell ref="N484:N486"/>
    <mergeCell ref="O484:O486"/>
    <mergeCell ref="P484:P486"/>
    <mergeCell ref="Q484:Q486"/>
    <mergeCell ref="V478:V480"/>
    <mergeCell ref="A481:A483"/>
    <mergeCell ref="B481:B483"/>
    <mergeCell ref="M481:M483"/>
    <mergeCell ref="N481:N483"/>
    <mergeCell ref="O481:O483"/>
    <mergeCell ref="P481:P483"/>
    <mergeCell ref="Q481:Q483"/>
    <mergeCell ref="R481:R483"/>
    <mergeCell ref="S481:S483"/>
    <mergeCell ref="P478:P480"/>
    <mergeCell ref="Q478:Q480"/>
    <mergeCell ref="R478:R480"/>
    <mergeCell ref="S478:S480"/>
    <mergeCell ref="T478:T480"/>
    <mergeCell ref="U478:U480"/>
    <mergeCell ref="V487:V489"/>
    <mergeCell ref="A490:A492"/>
    <mergeCell ref="B490:B492"/>
    <mergeCell ref="M490:M492"/>
    <mergeCell ref="N490:N492"/>
    <mergeCell ref="O490:O492"/>
    <mergeCell ref="P490:P492"/>
    <mergeCell ref="Q490:Q492"/>
    <mergeCell ref="R490:R492"/>
    <mergeCell ref="S490:S492"/>
    <mergeCell ref="P487:P489"/>
    <mergeCell ref="Q487:Q489"/>
    <mergeCell ref="R487:R489"/>
    <mergeCell ref="S487:S489"/>
    <mergeCell ref="T487:T489"/>
    <mergeCell ref="U487:U489"/>
    <mergeCell ref="R484:R486"/>
    <mergeCell ref="S484:S486"/>
    <mergeCell ref="T484:T486"/>
    <mergeCell ref="U484:U486"/>
    <mergeCell ref="V484:V486"/>
    <mergeCell ref="A487:A489"/>
    <mergeCell ref="B487:B489"/>
    <mergeCell ref="M487:M489"/>
    <mergeCell ref="N487:N489"/>
    <mergeCell ref="O487:O489"/>
    <mergeCell ref="R493:R495"/>
    <mergeCell ref="S493:S495"/>
    <mergeCell ref="T493:T495"/>
    <mergeCell ref="U493:U495"/>
    <mergeCell ref="V493:V495"/>
    <mergeCell ref="A496:A498"/>
    <mergeCell ref="B496:B498"/>
    <mergeCell ref="M496:M498"/>
    <mergeCell ref="N496:N498"/>
    <mergeCell ref="O496:O498"/>
    <mergeCell ref="T490:T492"/>
    <mergeCell ref="U490:U492"/>
    <mergeCell ref="V490:V492"/>
    <mergeCell ref="A493:A495"/>
    <mergeCell ref="B493:B495"/>
    <mergeCell ref="M493:M495"/>
    <mergeCell ref="N493:N495"/>
    <mergeCell ref="O493:O495"/>
    <mergeCell ref="P493:P495"/>
    <mergeCell ref="Q493:Q495"/>
    <mergeCell ref="R502:R504"/>
    <mergeCell ref="S502:S504"/>
    <mergeCell ref="T502:T504"/>
    <mergeCell ref="U502:U504"/>
    <mergeCell ref="V502:V504"/>
    <mergeCell ref="T499:T501"/>
    <mergeCell ref="U499:U501"/>
    <mergeCell ref="V499:V501"/>
    <mergeCell ref="A502:A504"/>
    <mergeCell ref="B502:B504"/>
    <mergeCell ref="M502:M504"/>
    <mergeCell ref="N502:N504"/>
    <mergeCell ref="O502:O504"/>
    <mergeCell ref="P502:P504"/>
    <mergeCell ref="Q502:Q504"/>
    <mergeCell ref="V496:V498"/>
    <mergeCell ref="A499:A501"/>
    <mergeCell ref="B499:B501"/>
    <mergeCell ref="M499:M501"/>
    <mergeCell ref="N499:N501"/>
    <mergeCell ref="O499:O501"/>
    <mergeCell ref="P499:P501"/>
    <mergeCell ref="Q499:Q501"/>
    <mergeCell ref="R499:R501"/>
    <mergeCell ref="S499:S501"/>
    <mergeCell ref="P496:P498"/>
    <mergeCell ref="Q496:Q498"/>
    <mergeCell ref="R496:R498"/>
    <mergeCell ref="S496:S498"/>
    <mergeCell ref="T496:T498"/>
    <mergeCell ref="U496:U498"/>
  </mergeCells>
  <conditionalFormatting sqref="I9:I11">
    <cfRule type="cellIs" dxfId="59" priority="59" stopIfTrue="1" operator="equal">
      <formula>"Pass"</formula>
    </cfRule>
    <cfRule type="cellIs" dxfId="58" priority="60" stopIfTrue="1" operator="equal">
      <formula>"Fail"</formula>
    </cfRule>
  </conditionalFormatting>
  <conditionalFormatting sqref="T10:T18">
    <cfRule type="cellIs" dxfId="57" priority="57" stopIfTrue="1" operator="equal">
      <formula>"Fail"</formula>
    </cfRule>
    <cfRule type="cellIs" dxfId="56" priority="58" stopIfTrue="1" operator="equal">
      <formula>"Pass"</formula>
    </cfRule>
  </conditionalFormatting>
  <conditionalFormatting sqref="I10">
    <cfRule type="cellIs" dxfId="55" priority="55" stopIfTrue="1" operator="equal">
      <formula>"Pass"</formula>
    </cfRule>
    <cfRule type="cellIs" dxfId="54" priority="56" stopIfTrue="1" operator="equal">
      <formula>"Fail"</formula>
    </cfRule>
  </conditionalFormatting>
  <conditionalFormatting sqref="I10">
    <cfRule type="cellIs" dxfId="53" priority="53" stopIfTrue="1" operator="equal">
      <formula>"Pass"</formula>
    </cfRule>
    <cfRule type="cellIs" dxfId="52" priority="54" stopIfTrue="1" operator="equal">
      <formula>"Fail"</formula>
    </cfRule>
  </conditionalFormatting>
  <conditionalFormatting sqref="I11">
    <cfRule type="cellIs" dxfId="51" priority="51" stopIfTrue="1" operator="equal">
      <formula>"Pass"</formula>
    </cfRule>
    <cfRule type="cellIs" dxfId="50" priority="52" stopIfTrue="1" operator="equal">
      <formula>"Fail"</formula>
    </cfRule>
  </conditionalFormatting>
  <conditionalFormatting sqref="I11">
    <cfRule type="cellIs" dxfId="49" priority="49" stopIfTrue="1" operator="equal">
      <formula>"Pass"</formula>
    </cfRule>
    <cfRule type="cellIs" dxfId="48" priority="50" stopIfTrue="1" operator="equal">
      <formula>"Fail"</formula>
    </cfRule>
  </conditionalFormatting>
  <conditionalFormatting sqref="I10:I11">
    <cfRule type="cellIs" dxfId="47" priority="47" stopIfTrue="1" operator="equal">
      <formula>"Pass"</formula>
    </cfRule>
    <cfRule type="cellIs" dxfId="46" priority="48" stopIfTrue="1" operator="equal">
      <formula>"Fail"</formula>
    </cfRule>
  </conditionalFormatting>
  <conditionalFormatting sqref="I10:I11">
    <cfRule type="cellIs" dxfId="45" priority="45" stopIfTrue="1" operator="equal">
      <formula>"Pass"</formula>
    </cfRule>
    <cfRule type="cellIs" dxfId="44" priority="46" stopIfTrue="1" operator="equal">
      <formula>"Fail"</formula>
    </cfRule>
  </conditionalFormatting>
  <conditionalFormatting sqref="I13:I14 I19:I20 I25:I26 I31:I32 I37:I38 I43:I44 I49:I50 I55:I56 I61:I62 I67:I68 I73:I74 I79:I80 I85:I86 I91:I92 I97:I98 I103:I104 I109:I110 I115:I116 I121:I122 I127:I128 I133:I134 I139:I140 I145:I146 I151:I152 I157:I158 I163:I164 I169:I170 I175:I176 I181:I182 I187:I188 I193:I194 I199:I200 I205:I206 I211:I212 I217:I218 I223:I224 I229:I230 I235:I236 I241:I242 I247:I248 I253:I254 I259:I260 I265:I266 I271:I272 I277:I278 I283:I284 I289:I290 I295:I296 I301:I302 I307:I308 I313:I314 I319:I320 I325:I326 I331:I332 I337:I338 I343:I344 I349:I350 I355:I356 I361:I362 I367:I368 I373:I374 I379:I380 I385:I386 I391:I392 I397:I398 I403:I404 I409:I410 I415:I416 I421:I422 I427:I428 I433:I434 I439:I440 I445:I446 I451:I452 I457:I458 I463:I464 I469:I470 I475:I476 I481:I482 I487:I488 I493:I494 I499:I500">
    <cfRule type="cellIs" dxfId="43" priority="43" stopIfTrue="1" operator="equal">
      <formula>"Pass"</formula>
    </cfRule>
    <cfRule type="cellIs" dxfId="42" priority="44" stopIfTrue="1" operator="equal">
      <formula>"Fail"</formula>
    </cfRule>
  </conditionalFormatting>
  <conditionalFormatting sqref="T13:T15 T49:T51 T55:T57 T61:T63 T67:T69 T73:T75 T79:T81 T85:T87 T91:T93 T97:T99 T103:T105 T109:T111 T115:T117 T121:T123 T127:T129 T133:T135 T139:T141 T145:T147 T151:T153 T157:T159 T163:T165 T169:T171 T175:T177 T181:T183 T187:T189 T193:T195 T199:T201 T205:T207 T211:T213 T217:T219 T223:T225 T229:T231 T235:T237 T241:T243 T247:T249 T253:T255 T259:T261 T265:T267 T271:T273 T277:T279 T283:T285 T289:T291 T295:T297 T301:T303 T307:T309 T313:T315 T319:T321 T325:T327 T331:T333 T337:T339 T343:T345 T349:T351 T355:T357 T361:T363 T367:T369 T373:T375 T379:T381 T385:T387 T391:T393 T397:T399 T403:T405 T409:T411 T415:T417 T421:T423 T427:T429 T433:T435 T439:T441 T445:T447 T451:T453 T457:T459 T463:T465 T469:T471 T475:T477 T481:T483 T487:T489 T493:T495 T499:T501 T19:T45">
    <cfRule type="cellIs" dxfId="41" priority="41" stopIfTrue="1" operator="equal">
      <formula>"Fail"</formula>
    </cfRule>
    <cfRule type="cellIs" dxfId="40" priority="42" stopIfTrue="1" operator="equal">
      <formula>"Pass"</formula>
    </cfRule>
  </conditionalFormatting>
  <conditionalFormatting sqref="I13:I14 I19:I20 I25:I26 I31:I32 I37:I38 I43:I44 I49:I50 I55:I56 I61:I62 I67:I68 I73:I74 I79:I80 I85:I86 I91:I92 I97:I98 I103:I104 I109:I110 I115:I116 I121:I122 I127:I128 I133:I134 I139:I140 I145:I146 I151:I152 I157:I158 I163:I164 I169:I170 I175:I176 I181:I182 I187:I188 I193:I194 I199:I200 I205:I206 I211:I212 I217:I218 I223:I224 I229:I230 I235:I236 I241:I242 I247:I248 I253:I254 I259:I260 I265:I266 I271:I272 I277:I278 I283:I284 I289:I290 I295:I296 I301:I302 I307:I308 I313:I314 I319:I320 I325:I326 I331:I332 I337:I338 I343:I344 I349:I350 I355:I356 I361:I362 I367:I368 I373:I374 I379:I380 I385:I386 I391:I392 I397:I398 I403:I404 I409:I410 I415:I416 I421:I422 I427:I428 I433:I434 I439:I440 I445:I446 I451:I452 I457:I458 I463:I464 I469:I470 I475:I476 I481:I482 I487:I488 I493:I494 I499:I500">
    <cfRule type="cellIs" dxfId="39" priority="39" stopIfTrue="1" operator="equal">
      <formula>"Pass"</formula>
    </cfRule>
    <cfRule type="cellIs" dxfId="38" priority="40" stopIfTrue="1" operator="equal">
      <formula>"Fail"</formula>
    </cfRule>
  </conditionalFormatting>
  <conditionalFormatting sqref="I16:I17 I22:I23 I28:I29 I34:I35 I40:I41 I46:I47 I52:I53 I58:I59 I64:I65 I70:I71 I76:I77 I82:I83 I88:I89 I94:I95 I100:I101 I106:I107 I112:I113 I118:I119 I124:I125 I130:I131 I136:I137 I142:I143 I148:I149 I154:I155 I160:I161 I166:I167 I172:I173 I178:I179 I184:I185 I190:I191 I196:I197 I202:I203 I208:I209 I214:I215 I220:I221 I226:I227 I232:I233 I238:I239 I244:I245 I250:I251 I256:I257 I262:I263 I268:I269 I274:I275 I280:I281 I286:I287 I292:I293 I298:I299 I304:I305 I310:I311 I316:I317 I322:I323 I328:I329 I334:I335 I340:I341 I346:I347 I352:I353 I358:I359 I364:I365 I370:I371 I376:I377 I382:I383 I388:I389 I394:I395 I400:I401 I406:I407 I412:I413 I418:I419 I424:I425 I430:I431 I436:I437 I442:I443 I448:I449 I454:I455 I460:I461 I466:I467 I472:I473 I478:I479 I484:I485 I490:I491 I496:I497 I502:I503">
    <cfRule type="cellIs" dxfId="37" priority="37" stopIfTrue="1" operator="equal">
      <formula>"Pass"</formula>
    </cfRule>
    <cfRule type="cellIs" dxfId="36" priority="38" stopIfTrue="1" operator="equal">
      <formula>"Fail"</formula>
    </cfRule>
  </conditionalFormatting>
  <conditionalFormatting sqref="T16:T18 T22:T24 T28:T30 T34:T36 T70:T72 T76:T78 T82:T84 T88:T90 T94:T96 T100:T102 T106:T108 T112:T114 T118:T120 T124:T126 T130:T132 T136:T138 T142:T144 T148:T150 T154:T156 T160:T162 T166:T168 T172:T174 T178:T180 T184:T186 T190:T192 T196:T198 T202:T204 T208:T210 T214:T216 T220:T222 T226:T228 T232:T234 T238:T240 T244:T246 T250:T252 T256:T258 T262:T264 T268:T270 T274:T276 T280:T282 T286:T288 T292:T294 T298:T300 T304:T306 T310:T312 T316:T318 T322:T324 T328:T330 T334:T336 T340:T342 T346:T348 T352:T354 T358:T360 T364:T366 T370:T372 T376:T378 T382:T384 T388:T390 T394:T396 T400:T402 T406:T408 T412:T414 T418:T420 T424:T426 T430:T432 T436:T438 T442:T444 T448:T450 T454:T456 T460:T462 T466:T468 T472:T474 T478:T480 T484:T486 T490:T492 T496:T498 T502:T504 T40:T54 T58:T66">
    <cfRule type="cellIs" dxfId="35" priority="35" stopIfTrue="1" operator="equal">
      <formula>"Fail"</formula>
    </cfRule>
    <cfRule type="cellIs" dxfId="34" priority="36" stopIfTrue="1" operator="equal">
      <formula>"Pass"</formula>
    </cfRule>
  </conditionalFormatting>
  <conditionalFormatting sqref="I16:I17 I22:I23 I28:I29 I34:I35 I40:I41 I46:I47 I52:I53 I58:I59 I64:I65 I70:I71 I76:I77 I82:I83 I88:I89 I94:I95 I100:I101 I106:I107 I112:I113 I118:I119 I124:I125 I130:I131 I136:I137 I142:I143 I148:I149 I154:I155 I160:I161 I166:I167 I172:I173 I178:I179 I184:I185 I190:I191 I196:I197 I202:I203 I208:I209 I214:I215 I220:I221 I226:I227 I232:I233 I238:I239 I244:I245 I250:I251 I256:I257 I262:I263 I268:I269 I274:I275 I280:I281 I286:I287 I292:I293 I298:I299 I304:I305 I310:I311 I316:I317 I322:I323 I328:I329 I334:I335 I340:I341 I346:I347 I352:I353 I358:I359 I364:I365 I370:I371 I376:I377 I382:I383 I388:I389 I394:I395 I400:I401 I406:I407 I412:I413 I418:I419 I424:I425 I430:I431 I436:I437 I442:I443 I448:I449 I454:I455 I460:I461 I466:I467 I472:I473 I478:I479 I484:I485 I490:I491 I496:I497 I502:I503">
    <cfRule type="cellIs" dxfId="33" priority="33" stopIfTrue="1" operator="equal">
      <formula>"Pass"</formula>
    </cfRule>
    <cfRule type="cellIs" dxfId="32" priority="34" stopIfTrue="1" operator="equal">
      <formula>"Fail"</formula>
    </cfRule>
  </conditionalFormatting>
  <conditionalFormatting sqref="T19:T45">
    <cfRule type="cellIs" dxfId="31" priority="31" stopIfTrue="1" operator="equal">
      <formula>"Fail"</formula>
    </cfRule>
    <cfRule type="cellIs" dxfId="30" priority="32" stopIfTrue="1" operator="equal">
      <formula>"Pass"</formula>
    </cfRule>
  </conditionalFormatting>
  <conditionalFormatting sqref="T19:T45">
    <cfRule type="cellIs" dxfId="29" priority="29" stopIfTrue="1" operator="equal">
      <formula>"Fail"</formula>
    </cfRule>
    <cfRule type="cellIs" dxfId="28" priority="30" stopIfTrue="1" operator="equal">
      <formula>"Pass"</formula>
    </cfRule>
  </conditionalFormatting>
  <conditionalFormatting sqref="I22">
    <cfRule type="cellIs" dxfId="27" priority="27" stopIfTrue="1" operator="equal">
      <formula>"Pass"</formula>
    </cfRule>
    <cfRule type="cellIs" dxfId="26" priority="28" stopIfTrue="1" operator="equal">
      <formula>"Fail"</formula>
    </cfRule>
  </conditionalFormatting>
  <conditionalFormatting sqref="I22">
    <cfRule type="cellIs" dxfId="25" priority="25" stopIfTrue="1" operator="equal">
      <formula>"Pass"</formula>
    </cfRule>
    <cfRule type="cellIs" dxfId="24" priority="26" stopIfTrue="1" operator="equal">
      <formula>"Fail"</formula>
    </cfRule>
  </conditionalFormatting>
  <conditionalFormatting sqref="T46:T54">
    <cfRule type="cellIs" dxfId="23" priority="23" stopIfTrue="1" operator="equal">
      <formula>"Fail"</formula>
    </cfRule>
    <cfRule type="cellIs" dxfId="22" priority="24" stopIfTrue="1" operator="equal">
      <formula>"Pass"</formula>
    </cfRule>
  </conditionalFormatting>
  <conditionalFormatting sqref="T46:T54">
    <cfRule type="cellIs" dxfId="21" priority="21" stopIfTrue="1" operator="equal">
      <formula>"Fail"</formula>
    </cfRule>
    <cfRule type="cellIs" dxfId="20" priority="22" stopIfTrue="1" operator="equal">
      <formula>"Pass"</formula>
    </cfRule>
  </conditionalFormatting>
  <conditionalFormatting sqref="T46:T54">
    <cfRule type="cellIs" dxfId="19" priority="19" stopIfTrue="1" operator="equal">
      <formula>"Fail"</formula>
    </cfRule>
    <cfRule type="cellIs" dxfId="18" priority="20" stopIfTrue="1" operator="equal">
      <formula>"Pass"</formula>
    </cfRule>
  </conditionalFormatting>
  <conditionalFormatting sqref="T55:T57">
    <cfRule type="cellIs" dxfId="17" priority="17" stopIfTrue="1" operator="equal">
      <formula>"Fail"</formula>
    </cfRule>
    <cfRule type="cellIs" dxfId="16" priority="18" stopIfTrue="1" operator="equal">
      <formula>"Pass"</formula>
    </cfRule>
  </conditionalFormatting>
  <conditionalFormatting sqref="T55:T57">
    <cfRule type="cellIs" dxfId="15" priority="15" stopIfTrue="1" operator="equal">
      <formula>"Fail"</formula>
    </cfRule>
    <cfRule type="cellIs" dxfId="14" priority="16" stopIfTrue="1" operator="equal">
      <formula>"Pass"</formula>
    </cfRule>
  </conditionalFormatting>
  <conditionalFormatting sqref="T55:T57">
    <cfRule type="cellIs" dxfId="13" priority="13" stopIfTrue="1" operator="equal">
      <formula>"Fail"</formula>
    </cfRule>
    <cfRule type="cellIs" dxfId="12" priority="14" stopIfTrue="1" operator="equal">
      <formula>"Pass"</formula>
    </cfRule>
  </conditionalFormatting>
  <conditionalFormatting sqref="T55:T57">
    <cfRule type="cellIs" dxfId="11" priority="11" stopIfTrue="1" operator="equal">
      <formula>"Fail"</formula>
    </cfRule>
    <cfRule type="cellIs" dxfId="10" priority="12" stopIfTrue="1" operator="equal">
      <formula>"Pass"</formula>
    </cfRule>
  </conditionalFormatting>
  <conditionalFormatting sqref="T58:T66">
    <cfRule type="cellIs" dxfId="9" priority="9" stopIfTrue="1" operator="equal">
      <formula>"Fail"</formula>
    </cfRule>
    <cfRule type="cellIs" dxfId="8" priority="10" stopIfTrue="1" operator="equal">
      <formula>"Pass"</formula>
    </cfRule>
  </conditionalFormatting>
  <conditionalFormatting sqref="T58:T66">
    <cfRule type="cellIs" dxfId="7" priority="7" stopIfTrue="1" operator="equal">
      <formula>"Fail"</formula>
    </cfRule>
    <cfRule type="cellIs" dxfId="6" priority="8" stopIfTrue="1" operator="equal">
      <formula>"Pass"</formula>
    </cfRule>
  </conditionalFormatting>
  <conditionalFormatting sqref="T58:T66">
    <cfRule type="cellIs" dxfId="5" priority="5" stopIfTrue="1" operator="equal">
      <formula>"Fail"</formula>
    </cfRule>
    <cfRule type="cellIs" dxfId="4" priority="6" stopIfTrue="1" operator="equal">
      <formula>"Pass"</formula>
    </cfRule>
  </conditionalFormatting>
  <conditionalFormatting sqref="T58:T66">
    <cfRule type="cellIs" dxfId="3" priority="3" stopIfTrue="1" operator="equal">
      <formula>"Fail"</formula>
    </cfRule>
    <cfRule type="cellIs" dxfId="2" priority="4" stopIfTrue="1" operator="equal">
      <formula>"Pass"</formula>
    </cfRule>
  </conditionalFormatting>
  <conditionalFormatting sqref="T58:T66">
    <cfRule type="cellIs" dxfId="1" priority="1" stopIfTrue="1" operator="equal">
      <formula>"Fail"</formula>
    </cfRule>
    <cfRule type="cellIs" dxfId="0" priority="2" stopIfTrue="1" operator="equal">
      <formula>"Pass"</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C8426-6B7F-4163-A5AA-1ACB9BE1DCEC}">
  <sheetPr codeName="Sheet11"/>
  <dimension ref="A1"/>
  <sheetViews>
    <sheetView workbookViewId="0">
      <selection activeCell="O11" sqref="O11"/>
    </sheetView>
  </sheetViews>
  <sheetFormatPr defaultRowHeight="16.100000000000001" x14ac:dyDescent="0.35"/>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1EBB2F-B9B0-4348-BA5B-3D140073525D}">
  <sheetPr codeName="Sheet12"/>
  <dimension ref="I1:BC64"/>
  <sheetViews>
    <sheetView topLeftCell="A14" workbookViewId="0">
      <selection activeCell="H27" sqref="H27"/>
    </sheetView>
  </sheetViews>
  <sheetFormatPr defaultRowHeight="16.100000000000001" x14ac:dyDescent="0.35"/>
  <cols>
    <col min="11" max="11" width="11.90625" bestFit="1" customWidth="1"/>
    <col min="13" max="13" width="12.7265625" bestFit="1" customWidth="1"/>
    <col min="34" max="34" width="8.26953125" style="105" customWidth="1"/>
    <col min="267" max="267" width="11.90625" bestFit="1" customWidth="1"/>
    <col min="269" max="269" width="12.7265625" bestFit="1" customWidth="1"/>
    <col min="290" max="290" width="8.26953125" customWidth="1"/>
    <col min="523" max="523" width="11.90625" bestFit="1" customWidth="1"/>
    <col min="525" max="525" width="12.7265625" bestFit="1" customWidth="1"/>
    <col min="546" max="546" width="8.26953125" customWidth="1"/>
    <col min="779" max="779" width="11.90625" bestFit="1" customWidth="1"/>
    <col min="781" max="781" width="12.7265625" bestFit="1" customWidth="1"/>
    <col min="802" max="802" width="8.26953125" customWidth="1"/>
    <col min="1035" max="1035" width="11.90625" bestFit="1" customWidth="1"/>
    <col min="1037" max="1037" width="12.7265625" bestFit="1" customWidth="1"/>
    <col min="1058" max="1058" width="8.26953125" customWidth="1"/>
    <col min="1291" max="1291" width="11.90625" bestFit="1" customWidth="1"/>
    <col min="1293" max="1293" width="12.7265625" bestFit="1" customWidth="1"/>
    <col min="1314" max="1314" width="8.26953125" customWidth="1"/>
    <col min="1547" max="1547" width="11.90625" bestFit="1" customWidth="1"/>
    <col min="1549" max="1549" width="12.7265625" bestFit="1" customWidth="1"/>
    <col min="1570" max="1570" width="8.26953125" customWidth="1"/>
    <col min="1803" max="1803" width="11.90625" bestFit="1" customWidth="1"/>
    <col min="1805" max="1805" width="12.7265625" bestFit="1" customWidth="1"/>
    <col min="1826" max="1826" width="8.26953125" customWidth="1"/>
    <col min="2059" max="2059" width="11.90625" bestFit="1" customWidth="1"/>
    <col min="2061" max="2061" width="12.7265625" bestFit="1" customWidth="1"/>
    <col min="2082" max="2082" width="8.26953125" customWidth="1"/>
    <col min="2315" max="2315" width="11.90625" bestFit="1" customWidth="1"/>
    <col min="2317" max="2317" width="12.7265625" bestFit="1" customWidth="1"/>
    <col min="2338" max="2338" width="8.26953125" customWidth="1"/>
    <col min="2571" max="2571" width="11.90625" bestFit="1" customWidth="1"/>
    <col min="2573" max="2573" width="12.7265625" bestFit="1" customWidth="1"/>
    <col min="2594" max="2594" width="8.26953125" customWidth="1"/>
    <col min="2827" max="2827" width="11.90625" bestFit="1" customWidth="1"/>
    <col min="2829" max="2829" width="12.7265625" bestFit="1" customWidth="1"/>
    <col min="2850" max="2850" width="8.26953125" customWidth="1"/>
    <col min="3083" max="3083" width="11.90625" bestFit="1" customWidth="1"/>
    <col min="3085" max="3085" width="12.7265625" bestFit="1" customWidth="1"/>
    <col min="3106" max="3106" width="8.26953125" customWidth="1"/>
    <col min="3339" max="3339" width="11.90625" bestFit="1" customWidth="1"/>
    <col min="3341" max="3341" width="12.7265625" bestFit="1" customWidth="1"/>
    <col min="3362" max="3362" width="8.26953125" customWidth="1"/>
    <col min="3595" max="3595" width="11.90625" bestFit="1" customWidth="1"/>
    <col min="3597" max="3597" width="12.7265625" bestFit="1" customWidth="1"/>
    <col min="3618" max="3618" width="8.26953125" customWidth="1"/>
    <col min="3851" max="3851" width="11.90625" bestFit="1" customWidth="1"/>
    <col min="3853" max="3853" width="12.7265625" bestFit="1" customWidth="1"/>
    <col min="3874" max="3874" width="8.26953125" customWidth="1"/>
    <col min="4107" max="4107" width="11.90625" bestFit="1" customWidth="1"/>
    <col min="4109" max="4109" width="12.7265625" bestFit="1" customWidth="1"/>
    <col min="4130" max="4130" width="8.26953125" customWidth="1"/>
    <col min="4363" max="4363" width="11.90625" bestFit="1" customWidth="1"/>
    <col min="4365" max="4365" width="12.7265625" bestFit="1" customWidth="1"/>
    <col min="4386" max="4386" width="8.26953125" customWidth="1"/>
    <col min="4619" max="4619" width="11.90625" bestFit="1" customWidth="1"/>
    <col min="4621" max="4621" width="12.7265625" bestFit="1" customWidth="1"/>
    <col min="4642" max="4642" width="8.26953125" customWidth="1"/>
    <col min="4875" max="4875" width="11.90625" bestFit="1" customWidth="1"/>
    <col min="4877" max="4877" width="12.7265625" bestFit="1" customWidth="1"/>
    <col min="4898" max="4898" width="8.26953125" customWidth="1"/>
    <col min="5131" max="5131" width="11.90625" bestFit="1" customWidth="1"/>
    <col min="5133" max="5133" width="12.7265625" bestFit="1" customWidth="1"/>
    <col min="5154" max="5154" width="8.26953125" customWidth="1"/>
    <col min="5387" max="5387" width="11.90625" bestFit="1" customWidth="1"/>
    <col min="5389" max="5389" width="12.7265625" bestFit="1" customWidth="1"/>
    <col min="5410" max="5410" width="8.26953125" customWidth="1"/>
    <col min="5643" max="5643" width="11.90625" bestFit="1" customWidth="1"/>
    <col min="5645" max="5645" width="12.7265625" bestFit="1" customWidth="1"/>
    <col min="5666" max="5666" width="8.26953125" customWidth="1"/>
    <col min="5899" max="5899" width="11.90625" bestFit="1" customWidth="1"/>
    <col min="5901" max="5901" width="12.7265625" bestFit="1" customWidth="1"/>
    <col min="5922" max="5922" width="8.26953125" customWidth="1"/>
    <col min="6155" max="6155" width="11.90625" bestFit="1" customWidth="1"/>
    <col min="6157" max="6157" width="12.7265625" bestFit="1" customWidth="1"/>
    <col min="6178" max="6178" width="8.26953125" customWidth="1"/>
    <col min="6411" max="6411" width="11.90625" bestFit="1" customWidth="1"/>
    <col min="6413" max="6413" width="12.7265625" bestFit="1" customWidth="1"/>
    <col min="6434" max="6434" width="8.26953125" customWidth="1"/>
    <col min="6667" max="6667" width="11.90625" bestFit="1" customWidth="1"/>
    <col min="6669" max="6669" width="12.7265625" bestFit="1" customWidth="1"/>
    <col min="6690" max="6690" width="8.26953125" customWidth="1"/>
    <col min="6923" max="6923" width="11.90625" bestFit="1" customWidth="1"/>
    <col min="6925" max="6925" width="12.7265625" bestFit="1" customWidth="1"/>
    <col min="6946" max="6946" width="8.26953125" customWidth="1"/>
    <col min="7179" max="7179" width="11.90625" bestFit="1" customWidth="1"/>
    <col min="7181" max="7181" width="12.7265625" bestFit="1" customWidth="1"/>
    <col min="7202" max="7202" width="8.26953125" customWidth="1"/>
    <col min="7435" max="7435" width="11.90625" bestFit="1" customWidth="1"/>
    <col min="7437" max="7437" width="12.7265625" bestFit="1" customWidth="1"/>
    <col min="7458" max="7458" width="8.26953125" customWidth="1"/>
    <col min="7691" max="7691" width="11.90625" bestFit="1" customWidth="1"/>
    <col min="7693" max="7693" width="12.7265625" bestFit="1" customWidth="1"/>
    <col min="7714" max="7714" width="8.26953125" customWidth="1"/>
    <col min="7947" max="7947" width="11.90625" bestFit="1" customWidth="1"/>
    <col min="7949" max="7949" width="12.7265625" bestFit="1" customWidth="1"/>
    <col min="7970" max="7970" width="8.26953125" customWidth="1"/>
    <col min="8203" max="8203" width="11.90625" bestFit="1" customWidth="1"/>
    <col min="8205" max="8205" width="12.7265625" bestFit="1" customWidth="1"/>
    <col min="8226" max="8226" width="8.26953125" customWidth="1"/>
    <col min="8459" max="8459" width="11.90625" bestFit="1" customWidth="1"/>
    <col min="8461" max="8461" width="12.7265625" bestFit="1" customWidth="1"/>
    <col min="8482" max="8482" width="8.26953125" customWidth="1"/>
    <col min="8715" max="8715" width="11.90625" bestFit="1" customWidth="1"/>
    <col min="8717" max="8717" width="12.7265625" bestFit="1" customWidth="1"/>
    <col min="8738" max="8738" width="8.26953125" customWidth="1"/>
    <col min="8971" max="8971" width="11.90625" bestFit="1" customWidth="1"/>
    <col min="8973" max="8973" width="12.7265625" bestFit="1" customWidth="1"/>
    <col min="8994" max="8994" width="8.26953125" customWidth="1"/>
    <col min="9227" max="9227" width="11.90625" bestFit="1" customWidth="1"/>
    <col min="9229" max="9229" width="12.7265625" bestFit="1" customWidth="1"/>
    <col min="9250" max="9250" width="8.26953125" customWidth="1"/>
    <col min="9483" max="9483" width="11.90625" bestFit="1" customWidth="1"/>
    <col min="9485" max="9485" width="12.7265625" bestFit="1" customWidth="1"/>
    <col min="9506" max="9506" width="8.26953125" customWidth="1"/>
    <col min="9739" max="9739" width="11.90625" bestFit="1" customWidth="1"/>
    <col min="9741" max="9741" width="12.7265625" bestFit="1" customWidth="1"/>
    <col min="9762" max="9762" width="8.26953125" customWidth="1"/>
    <col min="9995" max="9995" width="11.90625" bestFit="1" customWidth="1"/>
    <col min="9997" max="9997" width="12.7265625" bestFit="1" customWidth="1"/>
    <col min="10018" max="10018" width="8.26953125" customWidth="1"/>
    <col min="10251" max="10251" width="11.90625" bestFit="1" customWidth="1"/>
    <col min="10253" max="10253" width="12.7265625" bestFit="1" customWidth="1"/>
    <col min="10274" max="10274" width="8.26953125" customWidth="1"/>
    <col min="10507" max="10507" width="11.90625" bestFit="1" customWidth="1"/>
    <col min="10509" max="10509" width="12.7265625" bestFit="1" customWidth="1"/>
    <col min="10530" max="10530" width="8.26953125" customWidth="1"/>
    <col min="10763" max="10763" width="11.90625" bestFit="1" customWidth="1"/>
    <col min="10765" max="10765" width="12.7265625" bestFit="1" customWidth="1"/>
    <col min="10786" max="10786" width="8.26953125" customWidth="1"/>
    <col min="11019" max="11019" width="11.90625" bestFit="1" customWidth="1"/>
    <col min="11021" max="11021" width="12.7265625" bestFit="1" customWidth="1"/>
    <col min="11042" max="11042" width="8.26953125" customWidth="1"/>
    <col min="11275" max="11275" width="11.90625" bestFit="1" customWidth="1"/>
    <col min="11277" max="11277" width="12.7265625" bestFit="1" customWidth="1"/>
    <col min="11298" max="11298" width="8.26953125" customWidth="1"/>
    <col min="11531" max="11531" width="11.90625" bestFit="1" customWidth="1"/>
    <col min="11533" max="11533" width="12.7265625" bestFit="1" customWidth="1"/>
    <col min="11554" max="11554" width="8.26953125" customWidth="1"/>
    <col min="11787" max="11787" width="11.90625" bestFit="1" customWidth="1"/>
    <col min="11789" max="11789" width="12.7265625" bestFit="1" customWidth="1"/>
    <col min="11810" max="11810" width="8.26953125" customWidth="1"/>
    <col min="12043" max="12043" width="11.90625" bestFit="1" customWidth="1"/>
    <col min="12045" max="12045" width="12.7265625" bestFit="1" customWidth="1"/>
    <col min="12066" max="12066" width="8.26953125" customWidth="1"/>
    <col min="12299" max="12299" width="11.90625" bestFit="1" customWidth="1"/>
    <col min="12301" max="12301" width="12.7265625" bestFit="1" customWidth="1"/>
    <col min="12322" max="12322" width="8.26953125" customWidth="1"/>
    <col min="12555" max="12555" width="11.90625" bestFit="1" customWidth="1"/>
    <col min="12557" max="12557" width="12.7265625" bestFit="1" customWidth="1"/>
    <col min="12578" max="12578" width="8.26953125" customWidth="1"/>
    <col min="12811" max="12811" width="11.90625" bestFit="1" customWidth="1"/>
    <col min="12813" max="12813" width="12.7265625" bestFit="1" customWidth="1"/>
    <col min="12834" max="12834" width="8.26953125" customWidth="1"/>
    <col min="13067" max="13067" width="11.90625" bestFit="1" customWidth="1"/>
    <col min="13069" max="13069" width="12.7265625" bestFit="1" customWidth="1"/>
    <col min="13090" max="13090" width="8.26953125" customWidth="1"/>
    <col min="13323" max="13323" width="11.90625" bestFit="1" customWidth="1"/>
    <col min="13325" max="13325" width="12.7265625" bestFit="1" customWidth="1"/>
    <col min="13346" max="13346" width="8.26953125" customWidth="1"/>
    <col min="13579" max="13579" width="11.90625" bestFit="1" customWidth="1"/>
    <col min="13581" max="13581" width="12.7265625" bestFit="1" customWidth="1"/>
    <col min="13602" max="13602" width="8.26953125" customWidth="1"/>
    <col min="13835" max="13835" width="11.90625" bestFit="1" customWidth="1"/>
    <col min="13837" max="13837" width="12.7265625" bestFit="1" customWidth="1"/>
    <col min="13858" max="13858" width="8.26953125" customWidth="1"/>
    <col min="14091" max="14091" width="11.90625" bestFit="1" customWidth="1"/>
    <col min="14093" max="14093" width="12.7265625" bestFit="1" customWidth="1"/>
    <col min="14114" max="14114" width="8.26953125" customWidth="1"/>
    <col min="14347" max="14347" width="11.90625" bestFit="1" customWidth="1"/>
    <col min="14349" max="14349" width="12.7265625" bestFit="1" customWidth="1"/>
    <col min="14370" max="14370" width="8.26953125" customWidth="1"/>
    <col min="14603" max="14603" width="11.90625" bestFit="1" customWidth="1"/>
    <col min="14605" max="14605" width="12.7265625" bestFit="1" customWidth="1"/>
    <col min="14626" max="14626" width="8.26953125" customWidth="1"/>
    <col min="14859" max="14859" width="11.90625" bestFit="1" customWidth="1"/>
    <col min="14861" max="14861" width="12.7265625" bestFit="1" customWidth="1"/>
    <col min="14882" max="14882" width="8.26953125" customWidth="1"/>
    <col min="15115" max="15115" width="11.90625" bestFit="1" customWidth="1"/>
    <col min="15117" max="15117" width="12.7265625" bestFit="1" customWidth="1"/>
    <col min="15138" max="15138" width="8.26953125" customWidth="1"/>
    <col min="15371" max="15371" width="11.90625" bestFit="1" customWidth="1"/>
    <col min="15373" max="15373" width="12.7265625" bestFit="1" customWidth="1"/>
    <col min="15394" max="15394" width="8.26953125" customWidth="1"/>
    <col min="15627" max="15627" width="11.90625" bestFit="1" customWidth="1"/>
    <col min="15629" max="15629" width="12.7265625" bestFit="1" customWidth="1"/>
    <col min="15650" max="15650" width="8.26953125" customWidth="1"/>
    <col min="15883" max="15883" width="11.90625" bestFit="1" customWidth="1"/>
    <col min="15885" max="15885" width="12.7265625" bestFit="1" customWidth="1"/>
    <col min="15906" max="15906" width="8.26953125" customWidth="1"/>
    <col min="16139" max="16139" width="11.90625" bestFit="1" customWidth="1"/>
    <col min="16141" max="16141" width="12.7265625" bestFit="1" customWidth="1"/>
    <col min="16162" max="16162" width="8.26953125" customWidth="1"/>
  </cols>
  <sheetData>
    <row r="1" spans="9:55" x14ac:dyDescent="0.35">
      <c r="U1" t="s">
        <v>82</v>
      </c>
      <c r="V1" t="s">
        <v>83</v>
      </c>
      <c r="W1" t="s">
        <v>84</v>
      </c>
      <c r="X1" t="s">
        <v>85</v>
      </c>
      <c r="Y1" t="s">
        <v>86</v>
      </c>
      <c r="Z1" t="s">
        <v>87</v>
      </c>
      <c r="AB1" t="s">
        <v>82</v>
      </c>
      <c r="AC1" t="s">
        <v>83</v>
      </c>
      <c r="AD1" t="s">
        <v>84</v>
      </c>
      <c r="AE1" t="s">
        <v>88</v>
      </c>
      <c r="AF1" t="s">
        <v>89</v>
      </c>
      <c r="AG1" t="s">
        <v>87</v>
      </c>
    </row>
    <row r="2" spans="9:55" x14ac:dyDescent="0.35">
      <c r="J2" t="s">
        <v>90</v>
      </c>
      <c r="U2">
        <v>-35.4527</v>
      </c>
      <c r="V2">
        <v>-82.723100000000002</v>
      </c>
      <c r="W2">
        <v>1</v>
      </c>
      <c r="X2">
        <v>1917.31</v>
      </c>
      <c r="Y2">
        <v>870.38</v>
      </c>
      <c r="Z2" s="106">
        <f>(X2-Y2)*3</f>
        <v>3140.7899999999995</v>
      </c>
      <c r="AB2">
        <v>-35.4527</v>
      </c>
      <c r="AC2">
        <v>-82.723100000000002</v>
      </c>
      <c r="AD2">
        <v>1</v>
      </c>
      <c r="AE2">
        <v>1965.91</v>
      </c>
      <c r="AF2">
        <v>945.27</v>
      </c>
      <c r="AG2" s="106">
        <f>(AE2-AF2)*3</f>
        <v>3061.92</v>
      </c>
      <c r="AI2" t="s">
        <v>82</v>
      </c>
      <c r="AJ2" t="s">
        <v>83</v>
      </c>
      <c r="AK2" t="s">
        <v>84</v>
      </c>
      <c r="AL2" t="s">
        <v>88</v>
      </c>
      <c r="AM2" t="s">
        <v>89</v>
      </c>
      <c r="AN2" t="s">
        <v>87</v>
      </c>
      <c r="AQ2" t="s">
        <v>82</v>
      </c>
      <c r="AR2" t="s">
        <v>83</v>
      </c>
      <c r="AS2" t="s">
        <v>84</v>
      </c>
      <c r="AT2" t="s">
        <v>88</v>
      </c>
      <c r="AU2" t="s">
        <v>89</v>
      </c>
      <c r="AV2" t="s">
        <v>87</v>
      </c>
      <c r="AX2" t="s">
        <v>82</v>
      </c>
      <c r="AY2" t="s">
        <v>83</v>
      </c>
      <c r="AZ2" t="s">
        <v>84</v>
      </c>
      <c r="BA2" t="s">
        <v>88</v>
      </c>
      <c r="BB2" t="s">
        <v>89</v>
      </c>
      <c r="BC2" t="s">
        <v>87</v>
      </c>
    </row>
    <row r="3" spans="9:55" x14ac:dyDescent="0.35">
      <c r="J3" t="s">
        <v>91</v>
      </c>
      <c r="L3" t="s">
        <v>92</v>
      </c>
      <c r="N3" t="s">
        <v>93</v>
      </c>
      <c r="U3">
        <v>-11.817600000000001</v>
      </c>
      <c r="V3">
        <v>-82.723100000000002</v>
      </c>
      <c r="W3">
        <v>2</v>
      </c>
      <c r="X3">
        <v>1911.46</v>
      </c>
      <c r="Y3">
        <v>862.04</v>
      </c>
      <c r="Z3" s="106">
        <f t="shared" ref="Z3:Z53" si="0">(X3-Y3)*3</f>
        <v>3148.26</v>
      </c>
      <c r="AB3">
        <v>-11.817600000000001</v>
      </c>
      <c r="AC3">
        <v>-82.723100000000002</v>
      </c>
      <c r="AD3">
        <v>2</v>
      </c>
      <c r="AE3">
        <v>1961.65</v>
      </c>
      <c r="AF3">
        <v>939.55</v>
      </c>
      <c r="AG3" s="106">
        <f t="shared" ref="AG3:AG53" si="1">(AE3-AF3)*3</f>
        <v>3066.3</v>
      </c>
      <c r="AI3">
        <v>-35.4527</v>
      </c>
      <c r="AJ3">
        <v>-82.723100000000002</v>
      </c>
      <c r="AK3">
        <v>1</v>
      </c>
      <c r="AL3">
        <v>1918.88</v>
      </c>
      <c r="AM3">
        <v>876.42</v>
      </c>
      <c r="AN3" s="106">
        <f t="shared" ref="AN3:AN53" si="2">(AL4-AM4)*3</f>
        <v>3147.7200000000003</v>
      </c>
      <c r="AQ3">
        <v>-35.4527</v>
      </c>
      <c r="AR3">
        <v>-82.723100000000002</v>
      </c>
      <c r="AS3">
        <v>1</v>
      </c>
      <c r="AT3">
        <v>1918.88</v>
      </c>
      <c r="AU3">
        <v>869.82</v>
      </c>
      <c r="AV3">
        <f>(AT3-AU3)*3</f>
        <v>3147.18</v>
      </c>
      <c r="AX3">
        <v>-35.4527</v>
      </c>
      <c r="AY3">
        <v>-82.723100000000002</v>
      </c>
      <c r="AZ3">
        <v>1</v>
      </c>
      <c r="BA3">
        <v>1920.33</v>
      </c>
      <c r="BB3">
        <v>899.32</v>
      </c>
      <c r="BC3">
        <f>(BA3-BB3)*3</f>
        <v>3063.0299999999997</v>
      </c>
    </row>
    <row r="4" spans="9:55" x14ac:dyDescent="0.35">
      <c r="J4" t="s">
        <v>94</v>
      </c>
      <c r="K4" t="s">
        <v>95</v>
      </c>
      <c r="L4" t="s">
        <v>94</v>
      </c>
      <c r="M4" t="s">
        <v>95</v>
      </c>
      <c r="U4">
        <v>11.817600000000001</v>
      </c>
      <c r="V4">
        <v>-82.723100000000002</v>
      </c>
      <c r="W4">
        <v>3</v>
      </c>
      <c r="X4">
        <v>1912.45</v>
      </c>
      <c r="Y4">
        <v>863.47</v>
      </c>
      <c r="Z4" s="106">
        <f t="shared" si="0"/>
        <v>3146.94</v>
      </c>
      <c r="AB4">
        <v>11.817600000000001</v>
      </c>
      <c r="AC4">
        <v>-82.723100000000002</v>
      </c>
      <c r="AD4">
        <v>3</v>
      </c>
      <c r="AE4">
        <v>1962.15</v>
      </c>
      <c r="AF4">
        <v>942.41</v>
      </c>
      <c r="AG4" s="106">
        <f t="shared" si="1"/>
        <v>3059.2200000000003</v>
      </c>
      <c r="AI4">
        <v>-11.817600000000001</v>
      </c>
      <c r="AJ4">
        <v>-82.723100000000002</v>
      </c>
      <c r="AK4">
        <v>2</v>
      </c>
      <c r="AL4">
        <v>1916.23</v>
      </c>
      <c r="AM4">
        <v>866.99</v>
      </c>
      <c r="AN4" s="106">
        <f t="shared" si="2"/>
        <v>3145.9500000000003</v>
      </c>
      <c r="AQ4">
        <v>-11.817600000000001</v>
      </c>
      <c r="AR4">
        <v>-82.723100000000002</v>
      </c>
      <c r="AS4">
        <v>2</v>
      </c>
      <c r="AT4">
        <v>1916.23</v>
      </c>
      <c r="AU4">
        <v>859.34</v>
      </c>
      <c r="AV4">
        <f t="shared" ref="AV4:AV54" si="3">(AT4-AU4)*3</f>
        <v>3170.6699999999996</v>
      </c>
      <c r="AX4">
        <v>-11.817600000000001</v>
      </c>
      <c r="AY4">
        <v>-82.723100000000002</v>
      </c>
      <c r="AZ4">
        <v>2</v>
      </c>
      <c r="BA4">
        <v>1914.8</v>
      </c>
      <c r="BB4">
        <v>889.86</v>
      </c>
      <c r="BC4">
        <f t="shared" ref="BC4:BC54" si="4">(BA4-BB4)*3</f>
        <v>3074.82</v>
      </c>
    </row>
    <row r="5" spans="9:55" x14ac:dyDescent="0.35">
      <c r="I5" t="s">
        <v>96</v>
      </c>
      <c r="J5" s="106">
        <v>516</v>
      </c>
      <c r="K5">
        <v>929</v>
      </c>
      <c r="L5" s="106">
        <v>589</v>
      </c>
      <c r="M5">
        <v>1180</v>
      </c>
      <c r="U5">
        <v>35.4527</v>
      </c>
      <c r="V5">
        <v>-82.723100000000002</v>
      </c>
      <c r="W5">
        <v>4</v>
      </c>
      <c r="X5">
        <v>1915.8</v>
      </c>
      <c r="Y5">
        <v>869.12</v>
      </c>
      <c r="Z5" s="106">
        <f t="shared" si="0"/>
        <v>3140.0399999999995</v>
      </c>
      <c r="AB5">
        <v>35.4527</v>
      </c>
      <c r="AC5">
        <v>-82.723100000000002</v>
      </c>
      <c r="AD5">
        <v>4</v>
      </c>
      <c r="AE5">
        <v>1968.61</v>
      </c>
      <c r="AF5">
        <v>951.68</v>
      </c>
      <c r="AG5" s="106">
        <f t="shared" si="1"/>
        <v>3050.79</v>
      </c>
      <c r="AI5">
        <v>11.817600000000001</v>
      </c>
      <c r="AJ5">
        <v>-82.723100000000002</v>
      </c>
      <c r="AK5">
        <v>3</v>
      </c>
      <c r="AL5">
        <v>1916.44</v>
      </c>
      <c r="AM5">
        <v>867.79</v>
      </c>
      <c r="AN5" s="106">
        <f t="shared" si="2"/>
        <v>3109.3500000000004</v>
      </c>
      <c r="AQ5">
        <v>11.817600000000001</v>
      </c>
      <c r="AR5">
        <v>-82.723100000000002</v>
      </c>
      <c r="AS5">
        <v>3</v>
      </c>
      <c r="AT5">
        <v>1916.44</v>
      </c>
      <c r="AU5">
        <v>859.95</v>
      </c>
      <c r="AV5">
        <f t="shared" si="3"/>
        <v>3169.4700000000003</v>
      </c>
      <c r="AX5">
        <v>11.817600000000001</v>
      </c>
      <c r="AY5">
        <v>-82.723100000000002</v>
      </c>
      <c r="AZ5">
        <v>3</v>
      </c>
      <c r="BA5">
        <v>1915.21</v>
      </c>
      <c r="BB5">
        <v>892.55</v>
      </c>
      <c r="BC5">
        <f t="shared" si="4"/>
        <v>3067.9800000000005</v>
      </c>
    </row>
    <row r="6" spans="9:55" x14ac:dyDescent="0.35">
      <c r="K6">
        <f>J5+K5</f>
        <v>1445</v>
      </c>
      <c r="L6">
        <f>L5+M5</f>
        <v>1769</v>
      </c>
      <c r="U6">
        <v>59.087899999999998</v>
      </c>
      <c r="V6">
        <v>-59.087899999999998</v>
      </c>
      <c r="W6">
        <v>5</v>
      </c>
      <c r="X6">
        <v>1911.7</v>
      </c>
      <c r="Y6">
        <v>866.12</v>
      </c>
      <c r="Z6" s="106">
        <f t="shared" si="0"/>
        <v>3136.74</v>
      </c>
      <c r="AB6">
        <v>59.087899999999998</v>
      </c>
      <c r="AC6">
        <v>-59.087899999999998</v>
      </c>
      <c r="AD6">
        <v>5</v>
      </c>
      <c r="AE6">
        <v>1962.1</v>
      </c>
      <c r="AF6">
        <v>948.16</v>
      </c>
      <c r="AG6" s="106">
        <f t="shared" si="1"/>
        <v>3041.8199999999997</v>
      </c>
      <c r="AI6">
        <v>35.4527</v>
      </c>
      <c r="AJ6">
        <v>-82.723100000000002</v>
      </c>
      <c r="AK6">
        <v>4</v>
      </c>
      <c r="AL6">
        <v>1918.71</v>
      </c>
      <c r="AM6">
        <v>882.26</v>
      </c>
      <c r="AN6" s="106">
        <f t="shared" si="2"/>
        <v>3123.99</v>
      </c>
      <c r="AQ6">
        <v>35.4527</v>
      </c>
      <c r="AR6">
        <v>-82.723100000000002</v>
      </c>
      <c r="AS6">
        <v>4</v>
      </c>
      <c r="AT6">
        <v>1918.71</v>
      </c>
      <c r="AU6">
        <v>871.29</v>
      </c>
      <c r="AV6">
        <f t="shared" si="3"/>
        <v>3142.26</v>
      </c>
      <c r="AX6">
        <v>35.4527</v>
      </c>
      <c r="AY6">
        <v>-82.723100000000002</v>
      </c>
      <c r="AZ6">
        <v>4</v>
      </c>
      <c r="BA6">
        <v>1917.95</v>
      </c>
      <c r="BB6">
        <v>903.39</v>
      </c>
      <c r="BC6">
        <f t="shared" si="4"/>
        <v>3043.6800000000003</v>
      </c>
    </row>
    <row r="7" spans="9:55" x14ac:dyDescent="0.35">
      <c r="U7">
        <v>35.4527</v>
      </c>
      <c r="V7">
        <v>-59.087899999999998</v>
      </c>
      <c r="W7">
        <v>6</v>
      </c>
      <c r="X7">
        <v>1914.48</v>
      </c>
      <c r="Y7">
        <v>862.99</v>
      </c>
      <c r="Z7" s="106">
        <f t="shared" si="0"/>
        <v>3154.4700000000003</v>
      </c>
      <c r="AB7">
        <v>35.4527</v>
      </c>
      <c r="AC7">
        <v>-59.087899999999998</v>
      </c>
      <c r="AD7">
        <v>6</v>
      </c>
      <c r="AE7">
        <v>1960.45</v>
      </c>
      <c r="AF7">
        <v>937.95</v>
      </c>
      <c r="AG7" s="106">
        <f t="shared" si="1"/>
        <v>3067.5</v>
      </c>
      <c r="AI7">
        <v>59.087899999999998</v>
      </c>
      <c r="AJ7">
        <v>-59.087899999999998</v>
      </c>
      <c r="AK7">
        <v>5</v>
      </c>
      <c r="AL7">
        <v>1914.91</v>
      </c>
      <c r="AM7">
        <v>873.58</v>
      </c>
      <c r="AN7" s="106">
        <f t="shared" si="2"/>
        <v>3176.31</v>
      </c>
      <c r="AQ7">
        <v>59.087899999999998</v>
      </c>
      <c r="AR7">
        <v>-59.087899999999998</v>
      </c>
      <c r="AS7">
        <v>5</v>
      </c>
      <c r="AT7">
        <v>1914.91</v>
      </c>
      <c r="AU7">
        <v>868.52</v>
      </c>
      <c r="AV7">
        <f t="shared" si="3"/>
        <v>3139.17</v>
      </c>
      <c r="AX7">
        <v>59.087899999999998</v>
      </c>
      <c r="AY7">
        <v>-59.087899999999998</v>
      </c>
      <c r="AZ7">
        <v>5</v>
      </c>
      <c r="BA7">
        <v>1918.45</v>
      </c>
      <c r="BB7">
        <v>899.02</v>
      </c>
      <c r="BC7">
        <f t="shared" si="4"/>
        <v>3058.29</v>
      </c>
    </row>
    <row r="8" spans="9:55" x14ac:dyDescent="0.35">
      <c r="U8">
        <v>11.817600000000001</v>
      </c>
      <c r="V8">
        <v>-59.087899999999998</v>
      </c>
      <c r="W8">
        <v>7</v>
      </c>
      <c r="X8">
        <v>1911.13</v>
      </c>
      <c r="Y8">
        <v>864.05</v>
      </c>
      <c r="Z8" s="106">
        <f t="shared" si="0"/>
        <v>3141.2400000000007</v>
      </c>
      <c r="AB8">
        <v>11.817600000000001</v>
      </c>
      <c r="AC8">
        <v>-59.087899999999998</v>
      </c>
      <c r="AD8">
        <v>7</v>
      </c>
      <c r="AE8">
        <v>1962.49</v>
      </c>
      <c r="AF8">
        <v>937.99</v>
      </c>
      <c r="AG8" s="106">
        <f t="shared" si="1"/>
        <v>3073.5</v>
      </c>
      <c r="AI8">
        <v>35.4527</v>
      </c>
      <c r="AJ8">
        <v>-59.087899999999998</v>
      </c>
      <c r="AK8">
        <v>6</v>
      </c>
      <c r="AL8">
        <v>1912.94</v>
      </c>
      <c r="AM8">
        <v>854.17</v>
      </c>
      <c r="AN8" s="106">
        <f t="shared" si="2"/>
        <v>3188.04</v>
      </c>
      <c r="AQ8">
        <v>35.4527</v>
      </c>
      <c r="AR8">
        <v>-59.087899999999998</v>
      </c>
      <c r="AS8">
        <v>6</v>
      </c>
      <c r="AT8">
        <v>1912.94</v>
      </c>
      <c r="AU8">
        <v>852.46</v>
      </c>
      <c r="AV8">
        <f t="shared" si="3"/>
        <v>3181.44</v>
      </c>
      <c r="AX8">
        <v>35.4527</v>
      </c>
      <c r="AY8">
        <v>-59.087899999999998</v>
      </c>
      <c r="AZ8">
        <v>6</v>
      </c>
      <c r="BA8">
        <v>1911.07</v>
      </c>
      <c r="BB8">
        <v>882.01</v>
      </c>
      <c r="BC8">
        <f t="shared" si="4"/>
        <v>3087.18</v>
      </c>
    </row>
    <row r="9" spans="9:55" x14ac:dyDescent="0.35">
      <c r="I9" t="s">
        <v>97</v>
      </c>
      <c r="J9" s="106">
        <v>1709</v>
      </c>
      <c r="L9" s="106">
        <v>1690</v>
      </c>
      <c r="U9">
        <v>-11.817600000000001</v>
      </c>
      <c r="V9">
        <v>-59.087899999999998</v>
      </c>
      <c r="W9">
        <v>8</v>
      </c>
      <c r="X9">
        <v>1912.56</v>
      </c>
      <c r="Y9">
        <v>864.37</v>
      </c>
      <c r="Z9" s="106">
        <f t="shared" si="0"/>
        <v>3144.57</v>
      </c>
      <c r="AB9">
        <v>-11.817600000000001</v>
      </c>
      <c r="AC9">
        <v>-59.087899999999998</v>
      </c>
      <c r="AD9">
        <v>8</v>
      </c>
      <c r="AE9">
        <v>1959.92</v>
      </c>
      <c r="AF9">
        <v>934.7</v>
      </c>
      <c r="AG9" s="106">
        <f t="shared" si="1"/>
        <v>3075.66</v>
      </c>
      <c r="AI9">
        <v>11.817600000000001</v>
      </c>
      <c r="AJ9">
        <v>-59.087899999999998</v>
      </c>
      <c r="AK9">
        <v>7</v>
      </c>
      <c r="AL9">
        <v>1914.16</v>
      </c>
      <c r="AM9">
        <v>851.48</v>
      </c>
      <c r="AN9" s="106">
        <f t="shared" si="2"/>
        <v>3188.7300000000005</v>
      </c>
      <c r="AQ9">
        <v>11.817600000000001</v>
      </c>
      <c r="AR9">
        <v>-59.087899999999998</v>
      </c>
      <c r="AS9">
        <v>7</v>
      </c>
      <c r="AT9">
        <v>1914.16</v>
      </c>
      <c r="AU9">
        <v>850.7</v>
      </c>
      <c r="AV9">
        <f t="shared" si="3"/>
        <v>3190.38</v>
      </c>
      <c r="AX9">
        <v>11.817600000000001</v>
      </c>
      <c r="AY9">
        <v>-59.087899999999998</v>
      </c>
      <c r="AZ9">
        <v>7</v>
      </c>
      <c r="BA9">
        <v>1911.07</v>
      </c>
      <c r="BB9">
        <v>879.28</v>
      </c>
      <c r="BC9">
        <f t="shared" si="4"/>
        <v>3095.37</v>
      </c>
    </row>
    <row r="10" spans="9:55" x14ac:dyDescent="0.35">
      <c r="U10">
        <v>-35.4527</v>
      </c>
      <c r="V10">
        <v>-59.087899999999998</v>
      </c>
      <c r="W10">
        <v>9</v>
      </c>
      <c r="X10">
        <v>1915.97</v>
      </c>
      <c r="Y10">
        <v>865.45</v>
      </c>
      <c r="Z10" s="106">
        <f t="shared" si="0"/>
        <v>3151.56</v>
      </c>
      <c r="AB10">
        <v>-35.4527</v>
      </c>
      <c r="AC10">
        <v>-59.087899999999998</v>
      </c>
      <c r="AD10">
        <v>9</v>
      </c>
      <c r="AE10">
        <v>1960.72</v>
      </c>
      <c r="AF10">
        <v>935.39</v>
      </c>
      <c r="AG10" s="106">
        <f t="shared" si="1"/>
        <v>3075.99</v>
      </c>
      <c r="AI10">
        <v>-11.817600000000001</v>
      </c>
      <c r="AJ10">
        <v>-59.087899999999998</v>
      </c>
      <c r="AK10">
        <v>8</v>
      </c>
      <c r="AL10">
        <v>1913.42</v>
      </c>
      <c r="AM10">
        <v>850.51</v>
      </c>
      <c r="AN10" s="106">
        <f t="shared" si="2"/>
        <v>3188.0399999999995</v>
      </c>
      <c r="AQ10">
        <v>-11.817600000000001</v>
      </c>
      <c r="AR10">
        <v>-59.087899999999998</v>
      </c>
      <c r="AS10">
        <v>8</v>
      </c>
      <c r="AT10">
        <v>1913.42</v>
      </c>
      <c r="AU10">
        <v>848.66</v>
      </c>
      <c r="AV10">
        <f t="shared" si="3"/>
        <v>3194.2800000000007</v>
      </c>
      <c r="AX10">
        <v>-11.817600000000001</v>
      </c>
      <c r="AY10">
        <v>-59.087899999999998</v>
      </c>
      <c r="AZ10">
        <v>8</v>
      </c>
      <c r="BA10">
        <v>1911.9</v>
      </c>
      <c r="BB10">
        <v>879.36</v>
      </c>
      <c r="BC10">
        <f t="shared" si="4"/>
        <v>3097.62</v>
      </c>
    </row>
    <row r="11" spans="9:55" x14ac:dyDescent="0.35">
      <c r="U11">
        <v>-59.087899999999998</v>
      </c>
      <c r="V11">
        <v>-59.087899999999998</v>
      </c>
      <c r="W11">
        <v>10</v>
      </c>
      <c r="X11">
        <v>1916.91</v>
      </c>
      <c r="Y11">
        <v>868.6</v>
      </c>
      <c r="Z11" s="106">
        <f t="shared" si="0"/>
        <v>3144.93</v>
      </c>
      <c r="AB11">
        <v>-59.087899999999998</v>
      </c>
      <c r="AC11">
        <v>-59.087899999999998</v>
      </c>
      <c r="AD11">
        <v>10</v>
      </c>
      <c r="AE11">
        <v>1963.08</v>
      </c>
      <c r="AF11">
        <v>941.73</v>
      </c>
      <c r="AG11" s="106">
        <f t="shared" si="1"/>
        <v>3064.0499999999997</v>
      </c>
      <c r="AI11">
        <v>-35.4527</v>
      </c>
      <c r="AJ11">
        <v>-59.087899999999998</v>
      </c>
      <c r="AK11">
        <v>9</v>
      </c>
      <c r="AL11">
        <v>1917.53</v>
      </c>
      <c r="AM11">
        <v>854.85</v>
      </c>
      <c r="AN11" s="106">
        <f t="shared" si="2"/>
        <v>3138.0900000000006</v>
      </c>
      <c r="AQ11">
        <v>-35.4527</v>
      </c>
      <c r="AR11">
        <v>-59.087899999999998</v>
      </c>
      <c r="AS11">
        <v>9</v>
      </c>
      <c r="AT11">
        <v>1917.53</v>
      </c>
      <c r="AU11">
        <v>852.2</v>
      </c>
      <c r="AV11">
        <f t="shared" si="3"/>
        <v>3195.99</v>
      </c>
      <c r="AX11">
        <v>-35.4527</v>
      </c>
      <c r="AY11">
        <v>-59.087899999999998</v>
      </c>
      <c r="AZ11">
        <v>9</v>
      </c>
      <c r="BA11">
        <v>1911.19</v>
      </c>
      <c r="BB11">
        <v>882.53</v>
      </c>
      <c r="BC11">
        <f t="shared" si="4"/>
        <v>3085.9800000000005</v>
      </c>
    </row>
    <row r="12" spans="9:55" x14ac:dyDescent="0.35">
      <c r="U12">
        <v>-82.723100000000002</v>
      </c>
      <c r="V12">
        <v>-35.4527</v>
      </c>
      <c r="W12">
        <v>11</v>
      </c>
      <c r="X12">
        <v>1918.67</v>
      </c>
      <c r="Y12">
        <v>884.76</v>
      </c>
      <c r="Z12" s="106">
        <f t="shared" si="0"/>
        <v>3101.7300000000005</v>
      </c>
      <c r="AB12">
        <v>-82.723100000000002</v>
      </c>
      <c r="AC12">
        <v>-35.4527</v>
      </c>
      <c r="AD12">
        <v>11</v>
      </c>
      <c r="AE12">
        <v>1964.23</v>
      </c>
      <c r="AF12">
        <v>957.08</v>
      </c>
      <c r="AG12" s="106">
        <f t="shared" si="1"/>
        <v>3021.45</v>
      </c>
      <c r="AI12">
        <v>-59.087899999999998</v>
      </c>
      <c r="AJ12">
        <v>-59.087899999999998</v>
      </c>
      <c r="AK12">
        <v>10</v>
      </c>
      <c r="AL12">
        <v>1915.9</v>
      </c>
      <c r="AM12">
        <v>869.87</v>
      </c>
      <c r="AN12" s="106">
        <f t="shared" si="2"/>
        <v>3087.12</v>
      </c>
      <c r="AQ12">
        <v>-59.087899999999998</v>
      </c>
      <c r="AR12">
        <v>-59.087899999999998</v>
      </c>
      <c r="AS12">
        <v>10</v>
      </c>
      <c r="AT12">
        <v>1915.9</v>
      </c>
      <c r="AU12">
        <v>863.56</v>
      </c>
      <c r="AV12">
        <f t="shared" si="3"/>
        <v>3157.0200000000004</v>
      </c>
      <c r="AX12">
        <v>-59.087899999999998</v>
      </c>
      <c r="AY12">
        <v>-59.087899999999998</v>
      </c>
      <c r="AZ12">
        <v>10</v>
      </c>
      <c r="BA12">
        <v>1915.27</v>
      </c>
      <c r="BB12">
        <v>895.11</v>
      </c>
      <c r="BC12">
        <f t="shared" si="4"/>
        <v>3060.48</v>
      </c>
    </row>
    <row r="13" spans="9:55" x14ac:dyDescent="0.35">
      <c r="U13">
        <v>-59.087899999999998</v>
      </c>
      <c r="V13">
        <v>-35.4527</v>
      </c>
      <c r="W13">
        <v>12</v>
      </c>
      <c r="X13">
        <v>1915.91</v>
      </c>
      <c r="Y13">
        <v>873.32</v>
      </c>
      <c r="Z13" s="106">
        <f t="shared" si="0"/>
        <v>3127.7700000000004</v>
      </c>
      <c r="AB13">
        <v>-59.087899999999998</v>
      </c>
      <c r="AC13">
        <v>-35.4527</v>
      </c>
      <c r="AD13">
        <v>12</v>
      </c>
      <c r="AE13">
        <v>1959.81</v>
      </c>
      <c r="AF13">
        <v>943.47</v>
      </c>
      <c r="AG13" s="106">
        <f t="shared" si="1"/>
        <v>3049.0199999999995</v>
      </c>
      <c r="AI13">
        <v>-82.723100000000002</v>
      </c>
      <c r="AJ13">
        <v>-35.4527</v>
      </c>
      <c r="AK13">
        <v>11</v>
      </c>
      <c r="AL13">
        <v>1921.47</v>
      </c>
      <c r="AM13">
        <v>892.43</v>
      </c>
      <c r="AN13" s="106">
        <f t="shared" si="2"/>
        <v>3156.87</v>
      </c>
      <c r="AQ13">
        <v>-82.723100000000002</v>
      </c>
      <c r="AR13">
        <v>-35.4527</v>
      </c>
      <c r="AS13">
        <v>11</v>
      </c>
      <c r="AT13">
        <v>1921.47</v>
      </c>
      <c r="AU13">
        <v>885.8</v>
      </c>
      <c r="AV13">
        <f t="shared" si="3"/>
        <v>3107.01</v>
      </c>
      <c r="AX13">
        <v>-82.723100000000002</v>
      </c>
      <c r="AY13">
        <v>-35.4527</v>
      </c>
      <c r="AZ13">
        <v>11</v>
      </c>
      <c r="BA13">
        <v>1919.64</v>
      </c>
      <c r="BB13">
        <v>914.57</v>
      </c>
      <c r="BC13">
        <f t="shared" si="4"/>
        <v>3015.21</v>
      </c>
    </row>
    <row r="14" spans="9:55" x14ac:dyDescent="0.35">
      <c r="U14">
        <v>-35.4527</v>
      </c>
      <c r="V14">
        <v>-35.4527</v>
      </c>
      <c r="W14">
        <v>13</v>
      </c>
      <c r="X14">
        <v>1913.54</v>
      </c>
      <c r="Y14">
        <v>871.89</v>
      </c>
      <c r="Z14" s="106">
        <f t="shared" si="0"/>
        <v>3124.9500000000003</v>
      </c>
      <c r="AB14">
        <v>-35.4527</v>
      </c>
      <c r="AC14">
        <v>-35.4527</v>
      </c>
      <c r="AD14">
        <v>13</v>
      </c>
      <c r="AE14">
        <v>1962.03</v>
      </c>
      <c r="AF14">
        <v>941.78</v>
      </c>
      <c r="AG14" s="106">
        <f t="shared" si="1"/>
        <v>3060.75</v>
      </c>
      <c r="AI14">
        <v>-59.087899999999998</v>
      </c>
      <c r="AJ14">
        <v>-35.4527</v>
      </c>
      <c r="AK14">
        <v>12</v>
      </c>
      <c r="AL14">
        <v>1918.4</v>
      </c>
      <c r="AM14">
        <v>866.11</v>
      </c>
      <c r="AN14" s="106">
        <f t="shared" si="2"/>
        <v>3161.6400000000003</v>
      </c>
      <c r="AQ14">
        <v>-59.087899999999998</v>
      </c>
      <c r="AR14">
        <v>-35.4527</v>
      </c>
      <c r="AS14">
        <v>12</v>
      </c>
      <c r="AT14">
        <v>1918.4</v>
      </c>
      <c r="AU14">
        <v>858.87</v>
      </c>
      <c r="AV14">
        <f t="shared" si="3"/>
        <v>3178.5900000000006</v>
      </c>
      <c r="AX14">
        <v>-59.087899999999998</v>
      </c>
      <c r="AY14">
        <v>-35.4527</v>
      </c>
      <c r="AZ14">
        <v>12</v>
      </c>
      <c r="BA14">
        <v>1912.85</v>
      </c>
      <c r="BB14">
        <v>892.62</v>
      </c>
      <c r="BC14">
        <f t="shared" si="4"/>
        <v>3060.6899999999996</v>
      </c>
    </row>
    <row r="15" spans="9:55" x14ac:dyDescent="0.35">
      <c r="U15">
        <v>-11.817600000000001</v>
      </c>
      <c r="V15">
        <v>-35.4527</v>
      </c>
      <c r="W15">
        <v>14</v>
      </c>
      <c r="X15">
        <v>1913.92</v>
      </c>
      <c r="Y15">
        <v>877.17</v>
      </c>
      <c r="Z15" s="106">
        <f t="shared" si="0"/>
        <v>3110.25</v>
      </c>
      <c r="AB15">
        <v>-11.817600000000001</v>
      </c>
      <c r="AC15">
        <v>-35.4527</v>
      </c>
      <c r="AD15">
        <v>14</v>
      </c>
      <c r="AE15">
        <v>1960.48</v>
      </c>
      <c r="AF15">
        <v>950.75</v>
      </c>
      <c r="AG15" s="106">
        <f t="shared" si="1"/>
        <v>3029.19</v>
      </c>
      <c r="AI15">
        <v>-35.4527</v>
      </c>
      <c r="AJ15">
        <v>-35.4527</v>
      </c>
      <c r="AK15">
        <v>13</v>
      </c>
      <c r="AL15">
        <v>1910.9</v>
      </c>
      <c r="AM15">
        <v>857.02</v>
      </c>
      <c r="AN15" s="106">
        <f t="shared" si="2"/>
        <v>3144</v>
      </c>
      <c r="AQ15">
        <v>-35.4527</v>
      </c>
      <c r="AR15">
        <v>-35.4527</v>
      </c>
      <c r="AS15">
        <v>13</v>
      </c>
      <c r="AT15">
        <v>1910.9</v>
      </c>
      <c r="AU15">
        <v>854.88</v>
      </c>
      <c r="AV15">
        <f t="shared" si="3"/>
        <v>3168.06</v>
      </c>
      <c r="AX15">
        <v>-35.4527</v>
      </c>
      <c r="AY15">
        <v>-35.4527</v>
      </c>
      <c r="AZ15">
        <v>13</v>
      </c>
      <c r="BA15">
        <v>1910.14</v>
      </c>
      <c r="BB15">
        <v>886.42</v>
      </c>
      <c r="BC15">
        <f t="shared" si="4"/>
        <v>3071.1600000000003</v>
      </c>
    </row>
    <row r="16" spans="9:55" x14ac:dyDescent="0.35">
      <c r="U16">
        <v>11.817600000000001</v>
      </c>
      <c r="V16">
        <v>-35.4527</v>
      </c>
      <c r="W16">
        <v>15</v>
      </c>
      <c r="X16">
        <v>1914.16</v>
      </c>
      <c r="Y16">
        <v>877.51</v>
      </c>
      <c r="Z16" s="106">
        <f t="shared" si="0"/>
        <v>3109.9500000000003</v>
      </c>
      <c r="AB16">
        <v>11.817600000000001</v>
      </c>
      <c r="AC16">
        <v>-35.4527</v>
      </c>
      <c r="AD16">
        <v>15</v>
      </c>
      <c r="AE16">
        <v>1960.73</v>
      </c>
      <c r="AF16">
        <v>949.91</v>
      </c>
      <c r="AG16" s="106">
        <f t="shared" si="1"/>
        <v>3032.46</v>
      </c>
      <c r="AI16">
        <v>-11.817600000000001</v>
      </c>
      <c r="AJ16">
        <v>-35.4527</v>
      </c>
      <c r="AK16">
        <v>14</v>
      </c>
      <c r="AL16">
        <v>1913.51</v>
      </c>
      <c r="AM16">
        <v>865.51</v>
      </c>
      <c r="AN16" s="106">
        <f t="shared" si="2"/>
        <v>3146.01</v>
      </c>
      <c r="AQ16">
        <v>-11.817600000000001</v>
      </c>
      <c r="AR16">
        <v>-35.4527</v>
      </c>
      <c r="AS16">
        <v>14</v>
      </c>
      <c r="AT16">
        <v>1913.51</v>
      </c>
      <c r="AU16">
        <v>858.75</v>
      </c>
      <c r="AV16">
        <f t="shared" si="3"/>
        <v>3164.2799999999997</v>
      </c>
      <c r="AX16">
        <v>-11.817600000000001</v>
      </c>
      <c r="AY16">
        <v>-35.4527</v>
      </c>
      <c r="AZ16">
        <v>14</v>
      </c>
      <c r="BA16">
        <v>1911.33</v>
      </c>
      <c r="BB16">
        <v>891.99</v>
      </c>
      <c r="BC16">
        <f t="shared" si="4"/>
        <v>3058.0199999999995</v>
      </c>
    </row>
    <row r="17" spans="21:55" x14ac:dyDescent="0.35">
      <c r="U17">
        <v>35.4527</v>
      </c>
      <c r="V17">
        <v>-35.4527</v>
      </c>
      <c r="W17">
        <v>16</v>
      </c>
      <c r="X17">
        <v>1909.62</v>
      </c>
      <c r="Y17">
        <v>867.85</v>
      </c>
      <c r="Z17" s="106">
        <f t="shared" si="0"/>
        <v>3125.31</v>
      </c>
      <c r="AB17">
        <v>35.4527</v>
      </c>
      <c r="AC17">
        <v>-35.4527</v>
      </c>
      <c r="AD17">
        <v>16</v>
      </c>
      <c r="AE17">
        <v>1961.55</v>
      </c>
      <c r="AF17">
        <v>938.72</v>
      </c>
      <c r="AG17" s="106">
        <f t="shared" si="1"/>
        <v>3068.49</v>
      </c>
      <c r="AI17">
        <v>11.817600000000001</v>
      </c>
      <c r="AJ17">
        <v>-35.4527</v>
      </c>
      <c r="AK17">
        <v>15</v>
      </c>
      <c r="AL17">
        <v>1912.19</v>
      </c>
      <c r="AM17">
        <v>863.52</v>
      </c>
      <c r="AN17" s="106">
        <f t="shared" si="2"/>
        <v>3176.8500000000008</v>
      </c>
      <c r="AQ17">
        <v>11.817600000000001</v>
      </c>
      <c r="AR17">
        <v>-35.4527</v>
      </c>
      <c r="AS17">
        <v>15</v>
      </c>
      <c r="AT17">
        <v>1912.19</v>
      </c>
      <c r="AU17">
        <v>858.05</v>
      </c>
      <c r="AV17">
        <f t="shared" si="3"/>
        <v>3162.42</v>
      </c>
      <c r="AX17">
        <v>11.817600000000001</v>
      </c>
      <c r="AY17">
        <v>-35.4527</v>
      </c>
      <c r="AZ17">
        <v>15</v>
      </c>
      <c r="BA17">
        <v>1909.37</v>
      </c>
      <c r="BB17">
        <v>890.54</v>
      </c>
      <c r="BC17">
        <f t="shared" si="4"/>
        <v>3056.49</v>
      </c>
    </row>
    <row r="18" spans="21:55" x14ac:dyDescent="0.35">
      <c r="U18">
        <v>59.087899999999998</v>
      </c>
      <c r="V18">
        <v>-35.4527</v>
      </c>
      <c r="W18">
        <v>17</v>
      </c>
      <c r="X18">
        <v>1914.99</v>
      </c>
      <c r="Y18">
        <v>865.83</v>
      </c>
      <c r="Z18" s="106">
        <f t="shared" si="0"/>
        <v>3147.4799999999996</v>
      </c>
      <c r="AB18">
        <v>59.087899999999998</v>
      </c>
      <c r="AC18">
        <v>-35.4527</v>
      </c>
      <c r="AD18">
        <v>17</v>
      </c>
      <c r="AE18">
        <v>1960.86</v>
      </c>
      <c r="AF18">
        <v>945.17</v>
      </c>
      <c r="AG18" s="106">
        <f t="shared" si="1"/>
        <v>3047.0699999999997</v>
      </c>
      <c r="AI18">
        <v>35.4527</v>
      </c>
      <c r="AJ18">
        <v>-35.4527</v>
      </c>
      <c r="AK18">
        <v>16</v>
      </c>
      <c r="AL18">
        <v>1911.38</v>
      </c>
      <c r="AM18">
        <v>852.43</v>
      </c>
      <c r="AN18" s="106">
        <f t="shared" si="2"/>
        <v>3154.4700000000003</v>
      </c>
      <c r="AQ18">
        <v>35.4527</v>
      </c>
      <c r="AR18">
        <v>-35.4527</v>
      </c>
      <c r="AS18">
        <v>16</v>
      </c>
      <c r="AT18">
        <v>1911.38</v>
      </c>
      <c r="AU18">
        <v>853.3</v>
      </c>
      <c r="AV18">
        <f t="shared" si="3"/>
        <v>3174.2400000000007</v>
      </c>
      <c r="AX18">
        <v>35.4527</v>
      </c>
      <c r="AY18">
        <v>-35.4527</v>
      </c>
      <c r="AZ18">
        <v>16</v>
      </c>
      <c r="BA18">
        <v>1911.3</v>
      </c>
      <c r="BB18">
        <v>880.98</v>
      </c>
      <c r="BC18">
        <f t="shared" si="4"/>
        <v>3090.96</v>
      </c>
    </row>
    <row r="19" spans="21:55" x14ac:dyDescent="0.35">
      <c r="U19">
        <v>82.723100000000002</v>
      </c>
      <c r="V19">
        <v>-35.4527</v>
      </c>
      <c r="W19">
        <v>18</v>
      </c>
      <c r="X19">
        <v>1913.66</v>
      </c>
      <c r="Y19">
        <v>879.9</v>
      </c>
      <c r="Z19" s="106">
        <f t="shared" si="0"/>
        <v>3101.2800000000007</v>
      </c>
      <c r="AB19">
        <v>82.723100000000002</v>
      </c>
      <c r="AC19">
        <v>-35.4527</v>
      </c>
      <c r="AD19">
        <v>18</v>
      </c>
      <c r="AE19">
        <v>1966.46</v>
      </c>
      <c r="AF19">
        <v>970.32</v>
      </c>
      <c r="AG19" s="106">
        <f t="shared" si="1"/>
        <v>2988.42</v>
      </c>
      <c r="AI19">
        <v>59.087899999999998</v>
      </c>
      <c r="AJ19">
        <v>-35.4527</v>
      </c>
      <c r="AK19">
        <v>17</v>
      </c>
      <c r="AL19">
        <v>1913.95</v>
      </c>
      <c r="AM19">
        <v>862.46</v>
      </c>
      <c r="AN19" s="106">
        <f t="shared" si="2"/>
        <v>3062.73</v>
      </c>
      <c r="AQ19">
        <v>59.087899999999998</v>
      </c>
      <c r="AR19">
        <v>-35.4527</v>
      </c>
      <c r="AS19">
        <v>17</v>
      </c>
      <c r="AT19">
        <v>1913.95</v>
      </c>
      <c r="AU19">
        <v>857.65</v>
      </c>
      <c r="AV19">
        <f t="shared" si="3"/>
        <v>3168.9000000000005</v>
      </c>
      <c r="AX19">
        <v>59.087899999999998</v>
      </c>
      <c r="AY19">
        <v>-35.4527</v>
      </c>
      <c r="AZ19">
        <v>17</v>
      </c>
      <c r="BA19">
        <v>1910.31</v>
      </c>
      <c r="BB19">
        <v>889.32</v>
      </c>
      <c r="BC19">
        <f t="shared" si="4"/>
        <v>3062.97</v>
      </c>
    </row>
    <row r="20" spans="21:55" x14ac:dyDescent="0.35">
      <c r="U20">
        <v>82.723100000000002</v>
      </c>
      <c r="V20">
        <v>-11.817600000000001</v>
      </c>
      <c r="W20">
        <v>19</v>
      </c>
      <c r="X20">
        <v>1910.77</v>
      </c>
      <c r="Y20">
        <v>875.51</v>
      </c>
      <c r="Z20" s="106">
        <f t="shared" si="0"/>
        <v>3105.7799999999997</v>
      </c>
      <c r="AB20">
        <v>82.723100000000002</v>
      </c>
      <c r="AC20">
        <v>-11.817600000000001</v>
      </c>
      <c r="AD20">
        <v>19</v>
      </c>
      <c r="AE20">
        <v>1965.21</v>
      </c>
      <c r="AF20">
        <v>963.82</v>
      </c>
      <c r="AG20" s="106">
        <f t="shared" si="1"/>
        <v>3004.17</v>
      </c>
      <c r="AI20">
        <v>82.723100000000002</v>
      </c>
      <c r="AJ20">
        <v>-35.4527</v>
      </c>
      <c r="AK20">
        <v>18</v>
      </c>
      <c r="AL20">
        <v>1916.27</v>
      </c>
      <c r="AM20">
        <v>895.36</v>
      </c>
      <c r="AN20" s="106">
        <f t="shared" si="2"/>
        <v>3084.2999999999997</v>
      </c>
      <c r="AQ20">
        <v>82.723100000000002</v>
      </c>
      <c r="AR20">
        <v>-35.4527</v>
      </c>
      <c r="AS20">
        <v>18</v>
      </c>
      <c r="AT20">
        <v>1916.27</v>
      </c>
      <c r="AU20">
        <v>888.36</v>
      </c>
      <c r="AV20">
        <f t="shared" si="3"/>
        <v>3083.7299999999996</v>
      </c>
      <c r="AX20">
        <v>82.723100000000002</v>
      </c>
      <c r="AY20">
        <v>-35.4527</v>
      </c>
      <c r="AZ20">
        <v>18</v>
      </c>
      <c r="BA20">
        <v>1916.04</v>
      </c>
      <c r="BB20">
        <v>918.67</v>
      </c>
      <c r="BC20">
        <f t="shared" si="4"/>
        <v>2992.11</v>
      </c>
    </row>
    <row r="21" spans="21:55" x14ac:dyDescent="0.35">
      <c r="U21">
        <v>59.087899999999998</v>
      </c>
      <c r="V21">
        <v>-11.817600000000001</v>
      </c>
      <c r="W21">
        <v>20</v>
      </c>
      <c r="X21">
        <v>1909.64</v>
      </c>
      <c r="Y21">
        <v>869.09</v>
      </c>
      <c r="Z21" s="106">
        <f t="shared" si="0"/>
        <v>3121.6500000000005</v>
      </c>
      <c r="AB21">
        <v>59.087899999999998</v>
      </c>
      <c r="AC21">
        <v>-11.817600000000001</v>
      </c>
      <c r="AD21">
        <v>20</v>
      </c>
      <c r="AE21">
        <v>1960.42</v>
      </c>
      <c r="AF21">
        <v>943.8</v>
      </c>
      <c r="AG21" s="106">
        <f t="shared" si="1"/>
        <v>3049.8600000000006</v>
      </c>
      <c r="AI21">
        <v>82.723100000000002</v>
      </c>
      <c r="AJ21">
        <v>-11.817600000000001</v>
      </c>
      <c r="AK21">
        <v>19</v>
      </c>
      <c r="AL21">
        <v>1914.34</v>
      </c>
      <c r="AM21">
        <v>886.24</v>
      </c>
      <c r="AN21" s="106">
        <f t="shared" si="2"/>
        <v>3164.88</v>
      </c>
      <c r="AQ21">
        <v>82.723100000000002</v>
      </c>
      <c r="AR21">
        <v>-11.817600000000001</v>
      </c>
      <c r="AS21">
        <v>19</v>
      </c>
      <c r="AT21">
        <v>1914.34</v>
      </c>
      <c r="AU21">
        <v>881.91</v>
      </c>
      <c r="AV21">
        <f t="shared" si="3"/>
        <v>3097.2899999999995</v>
      </c>
      <c r="AX21">
        <v>82.723100000000002</v>
      </c>
      <c r="AY21">
        <v>-11.817600000000001</v>
      </c>
      <c r="AZ21">
        <v>19</v>
      </c>
      <c r="BA21">
        <v>1913.36</v>
      </c>
      <c r="BB21">
        <v>912.17</v>
      </c>
      <c r="BC21">
        <f t="shared" si="4"/>
        <v>3003.5699999999997</v>
      </c>
    </row>
    <row r="22" spans="21:55" x14ac:dyDescent="0.35">
      <c r="U22">
        <v>35.4527</v>
      </c>
      <c r="V22">
        <v>-11.817600000000001</v>
      </c>
      <c r="W22">
        <v>21</v>
      </c>
      <c r="X22">
        <v>1915.36</v>
      </c>
      <c r="Y22">
        <v>879.2</v>
      </c>
      <c r="Z22" s="106">
        <f t="shared" si="0"/>
        <v>3108.4799999999996</v>
      </c>
      <c r="AB22">
        <v>35.4527</v>
      </c>
      <c r="AC22">
        <v>-11.817600000000001</v>
      </c>
      <c r="AD22">
        <v>21</v>
      </c>
      <c r="AE22">
        <v>1963.37</v>
      </c>
      <c r="AF22">
        <v>953.61</v>
      </c>
      <c r="AG22" s="106">
        <f t="shared" si="1"/>
        <v>3029.2799999999997</v>
      </c>
      <c r="AI22">
        <v>59.087899999999998</v>
      </c>
      <c r="AJ22">
        <v>-11.817600000000001</v>
      </c>
      <c r="AK22">
        <v>20</v>
      </c>
      <c r="AL22">
        <v>1912.47</v>
      </c>
      <c r="AM22">
        <v>857.51</v>
      </c>
      <c r="AN22" s="106">
        <f t="shared" si="2"/>
        <v>3139.4699999999993</v>
      </c>
      <c r="AQ22">
        <v>59.087899999999998</v>
      </c>
      <c r="AR22">
        <v>-11.817600000000001</v>
      </c>
      <c r="AS22">
        <v>20</v>
      </c>
      <c r="AT22">
        <v>1912.47</v>
      </c>
      <c r="AU22">
        <v>861.03</v>
      </c>
      <c r="AV22">
        <f t="shared" si="3"/>
        <v>3154.32</v>
      </c>
      <c r="AX22">
        <v>59.087899999999998</v>
      </c>
      <c r="AY22">
        <v>-11.817600000000001</v>
      </c>
      <c r="AZ22">
        <v>20</v>
      </c>
      <c r="BA22">
        <v>1908.48</v>
      </c>
      <c r="BB22">
        <v>886.28</v>
      </c>
      <c r="BC22">
        <f t="shared" si="4"/>
        <v>3066.6000000000004</v>
      </c>
    </row>
    <row r="23" spans="21:55" x14ac:dyDescent="0.35">
      <c r="U23">
        <v>11.817600000000001</v>
      </c>
      <c r="V23">
        <v>-11.817600000000001</v>
      </c>
      <c r="W23">
        <v>22</v>
      </c>
      <c r="X23">
        <v>1911.09</v>
      </c>
      <c r="Y23">
        <v>887.47</v>
      </c>
      <c r="Z23" s="106">
        <f t="shared" si="0"/>
        <v>3070.8599999999997</v>
      </c>
      <c r="AB23">
        <v>11.817600000000001</v>
      </c>
      <c r="AC23">
        <v>-11.817600000000001</v>
      </c>
      <c r="AD23">
        <v>22</v>
      </c>
      <c r="AE23">
        <v>1962.63</v>
      </c>
      <c r="AF23">
        <v>975.21</v>
      </c>
      <c r="AG23" s="106">
        <f t="shared" si="1"/>
        <v>2962.26</v>
      </c>
      <c r="AI23">
        <v>35.4527</v>
      </c>
      <c r="AJ23">
        <v>-11.817600000000001</v>
      </c>
      <c r="AK23">
        <v>21</v>
      </c>
      <c r="AL23">
        <v>1910.31</v>
      </c>
      <c r="AM23">
        <v>863.82</v>
      </c>
      <c r="AN23" s="106">
        <f t="shared" si="2"/>
        <v>3069.3899999999994</v>
      </c>
      <c r="AQ23">
        <v>35.4527</v>
      </c>
      <c r="AR23">
        <v>-11.817600000000001</v>
      </c>
      <c r="AS23">
        <v>21</v>
      </c>
      <c r="AT23">
        <v>1910.31</v>
      </c>
      <c r="AU23">
        <v>862.9</v>
      </c>
      <c r="AV23">
        <f t="shared" si="3"/>
        <v>3142.2299999999996</v>
      </c>
      <c r="AX23">
        <v>35.4527</v>
      </c>
      <c r="AY23">
        <v>-11.817600000000001</v>
      </c>
      <c r="AZ23">
        <v>21</v>
      </c>
      <c r="BA23">
        <v>1907.81</v>
      </c>
      <c r="BB23">
        <v>892.93</v>
      </c>
      <c r="BC23">
        <f t="shared" si="4"/>
        <v>3044.64</v>
      </c>
    </row>
    <row r="24" spans="21:55" x14ac:dyDescent="0.35">
      <c r="U24">
        <v>-11.817600000000001</v>
      </c>
      <c r="V24">
        <v>-11.817600000000001</v>
      </c>
      <c r="W24">
        <v>23</v>
      </c>
      <c r="X24">
        <v>1912.08</v>
      </c>
      <c r="Y24">
        <v>889.33</v>
      </c>
      <c r="Z24" s="106">
        <f t="shared" si="0"/>
        <v>3068.2499999999995</v>
      </c>
      <c r="AB24">
        <v>-11.817600000000001</v>
      </c>
      <c r="AC24">
        <v>-11.817600000000001</v>
      </c>
      <c r="AD24">
        <v>23</v>
      </c>
      <c r="AE24">
        <v>1960.44</v>
      </c>
      <c r="AF24">
        <v>976.84</v>
      </c>
      <c r="AG24" s="106">
        <f t="shared" si="1"/>
        <v>2950.8</v>
      </c>
      <c r="AI24">
        <v>11.817600000000001</v>
      </c>
      <c r="AJ24">
        <v>-11.817600000000001</v>
      </c>
      <c r="AK24">
        <v>22</v>
      </c>
      <c r="AL24">
        <v>1906.58</v>
      </c>
      <c r="AM24">
        <v>883.45</v>
      </c>
      <c r="AN24" s="106">
        <f t="shared" si="2"/>
        <v>3065.28</v>
      </c>
      <c r="AQ24">
        <v>11.817600000000001</v>
      </c>
      <c r="AR24">
        <v>-11.817600000000001</v>
      </c>
      <c r="AS24">
        <v>22</v>
      </c>
      <c r="AT24">
        <v>1906.58</v>
      </c>
      <c r="AU24">
        <v>869.89</v>
      </c>
      <c r="AV24">
        <f t="shared" si="3"/>
        <v>3110.07</v>
      </c>
      <c r="AX24">
        <v>11.817600000000001</v>
      </c>
      <c r="AY24">
        <v>-11.817600000000001</v>
      </c>
      <c r="AZ24">
        <v>22</v>
      </c>
      <c r="BA24">
        <v>1906.49</v>
      </c>
      <c r="BB24">
        <v>909.24</v>
      </c>
      <c r="BC24">
        <f t="shared" si="4"/>
        <v>2991.75</v>
      </c>
    </row>
    <row r="25" spans="21:55" x14ac:dyDescent="0.35">
      <c r="U25">
        <v>-35.4527</v>
      </c>
      <c r="V25">
        <v>-11.817600000000001</v>
      </c>
      <c r="W25">
        <v>24</v>
      </c>
      <c r="X25">
        <v>1915.25</v>
      </c>
      <c r="Y25">
        <v>884.63</v>
      </c>
      <c r="Z25" s="106">
        <f t="shared" si="0"/>
        <v>3091.8599999999997</v>
      </c>
      <c r="AB25">
        <v>-35.4527</v>
      </c>
      <c r="AC25">
        <v>-11.817600000000001</v>
      </c>
      <c r="AD25">
        <v>24</v>
      </c>
      <c r="AE25">
        <v>1962.1</v>
      </c>
      <c r="AF25">
        <v>956.09</v>
      </c>
      <c r="AG25" s="106">
        <f t="shared" si="1"/>
        <v>3018.0299999999997</v>
      </c>
      <c r="AI25">
        <v>-11.817600000000001</v>
      </c>
      <c r="AJ25">
        <v>-11.817600000000001</v>
      </c>
      <c r="AK25">
        <v>23</v>
      </c>
      <c r="AL25">
        <v>1907.16</v>
      </c>
      <c r="AM25">
        <v>885.4</v>
      </c>
      <c r="AN25" s="106">
        <f t="shared" si="2"/>
        <v>3120.69</v>
      </c>
      <c r="AQ25">
        <v>-11.817600000000001</v>
      </c>
      <c r="AR25">
        <v>-11.817600000000001</v>
      </c>
      <c r="AS25">
        <v>23</v>
      </c>
      <c r="AT25">
        <v>1907.16</v>
      </c>
      <c r="AU25">
        <v>871.46</v>
      </c>
      <c r="AV25">
        <f t="shared" si="3"/>
        <v>3107.1000000000004</v>
      </c>
      <c r="AX25">
        <v>-11.817600000000001</v>
      </c>
      <c r="AY25">
        <v>-11.817600000000001</v>
      </c>
      <c r="AZ25">
        <v>23</v>
      </c>
      <c r="BA25">
        <v>1905.51</v>
      </c>
      <c r="BB25">
        <v>909.65</v>
      </c>
      <c r="BC25">
        <f t="shared" si="4"/>
        <v>2987.58</v>
      </c>
    </row>
    <row r="26" spans="21:55" x14ac:dyDescent="0.35">
      <c r="U26">
        <v>-59.087899999999998</v>
      </c>
      <c r="V26">
        <v>-11.817600000000001</v>
      </c>
      <c r="W26">
        <v>25</v>
      </c>
      <c r="X26">
        <v>1913.04</v>
      </c>
      <c r="Y26">
        <v>876.98</v>
      </c>
      <c r="Z26" s="106">
        <f t="shared" si="0"/>
        <v>3108.18</v>
      </c>
      <c r="AB26">
        <v>-59.087899999999998</v>
      </c>
      <c r="AC26">
        <v>-11.817600000000001</v>
      </c>
      <c r="AD26">
        <v>25</v>
      </c>
      <c r="AE26">
        <v>1962.85</v>
      </c>
      <c r="AF26">
        <v>946.21</v>
      </c>
      <c r="AG26" s="106">
        <f t="shared" si="1"/>
        <v>3049.9199999999996</v>
      </c>
      <c r="AI26">
        <v>-35.4527</v>
      </c>
      <c r="AJ26">
        <v>-11.817600000000001</v>
      </c>
      <c r="AK26">
        <v>24</v>
      </c>
      <c r="AL26">
        <v>1911.66</v>
      </c>
      <c r="AM26">
        <v>871.43</v>
      </c>
      <c r="AN26" s="106">
        <f t="shared" si="2"/>
        <v>3142.62</v>
      </c>
      <c r="AQ26">
        <v>-35.4527</v>
      </c>
      <c r="AR26">
        <v>-11.817600000000001</v>
      </c>
      <c r="AS26">
        <v>24</v>
      </c>
      <c r="AT26">
        <v>1911.66</v>
      </c>
      <c r="AU26">
        <v>866.6</v>
      </c>
      <c r="AV26">
        <f t="shared" si="3"/>
        <v>3135.18</v>
      </c>
      <c r="AX26">
        <v>-35.4527</v>
      </c>
      <c r="AY26">
        <v>-11.817600000000001</v>
      </c>
      <c r="AZ26">
        <v>24</v>
      </c>
      <c r="BA26">
        <v>1911.89</v>
      </c>
      <c r="BB26">
        <v>899.28</v>
      </c>
      <c r="BC26">
        <f t="shared" si="4"/>
        <v>3037.8300000000004</v>
      </c>
    </row>
    <row r="27" spans="21:55" x14ac:dyDescent="0.35">
      <c r="U27">
        <v>-82.723100000000002</v>
      </c>
      <c r="V27">
        <v>-11.817600000000001</v>
      </c>
      <c r="W27">
        <v>26</v>
      </c>
      <c r="X27">
        <v>1914.59</v>
      </c>
      <c r="Y27">
        <v>884.66</v>
      </c>
      <c r="Z27" s="106">
        <f t="shared" si="0"/>
        <v>3089.7899999999995</v>
      </c>
      <c r="AB27">
        <v>-82.723100000000002</v>
      </c>
      <c r="AC27">
        <v>-11.817600000000001</v>
      </c>
      <c r="AD27">
        <v>26</v>
      </c>
      <c r="AE27">
        <v>1965.2</v>
      </c>
      <c r="AF27">
        <v>954.58</v>
      </c>
      <c r="AG27" s="106">
        <f t="shared" si="1"/>
        <v>3031.86</v>
      </c>
      <c r="AI27">
        <v>-59.087899999999998</v>
      </c>
      <c r="AJ27">
        <v>-11.817600000000001</v>
      </c>
      <c r="AK27">
        <v>25</v>
      </c>
      <c r="AL27">
        <v>1911.7</v>
      </c>
      <c r="AM27">
        <v>864.16</v>
      </c>
      <c r="AN27" s="106">
        <f t="shared" si="2"/>
        <v>3088.9799999999996</v>
      </c>
      <c r="AQ27">
        <v>-59.087899999999998</v>
      </c>
      <c r="AR27">
        <v>-11.817600000000001</v>
      </c>
      <c r="AS27">
        <v>25</v>
      </c>
      <c r="AT27">
        <v>1911.7</v>
      </c>
      <c r="AU27">
        <v>863.12</v>
      </c>
      <c r="AV27">
        <f t="shared" si="3"/>
        <v>3145.74</v>
      </c>
      <c r="AX27">
        <v>-59.087899999999998</v>
      </c>
      <c r="AY27">
        <v>-11.817600000000001</v>
      </c>
      <c r="AZ27">
        <v>25</v>
      </c>
      <c r="BA27">
        <v>1913.16</v>
      </c>
      <c r="BB27">
        <v>894.58</v>
      </c>
      <c r="BC27">
        <f t="shared" si="4"/>
        <v>3055.7400000000002</v>
      </c>
    </row>
    <row r="28" spans="21:55" x14ac:dyDescent="0.35">
      <c r="U28">
        <v>-82.723100000000002</v>
      </c>
      <c r="V28">
        <v>11.817600000000001</v>
      </c>
      <c r="W28">
        <v>27</v>
      </c>
      <c r="X28">
        <v>1918.56</v>
      </c>
      <c r="Y28">
        <v>892.09</v>
      </c>
      <c r="Z28" s="106">
        <f t="shared" si="0"/>
        <v>3079.4099999999994</v>
      </c>
      <c r="AB28">
        <v>-82.723100000000002</v>
      </c>
      <c r="AC28">
        <v>11.817600000000001</v>
      </c>
      <c r="AD28">
        <v>27</v>
      </c>
      <c r="AE28">
        <v>1963.94</v>
      </c>
      <c r="AF28">
        <v>964.05</v>
      </c>
      <c r="AG28" s="106">
        <f t="shared" si="1"/>
        <v>2999.67</v>
      </c>
      <c r="AI28">
        <v>-82.723100000000002</v>
      </c>
      <c r="AJ28">
        <v>-11.817600000000001</v>
      </c>
      <c r="AK28">
        <v>26</v>
      </c>
      <c r="AL28">
        <v>1918.82</v>
      </c>
      <c r="AM28">
        <v>889.16</v>
      </c>
      <c r="AN28" s="106">
        <f t="shared" si="2"/>
        <v>3064.7699999999995</v>
      </c>
      <c r="AQ28">
        <v>-82.723100000000002</v>
      </c>
      <c r="AR28">
        <v>-11.817600000000001</v>
      </c>
      <c r="AS28">
        <v>26</v>
      </c>
      <c r="AT28">
        <v>1918.82</v>
      </c>
      <c r="AU28">
        <v>882.57</v>
      </c>
      <c r="AV28">
        <f t="shared" si="3"/>
        <v>3108.75</v>
      </c>
      <c r="AX28">
        <v>-82.723100000000002</v>
      </c>
      <c r="AY28">
        <v>-11.817600000000001</v>
      </c>
      <c r="AZ28">
        <v>26</v>
      </c>
      <c r="BA28">
        <v>1917.17</v>
      </c>
      <c r="BB28">
        <v>912.38</v>
      </c>
      <c r="BC28">
        <f t="shared" si="4"/>
        <v>3014.3700000000003</v>
      </c>
    </row>
    <row r="29" spans="21:55" x14ac:dyDescent="0.35">
      <c r="U29">
        <v>-59.087899999999998</v>
      </c>
      <c r="V29">
        <v>11.817600000000001</v>
      </c>
      <c r="W29">
        <v>28</v>
      </c>
      <c r="X29">
        <v>1916.2</v>
      </c>
      <c r="Y29">
        <v>884.12</v>
      </c>
      <c r="Z29" s="106">
        <f t="shared" si="0"/>
        <v>3096.24</v>
      </c>
      <c r="AB29">
        <v>-59.087899999999998</v>
      </c>
      <c r="AC29">
        <v>11.817600000000001</v>
      </c>
      <c r="AD29">
        <v>28</v>
      </c>
      <c r="AE29">
        <v>1959.14</v>
      </c>
      <c r="AF29">
        <v>952.01</v>
      </c>
      <c r="AG29" s="106">
        <f t="shared" si="1"/>
        <v>3021.3900000000003</v>
      </c>
      <c r="AI29">
        <v>-82.723100000000002</v>
      </c>
      <c r="AJ29">
        <v>11.817600000000001</v>
      </c>
      <c r="AK29">
        <v>27</v>
      </c>
      <c r="AL29">
        <v>1918.09</v>
      </c>
      <c r="AM29">
        <v>896.5</v>
      </c>
      <c r="AN29" s="106">
        <f t="shared" si="2"/>
        <v>3117.3</v>
      </c>
      <c r="AQ29">
        <v>-82.723100000000002</v>
      </c>
      <c r="AR29">
        <v>11.817600000000001</v>
      </c>
      <c r="AS29">
        <v>27</v>
      </c>
      <c r="AT29">
        <v>1918.09</v>
      </c>
      <c r="AU29">
        <v>893.61</v>
      </c>
      <c r="AV29">
        <f t="shared" si="3"/>
        <v>3073.44</v>
      </c>
      <c r="AX29">
        <v>-82.723100000000002</v>
      </c>
      <c r="AY29">
        <v>11.817600000000001</v>
      </c>
      <c r="AZ29">
        <v>27</v>
      </c>
      <c r="BA29">
        <v>1919.56</v>
      </c>
      <c r="BB29">
        <v>921.22</v>
      </c>
      <c r="BC29">
        <f t="shared" si="4"/>
        <v>2995.0199999999995</v>
      </c>
    </row>
    <row r="30" spans="21:55" x14ac:dyDescent="0.35">
      <c r="U30">
        <v>-35.4527</v>
      </c>
      <c r="V30">
        <v>11.817600000000001</v>
      </c>
      <c r="W30">
        <v>29</v>
      </c>
      <c r="X30">
        <v>1915.95</v>
      </c>
      <c r="Y30">
        <v>890.02</v>
      </c>
      <c r="Z30" s="106">
        <f t="shared" si="0"/>
        <v>3077.79</v>
      </c>
      <c r="AB30">
        <v>-35.4527</v>
      </c>
      <c r="AC30">
        <v>11.817600000000001</v>
      </c>
      <c r="AD30">
        <v>29</v>
      </c>
      <c r="AE30">
        <v>1963.31</v>
      </c>
      <c r="AF30">
        <v>961.47</v>
      </c>
      <c r="AG30" s="106">
        <f t="shared" si="1"/>
        <v>3005.5199999999995</v>
      </c>
      <c r="AI30">
        <v>-59.087899999999998</v>
      </c>
      <c r="AJ30">
        <v>11.817600000000001</v>
      </c>
      <c r="AK30">
        <v>28</v>
      </c>
      <c r="AL30">
        <v>1912.41</v>
      </c>
      <c r="AM30">
        <v>873.31</v>
      </c>
      <c r="AN30" s="106">
        <f t="shared" si="2"/>
        <v>3103.68</v>
      </c>
      <c r="AQ30">
        <v>-59.087899999999998</v>
      </c>
      <c r="AR30">
        <v>11.817600000000001</v>
      </c>
      <c r="AS30">
        <v>28</v>
      </c>
      <c r="AT30">
        <v>1912.41</v>
      </c>
      <c r="AU30">
        <v>873.49</v>
      </c>
      <c r="AV30">
        <f t="shared" si="3"/>
        <v>3116.76</v>
      </c>
      <c r="AX30">
        <v>-59.087899999999998</v>
      </c>
      <c r="AY30">
        <v>11.817600000000001</v>
      </c>
      <c r="AZ30">
        <v>28</v>
      </c>
      <c r="BA30">
        <v>1914.82</v>
      </c>
      <c r="BB30">
        <v>903.31</v>
      </c>
      <c r="BC30">
        <f t="shared" si="4"/>
        <v>3034.5299999999997</v>
      </c>
    </row>
    <row r="31" spans="21:55" x14ac:dyDescent="0.35">
      <c r="U31">
        <v>-11.817600000000001</v>
      </c>
      <c r="V31">
        <v>11.817600000000001</v>
      </c>
      <c r="W31">
        <v>30</v>
      </c>
      <c r="X31">
        <v>1911.2</v>
      </c>
      <c r="Y31">
        <v>894.52</v>
      </c>
      <c r="Z31" s="106">
        <f t="shared" si="0"/>
        <v>3050.04</v>
      </c>
      <c r="AB31">
        <v>-11.817600000000001</v>
      </c>
      <c r="AC31">
        <v>11.817600000000001</v>
      </c>
      <c r="AD31">
        <v>30</v>
      </c>
      <c r="AE31">
        <v>1961.05</v>
      </c>
      <c r="AF31">
        <v>981.59</v>
      </c>
      <c r="AG31" s="106">
        <f t="shared" si="1"/>
        <v>2938.3799999999997</v>
      </c>
      <c r="AI31">
        <v>-35.4527</v>
      </c>
      <c r="AJ31">
        <v>11.817600000000001</v>
      </c>
      <c r="AK31">
        <v>29</v>
      </c>
      <c r="AL31">
        <v>1911.35</v>
      </c>
      <c r="AM31">
        <v>876.79</v>
      </c>
      <c r="AN31" s="106">
        <f t="shared" si="2"/>
        <v>3043.9500000000003</v>
      </c>
      <c r="AQ31">
        <v>-35.4527</v>
      </c>
      <c r="AR31">
        <v>11.817600000000001</v>
      </c>
      <c r="AS31">
        <v>29</v>
      </c>
      <c r="AT31">
        <v>1911.35</v>
      </c>
      <c r="AU31">
        <v>874.1</v>
      </c>
      <c r="AV31">
        <f t="shared" si="3"/>
        <v>3111.75</v>
      </c>
      <c r="AX31">
        <v>-35.4527</v>
      </c>
      <c r="AY31">
        <v>11.817600000000001</v>
      </c>
      <c r="AZ31">
        <v>29</v>
      </c>
      <c r="BA31">
        <v>1914.01</v>
      </c>
      <c r="BB31">
        <v>906.31</v>
      </c>
      <c r="BC31">
        <f t="shared" si="4"/>
        <v>3023.1000000000004</v>
      </c>
    </row>
    <row r="32" spans="21:55" x14ac:dyDescent="0.35">
      <c r="U32">
        <v>11.817600000000001</v>
      </c>
      <c r="V32">
        <v>11.817600000000001</v>
      </c>
      <c r="W32">
        <v>31</v>
      </c>
      <c r="X32">
        <v>1911.22</v>
      </c>
      <c r="Y32">
        <v>892.3</v>
      </c>
      <c r="Z32" s="106">
        <f t="shared" si="0"/>
        <v>3056.76</v>
      </c>
      <c r="AB32">
        <v>11.817600000000001</v>
      </c>
      <c r="AC32">
        <v>11.817600000000001</v>
      </c>
      <c r="AD32">
        <v>31</v>
      </c>
      <c r="AE32">
        <v>1960.91</v>
      </c>
      <c r="AF32">
        <v>979.38</v>
      </c>
      <c r="AG32" s="106">
        <f t="shared" si="1"/>
        <v>2944.59</v>
      </c>
      <c r="AI32">
        <v>-11.817600000000001</v>
      </c>
      <c r="AJ32">
        <v>11.817600000000001</v>
      </c>
      <c r="AK32">
        <v>30</v>
      </c>
      <c r="AL32">
        <v>1907.14</v>
      </c>
      <c r="AM32">
        <v>892.49</v>
      </c>
      <c r="AN32" s="106">
        <f t="shared" si="2"/>
        <v>3048.4500000000003</v>
      </c>
      <c r="AQ32">
        <v>-11.817600000000001</v>
      </c>
      <c r="AR32">
        <v>11.817600000000001</v>
      </c>
      <c r="AS32">
        <v>30</v>
      </c>
      <c r="AT32">
        <v>1907.14</v>
      </c>
      <c r="AU32">
        <v>880.05</v>
      </c>
      <c r="AV32">
        <f t="shared" si="3"/>
        <v>3081.2700000000004</v>
      </c>
      <c r="AX32">
        <v>-11.817600000000001</v>
      </c>
      <c r="AY32">
        <v>11.817600000000001</v>
      </c>
      <c r="AZ32">
        <v>30</v>
      </c>
      <c r="BA32">
        <v>1907.86</v>
      </c>
      <c r="BB32">
        <v>919.65</v>
      </c>
      <c r="BC32">
        <f t="shared" si="4"/>
        <v>2964.6299999999997</v>
      </c>
    </row>
    <row r="33" spans="21:55" x14ac:dyDescent="0.35">
      <c r="U33">
        <v>35.4527</v>
      </c>
      <c r="V33">
        <v>11.817600000000001</v>
      </c>
      <c r="W33">
        <v>32</v>
      </c>
      <c r="X33">
        <v>1914.51</v>
      </c>
      <c r="Y33">
        <v>882.4</v>
      </c>
      <c r="Z33" s="106">
        <f t="shared" si="0"/>
        <v>3096.3300000000004</v>
      </c>
      <c r="AB33">
        <v>35.4527</v>
      </c>
      <c r="AC33">
        <v>11.817600000000001</v>
      </c>
      <c r="AD33">
        <v>32</v>
      </c>
      <c r="AE33">
        <v>1964.45</v>
      </c>
      <c r="AF33">
        <v>957.94</v>
      </c>
      <c r="AG33" s="106">
        <f t="shared" si="1"/>
        <v>3019.5299999999997</v>
      </c>
      <c r="AI33">
        <v>11.817600000000001</v>
      </c>
      <c r="AJ33">
        <v>11.817600000000001</v>
      </c>
      <c r="AK33">
        <v>31</v>
      </c>
      <c r="AL33">
        <v>1906.18</v>
      </c>
      <c r="AM33">
        <v>890.03</v>
      </c>
      <c r="AN33" s="106">
        <f t="shared" si="2"/>
        <v>3130.83</v>
      </c>
      <c r="AQ33">
        <v>11.817600000000001</v>
      </c>
      <c r="AR33">
        <v>11.817600000000001</v>
      </c>
      <c r="AS33">
        <v>31</v>
      </c>
      <c r="AT33">
        <v>1906.18</v>
      </c>
      <c r="AU33">
        <v>875.81</v>
      </c>
      <c r="AV33">
        <f t="shared" si="3"/>
        <v>3091.1100000000006</v>
      </c>
      <c r="AX33">
        <v>11.817600000000001</v>
      </c>
      <c r="AY33">
        <v>11.817600000000001</v>
      </c>
      <c r="AZ33">
        <v>31</v>
      </c>
      <c r="BA33">
        <v>1908.09</v>
      </c>
      <c r="BB33">
        <v>916.41</v>
      </c>
      <c r="BC33">
        <f t="shared" si="4"/>
        <v>2975.04</v>
      </c>
    </row>
    <row r="34" spans="21:55" x14ac:dyDescent="0.35">
      <c r="U34">
        <v>59.087899999999998</v>
      </c>
      <c r="V34">
        <v>11.817600000000001</v>
      </c>
      <c r="W34">
        <v>33</v>
      </c>
      <c r="X34">
        <v>1912.37</v>
      </c>
      <c r="Y34">
        <v>874.88</v>
      </c>
      <c r="Z34" s="106">
        <f t="shared" si="0"/>
        <v>3112.4699999999993</v>
      </c>
      <c r="AB34">
        <v>59.087899999999998</v>
      </c>
      <c r="AC34">
        <v>11.817600000000001</v>
      </c>
      <c r="AD34">
        <v>33</v>
      </c>
      <c r="AE34">
        <v>1963.48</v>
      </c>
      <c r="AF34">
        <v>952.81</v>
      </c>
      <c r="AG34" s="106">
        <f t="shared" si="1"/>
        <v>3032.01</v>
      </c>
      <c r="AI34">
        <v>35.4527</v>
      </c>
      <c r="AJ34">
        <v>11.817600000000001</v>
      </c>
      <c r="AK34">
        <v>32</v>
      </c>
      <c r="AL34">
        <v>1914.11</v>
      </c>
      <c r="AM34">
        <v>870.5</v>
      </c>
      <c r="AN34" s="106">
        <f t="shared" si="2"/>
        <v>3136.8899999999994</v>
      </c>
      <c r="AQ34">
        <v>35.4527</v>
      </c>
      <c r="AR34">
        <v>11.817600000000001</v>
      </c>
      <c r="AS34">
        <v>32</v>
      </c>
      <c r="AT34">
        <v>1914.11</v>
      </c>
      <c r="AU34">
        <v>869.02</v>
      </c>
      <c r="AV34">
        <f t="shared" si="3"/>
        <v>3135.2699999999995</v>
      </c>
      <c r="AX34">
        <v>35.4527</v>
      </c>
      <c r="AY34">
        <v>11.817600000000001</v>
      </c>
      <c r="AZ34">
        <v>32</v>
      </c>
      <c r="BA34">
        <v>1909.67</v>
      </c>
      <c r="BB34">
        <v>900.64</v>
      </c>
      <c r="BC34">
        <f t="shared" si="4"/>
        <v>3027.09</v>
      </c>
    </row>
    <row r="35" spans="21:55" x14ac:dyDescent="0.35">
      <c r="U35">
        <v>82.723100000000002</v>
      </c>
      <c r="V35">
        <v>11.817600000000001</v>
      </c>
      <c r="W35">
        <v>34</v>
      </c>
      <c r="X35">
        <v>1913.17</v>
      </c>
      <c r="Y35">
        <v>882.44</v>
      </c>
      <c r="Z35" s="106">
        <f t="shared" si="0"/>
        <v>3092.19</v>
      </c>
      <c r="AB35">
        <v>82.723100000000002</v>
      </c>
      <c r="AC35">
        <v>11.817600000000001</v>
      </c>
      <c r="AD35">
        <v>34</v>
      </c>
      <c r="AE35">
        <v>1966.8</v>
      </c>
      <c r="AF35">
        <v>973.25</v>
      </c>
      <c r="AG35" s="106">
        <f t="shared" si="1"/>
        <v>2980.6499999999996</v>
      </c>
      <c r="AI35">
        <v>59.087899999999998</v>
      </c>
      <c r="AJ35">
        <v>11.817600000000001</v>
      </c>
      <c r="AK35">
        <v>33</v>
      </c>
      <c r="AL35">
        <v>1910.84</v>
      </c>
      <c r="AM35">
        <v>865.21</v>
      </c>
      <c r="AN35" s="106">
        <f t="shared" si="2"/>
        <v>3059.2500000000005</v>
      </c>
      <c r="AQ35">
        <v>59.087899999999998</v>
      </c>
      <c r="AR35">
        <v>11.817600000000001</v>
      </c>
      <c r="AS35">
        <v>33</v>
      </c>
      <c r="AT35">
        <v>1910.84</v>
      </c>
      <c r="AU35">
        <v>867.32</v>
      </c>
      <c r="AV35">
        <f t="shared" si="3"/>
        <v>3130.56</v>
      </c>
      <c r="AX35">
        <v>59.087899999999998</v>
      </c>
      <c r="AY35">
        <v>11.817600000000001</v>
      </c>
      <c r="AZ35">
        <v>33</v>
      </c>
      <c r="BA35">
        <v>1910.42</v>
      </c>
      <c r="BB35">
        <v>895.78</v>
      </c>
      <c r="BC35">
        <f t="shared" si="4"/>
        <v>3043.92</v>
      </c>
    </row>
    <row r="36" spans="21:55" x14ac:dyDescent="0.35">
      <c r="U36">
        <v>82.723100000000002</v>
      </c>
      <c r="V36">
        <v>35.4527</v>
      </c>
      <c r="W36">
        <v>35</v>
      </c>
      <c r="X36">
        <v>1916.4</v>
      </c>
      <c r="Y36">
        <v>901.29</v>
      </c>
      <c r="Z36" s="106">
        <f t="shared" si="0"/>
        <v>3045.3300000000004</v>
      </c>
      <c r="AB36">
        <v>82.723100000000002</v>
      </c>
      <c r="AC36">
        <v>35.4527</v>
      </c>
      <c r="AD36">
        <v>35</v>
      </c>
      <c r="AE36">
        <v>1965.42</v>
      </c>
      <c r="AF36">
        <v>989.95</v>
      </c>
      <c r="AG36" s="106">
        <f t="shared" si="1"/>
        <v>2926.41</v>
      </c>
      <c r="AI36">
        <v>82.723100000000002</v>
      </c>
      <c r="AJ36">
        <v>11.817600000000001</v>
      </c>
      <c r="AK36">
        <v>34</v>
      </c>
      <c r="AL36">
        <v>1911.68</v>
      </c>
      <c r="AM36">
        <v>891.93</v>
      </c>
      <c r="AN36" s="106">
        <f t="shared" si="2"/>
        <v>2999.22</v>
      </c>
      <c r="AQ36">
        <v>82.723100000000002</v>
      </c>
      <c r="AR36">
        <v>11.817600000000001</v>
      </c>
      <c r="AS36">
        <v>34</v>
      </c>
      <c r="AT36">
        <v>1911.68</v>
      </c>
      <c r="AU36">
        <v>891.54</v>
      </c>
      <c r="AV36">
        <f t="shared" si="3"/>
        <v>3060.42</v>
      </c>
      <c r="AX36">
        <v>82.723100000000002</v>
      </c>
      <c r="AY36">
        <v>11.817600000000001</v>
      </c>
      <c r="AZ36">
        <v>34</v>
      </c>
      <c r="BA36">
        <v>1913.27</v>
      </c>
      <c r="BB36">
        <v>920.28</v>
      </c>
      <c r="BC36">
        <f t="shared" si="4"/>
        <v>2978.9700000000003</v>
      </c>
    </row>
    <row r="37" spans="21:55" x14ac:dyDescent="0.35">
      <c r="U37">
        <v>59.087899999999998</v>
      </c>
      <c r="V37">
        <v>35.4527</v>
      </c>
      <c r="W37">
        <v>36</v>
      </c>
      <c r="X37">
        <v>1910.53</v>
      </c>
      <c r="Y37">
        <v>879.51</v>
      </c>
      <c r="Z37" s="106">
        <f t="shared" si="0"/>
        <v>3093.06</v>
      </c>
      <c r="AB37">
        <v>59.087899999999998</v>
      </c>
      <c r="AC37">
        <v>35.4527</v>
      </c>
      <c r="AD37">
        <v>36</v>
      </c>
      <c r="AE37">
        <v>1964.75</v>
      </c>
      <c r="AF37">
        <v>958.84</v>
      </c>
      <c r="AG37" s="106">
        <f t="shared" si="1"/>
        <v>3017.73</v>
      </c>
      <c r="AI37">
        <v>82.723100000000002</v>
      </c>
      <c r="AJ37">
        <v>35.4527</v>
      </c>
      <c r="AK37">
        <v>35</v>
      </c>
      <c r="AL37">
        <v>1915.85</v>
      </c>
      <c r="AM37">
        <v>916.11</v>
      </c>
      <c r="AN37" s="106">
        <f t="shared" si="2"/>
        <v>3108.18</v>
      </c>
      <c r="AQ37">
        <v>82.723100000000002</v>
      </c>
      <c r="AR37">
        <v>35.4527</v>
      </c>
      <c r="AS37">
        <v>35</v>
      </c>
      <c r="AT37">
        <v>1915.85</v>
      </c>
      <c r="AU37">
        <v>916.33</v>
      </c>
      <c r="AV37">
        <f t="shared" si="3"/>
        <v>2998.5599999999995</v>
      </c>
      <c r="AX37">
        <v>82.723100000000002</v>
      </c>
      <c r="AY37">
        <v>35.4527</v>
      </c>
      <c r="AZ37">
        <v>35</v>
      </c>
      <c r="BA37">
        <v>1915.44</v>
      </c>
      <c r="BB37">
        <v>941.29</v>
      </c>
      <c r="BC37">
        <f t="shared" si="4"/>
        <v>2922.4500000000003</v>
      </c>
    </row>
    <row r="38" spans="21:55" x14ac:dyDescent="0.35">
      <c r="U38">
        <v>35.4527</v>
      </c>
      <c r="V38">
        <v>35.4527</v>
      </c>
      <c r="W38">
        <v>37</v>
      </c>
      <c r="X38">
        <v>1911.95</v>
      </c>
      <c r="Y38">
        <v>883.82</v>
      </c>
      <c r="Z38" s="106">
        <f t="shared" si="0"/>
        <v>3084.3900000000003</v>
      </c>
      <c r="AB38">
        <v>35.4527</v>
      </c>
      <c r="AC38">
        <v>35.4527</v>
      </c>
      <c r="AD38">
        <v>37</v>
      </c>
      <c r="AE38">
        <v>1966.57</v>
      </c>
      <c r="AF38">
        <v>957.14</v>
      </c>
      <c r="AG38" s="106">
        <f t="shared" si="1"/>
        <v>3028.29</v>
      </c>
      <c r="AI38">
        <v>59.087899999999998</v>
      </c>
      <c r="AJ38">
        <v>35.4527</v>
      </c>
      <c r="AK38">
        <v>36</v>
      </c>
      <c r="AL38">
        <v>1908.69</v>
      </c>
      <c r="AM38">
        <v>872.63</v>
      </c>
      <c r="AN38" s="106">
        <f t="shared" si="2"/>
        <v>3114.57</v>
      </c>
      <c r="AQ38">
        <v>59.087899999999998</v>
      </c>
      <c r="AR38">
        <v>35.4527</v>
      </c>
      <c r="AS38">
        <v>36</v>
      </c>
      <c r="AT38">
        <v>1908.69</v>
      </c>
      <c r="AU38">
        <v>878.78</v>
      </c>
      <c r="AV38">
        <f t="shared" si="3"/>
        <v>3089.7300000000005</v>
      </c>
      <c r="AX38">
        <v>59.087899999999998</v>
      </c>
      <c r="AY38">
        <v>35.4527</v>
      </c>
      <c r="AZ38">
        <v>36</v>
      </c>
      <c r="BA38">
        <v>1910.25</v>
      </c>
      <c r="BB38">
        <v>905.81</v>
      </c>
      <c r="BC38">
        <f t="shared" si="4"/>
        <v>3013.32</v>
      </c>
    </row>
    <row r="39" spans="21:55" x14ac:dyDescent="0.35">
      <c r="U39">
        <v>11.817600000000001</v>
      </c>
      <c r="V39">
        <v>35.4527</v>
      </c>
      <c r="W39">
        <v>38</v>
      </c>
      <c r="X39">
        <v>1911.77</v>
      </c>
      <c r="Y39">
        <v>891.43</v>
      </c>
      <c r="Z39" s="106">
        <f t="shared" si="0"/>
        <v>3061.02</v>
      </c>
      <c r="AB39">
        <v>11.817600000000001</v>
      </c>
      <c r="AC39">
        <v>35.4527</v>
      </c>
      <c r="AD39">
        <v>38</v>
      </c>
      <c r="AE39">
        <v>1964.93</v>
      </c>
      <c r="AF39">
        <v>968.83</v>
      </c>
      <c r="AG39" s="106">
        <f t="shared" si="1"/>
        <v>2988.3</v>
      </c>
      <c r="AI39">
        <v>35.4527</v>
      </c>
      <c r="AJ39">
        <v>35.4527</v>
      </c>
      <c r="AK39">
        <v>37</v>
      </c>
      <c r="AL39">
        <v>1906.65</v>
      </c>
      <c r="AM39">
        <v>868.46</v>
      </c>
      <c r="AN39" s="106">
        <f t="shared" si="2"/>
        <v>3090.3599999999997</v>
      </c>
      <c r="AQ39">
        <v>35.4527</v>
      </c>
      <c r="AR39">
        <v>35.4527</v>
      </c>
      <c r="AS39">
        <v>37</v>
      </c>
      <c r="AT39">
        <v>1906.65</v>
      </c>
      <c r="AU39">
        <v>870.81</v>
      </c>
      <c r="AV39">
        <f t="shared" si="3"/>
        <v>3107.5200000000004</v>
      </c>
      <c r="AX39">
        <v>35.4527</v>
      </c>
      <c r="AY39">
        <v>35.4527</v>
      </c>
      <c r="AZ39">
        <v>37</v>
      </c>
      <c r="BA39">
        <v>1909.76</v>
      </c>
      <c r="BB39">
        <v>904.49</v>
      </c>
      <c r="BC39">
        <f t="shared" si="4"/>
        <v>3015.81</v>
      </c>
    </row>
    <row r="40" spans="21:55" x14ac:dyDescent="0.35">
      <c r="U40">
        <v>-11.817600000000001</v>
      </c>
      <c r="V40">
        <v>35.4527</v>
      </c>
      <c r="W40">
        <v>39</v>
      </c>
      <c r="X40">
        <v>1912.81</v>
      </c>
      <c r="Y40">
        <v>894.06</v>
      </c>
      <c r="Z40" s="106">
        <f t="shared" si="0"/>
        <v>3056.25</v>
      </c>
      <c r="AB40">
        <v>-11.817600000000001</v>
      </c>
      <c r="AC40">
        <v>35.4527</v>
      </c>
      <c r="AD40">
        <v>39</v>
      </c>
      <c r="AE40">
        <v>1962.33</v>
      </c>
      <c r="AF40">
        <v>971.11</v>
      </c>
      <c r="AG40" s="106">
        <f t="shared" si="1"/>
        <v>2973.66</v>
      </c>
      <c r="AI40">
        <v>11.817600000000001</v>
      </c>
      <c r="AJ40">
        <v>35.4527</v>
      </c>
      <c r="AK40">
        <v>38</v>
      </c>
      <c r="AL40">
        <v>1911.74</v>
      </c>
      <c r="AM40">
        <v>881.62</v>
      </c>
      <c r="AN40" s="106">
        <f t="shared" si="2"/>
        <v>3082.05</v>
      </c>
      <c r="AQ40">
        <v>11.817600000000001</v>
      </c>
      <c r="AR40">
        <v>35.4527</v>
      </c>
      <c r="AS40">
        <v>38</v>
      </c>
      <c r="AT40">
        <v>1911.74</v>
      </c>
      <c r="AU40">
        <v>876.2</v>
      </c>
      <c r="AV40">
        <f t="shared" si="3"/>
        <v>3106.62</v>
      </c>
      <c r="AX40">
        <v>11.817600000000001</v>
      </c>
      <c r="AY40">
        <v>35.4527</v>
      </c>
      <c r="AZ40">
        <v>38</v>
      </c>
      <c r="BA40">
        <v>1913.6</v>
      </c>
      <c r="BB40">
        <v>914.47</v>
      </c>
      <c r="BC40">
        <f t="shared" si="4"/>
        <v>2997.3899999999994</v>
      </c>
    </row>
    <row r="41" spans="21:55" x14ac:dyDescent="0.35">
      <c r="U41">
        <v>-35.4527</v>
      </c>
      <c r="V41">
        <v>35.4527</v>
      </c>
      <c r="W41">
        <v>40</v>
      </c>
      <c r="X41">
        <v>1915.55</v>
      </c>
      <c r="Y41">
        <v>891.73</v>
      </c>
      <c r="Z41" s="106">
        <f t="shared" si="0"/>
        <v>3071.46</v>
      </c>
      <c r="AB41">
        <v>-35.4527</v>
      </c>
      <c r="AC41">
        <v>35.4527</v>
      </c>
      <c r="AD41">
        <v>40</v>
      </c>
      <c r="AE41">
        <v>1964.24</v>
      </c>
      <c r="AF41">
        <v>960.41</v>
      </c>
      <c r="AG41" s="106">
        <f t="shared" si="1"/>
        <v>3011.4900000000002</v>
      </c>
      <c r="AI41">
        <v>-11.817600000000001</v>
      </c>
      <c r="AJ41">
        <v>35.4527</v>
      </c>
      <c r="AK41">
        <v>39</v>
      </c>
      <c r="AL41">
        <v>1910.88</v>
      </c>
      <c r="AM41">
        <v>883.53</v>
      </c>
      <c r="AN41" s="106">
        <f t="shared" si="2"/>
        <v>3099.51</v>
      </c>
      <c r="AQ41">
        <v>-11.817600000000001</v>
      </c>
      <c r="AR41">
        <v>35.4527</v>
      </c>
      <c r="AS41">
        <v>39</v>
      </c>
      <c r="AT41">
        <v>1910.88</v>
      </c>
      <c r="AU41">
        <v>880.07</v>
      </c>
      <c r="AV41">
        <f t="shared" si="3"/>
        <v>3092.43</v>
      </c>
      <c r="AX41">
        <v>-11.817600000000001</v>
      </c>
      <c r="AY41">
        <v>35.4527</v>
      </c>
      <c r="AZ41">
        <v>39</v>
      </c>
      <c r="BA41">
        <v>1913.59</v>
      </c>
      <c r="BB41">
        <v>916.31</v>
      </c>
      <c r="BC41">
        <f t="shared" si="4"/>
        <v>2991.84</v>
      </c>
    </row>
    <row r="42" spans="21:55" x14ac:dyDescent="0.35">
      <c r="U42">
        <v>-59.087899999999998</v>
      </c>
      <c r="V42">
        <v>35.4527</v>
      </c>
      <c r="W42">
        <v>41</v>
      </c>
      <c r="X42">
        <v>1915.97</v>
      </c>
      <c r="Y42">
        <v>890.18</v>
      </c>
      <c r="Z42" s="106">
        <f t="shared" si="0"/>
        <v>3077.37</v>
      </c>
      <c r="AB42">
        <v>-59.087899999999998</v>
      </c>
      <c r="AC42">
        <v>35.4527</v>
      </c>
      <c r="AD42">
        <v>41</v>
      </c>
      <c r="AE42">
        <v>1963.46</v>
      </c>
      <c r="AF42">
        <v>958.88</v>
      </c>
      <c r="AG42" s="106">
        <f t="shared" si="1"/>
        <v>3013.7400000000002</v>
      </c>
      <c r="AI42">
        <v>-35.4527</v>
      </c>
      <c r="AJ42">
        <v>35.4527</v>
      </c>
      <c r="AK42">
        <v>40</v>
      </c>
      <c r="AL42">
        <v>1910.77</v>
      </c>
      <c r="AM42">
        <v>877.6</v>
      </c>
      <c r="AN42" s="106">
        <f t="shared" si="2"/>
        <v>3099.12</v>
      </c>
      <c r="AQ42">
        <v>-35.4527</v>
      </c>
      <c r="AR42">
        <v>35.4527</v>
      </c>
      <c r="AS42">
        <v>40</v>
      </c>
      <c r="AT42">
        <v>1910.77</v>
      </c>
      <c r="AU42">
        <v>877.33</v>
      </c>
      <c r="AV42">
        <f t="shared" si="3"/>
        <v>3100.32</v>
      </c>
      <c r="AX42">
        <v>-35.4527</v>
      </c>
      <c r="AY42">
        <v>35.4527</v>
      </c>
      <c r="AZ42">
        <v>40</v>
      </c>
      <c r="BA42">
        <v>1913.86</v>
      </c>
      <c r="BB42">
        <v>910.55</v>
      </c>
      <c r="BC42">
        <f t="shared" si="4"/>
        <v>3009.93</v>
      </c>
    </row>
    <row r="43" spans="21:55" x14ac:dyDescent="0.35">
      <c r="U43">
        <v>-82.723100000000002</v>
      </c>
      <c r="V43">
        <v>35.4527</v>
      </c>
      <c r="W43">
        <v>42</v>
      </c>
      <c r="X43">
        <v>1923.54</v>
      </c>
      <c r="Y43">
        <v>911.57</v>
      </c>
      <c r="Z43" s="106">
        <f t="shared" si="0"/>
        <v>3035.91</v>
      </c>
      <c r="AB43">
        <v>-82.723100000000002</v>
      </c>
      <c r="AC43">
        <v>35.4527</v>
      </c>
      <c r="AD43">
        <v>42</v>
      </c>
      <c r="AE43">
        <v>1969.6</v>
      </c>
      <c r="AF43">
        <v>976.71</v>
      </c>
      <c r="AG43" s="106">
        <f t="shared" si="1"/>
        <v>2978.6699999999996</v>
      </c>
      <c r="AI43">
        <v>-59.087899999999998</v>
      </c>
      <c r="AJ43">
        <v>35.4527</v>
      </c>
      <c r="AK43">
        <v>41</v>
      </c>
      <c r="AL43">
        <v>1913.13</v>
      </c>
      <c r="AM43">
        <v>880.09</v>
      </c>
      <c r="AN43" s="106">
        <f t="shared" si="2"/>
        <v>3017.58</v>
      </c>
      <c r="AQ43">
        <v>-59.087899999999998</v>
      </c>
      <c r="AR43">
        <v>35.4527</v>
      </c>
      <c r="AS43">
        <v>41</v>
      </c>
      <c r="AT43">
        <v>1913.13</v>
      </c>
      <c r="AU43">
        <v>882.68</v>
      </c>
      <c r="AV43">
        <f t="shared" si="3"/>
        <v>3091.3500000000008</v>
      </c>
      <c r="AX43">
        <v>-59.087899999999998</v>
      </c>
      <c r="AY43">
        <v>35.4527</v>
      </c>
      <c r="AZ43">
        <v>41</v>
      </c>
      <c r="BA43">
        <v>1914.63</v>
      </c>
      <c r="BB43">
        <v>912.38</v>
      </c>
      <c r="BC43">
        <f t="shared" si="4"/>
        <v>3006.7500000000005</v>
      </c>
    </row>
    <row r="44" spans="21:55" x14ac:dyDescent="0.35">
      <c r="U44">
        <v>-59.087899999999998</v>
      </c>
      <c r="V44">
        <v>59.087899999999998</v>
      </c>
      <c r="W44">
        <v>43</v>
      </c>
      <c r="X44">
        <v>1914.75</v>
      </c>
      <c r="Y44">
        <v>905.2</v>
      </c>
      <c r="Z44" s="106">
        <f t="shared" si="0"/>
        <v>3028.6499999999996</v>
      </c>
      <c r="AB44">
        <v>-59.087899999999998</v>
      </c>
      <c r="AC44">
        <v>59.087899999999998</v>
      </c>
      <c r="AD44">
        <v>43</v>
      </c>
      <c r="AE44">
        <v>1964.2</v>
      </c>
      <c r="AF44">
        <v>978.36</v>
      </c>
      <c r="AG44" s="106">
        <f t="shared" si="1"/>
        <v>2957.52</v>
      </c>
      <c r="AI44">
        <v>-82.723100000000002</v>
      </c>
      <c r="AJ44">
        <v>35.4527</v>
      </c>
      <c r="AK44">
        <v>42</v>
      </c>
      <c r="AL44">
        <v>1920.46</v>
      </c>
      <c r="AM44">
        <v>914.6</v>
      </c>
      <c r="AN44" s="106">
        <f t="shared" si="2"/>
        <v>3032.22</v>
      </c>
      <c r="AQ44">
        <v>-82.723100000000002</v>
      </c>
      <c r="AR44">
        <v>35.4527</v>
      </c>
      <c r="AS44">
        <v>42</v>
      </c>
      <c r="AT44">
        <v>1920.46</v>
      </c>
      <c r="AU44">
        <v>913.46</v>
      </c>
      <c r="AV44">
        <f t="shared" si="3"/>
        <v>3021</v>
      </c>
      <c r="AX44">
        <v>-82.723100000000002</v>
      </c>
      <c r="AY44">
        <v>35.4527</v>
      </c>
      <c r="AZ44">
        <v>42</v>
      </c>
      <c r="BA44">
        <v>1923.81</v>
      </c>
      <c r="BB44">
        <v>942.04</v>
      </c>
      <c r="BC44">
        <f t="shared" si="4"/>
        <v>2945.31</v>
      </c>
    </row>
    <row r="45" spans="21:55" x14ac:dyDescent="0.35">
      <c r="U45">
        <v>-35.4527</v>
      </c>
      <c r="V45">
        <v>59.087899999999998</v>
      </c>
      <c r="W45">
        <v>44</v>
      </c>
      <c r="X45">
        <v>1911.69</v>
      </c>
      <c r="Y45">
        <v>895.17</v>
      </c>
      <c r="Z45" s="106">
        <f t="shared" si="0"/>
        <v>3049.5600000000004</v>
      </c>
      <c r="AB45">
        <v>-35.4527</v>
      </c>
      <c r="AC45">
        <v>59.087899999999998</v>
      </c>
      <c r="AD45">
        <v>44</v>
      </c>
      <c r="AE45">
        <v>1960.43</v>
      </c>
      <c r="AF45">
        <v>965.22</v>
      </c>
      <c r="AG45" s="106">
        <f t="shared" si="1"/>
        <v>2985.63</v>
      </c>
      <c r="AI45">
        <v>-59.087899999999998</v>
      </c>
      <c r="AJ45">
        <v>59.087899999999998</v>
      </c>
      <c r="AK45">
        <v>43</v>
      </c>
      <c r="AL45">
        <v>1916.82</v>
      </c>
      <c r="AM45">
        <v>906.08</v>
      </c>
      <c r="AN45" s="106">
        <f t="shared" si="2"/>
        <v>3066.96</v>
      </c>
      <c r="AQ45">
        <v>-59.087899999999998</v>
      </c>
      <c r="AR45">
        <v>59.087899999999998</v>
      </c>
      <c r="AS45">
        <v>43</v>
      </c>
      <c r="AT45">
        <v>1916.82</v>
      </c>
      <c r="AU45">
        <v>908.82</v>
      </c>
      <c r="AV45">
        <f t="shared" si="3"/>
        <v>3023.9999999999995</v>
      </c>
      <c r="AX45">
        <v>-59.087899999999998</v>
      </c>
      <c r="AY45">
        <v>59.087899999999998</v>
      </c>
      <c r="AZ45">
        <v>43</v>
      </c>
      <c r="BA45">
        <v>1917.12</v>
      </c>
      <c r="BB45">
        <v>936.93</v>
      </c>
      <c r="BC45">
        <f t="shared" si="4"/>
        <v>2940.5699999999997</v>
      </c>
    </row>
    <row r="46" spans="21:55" x14ac:dyDescent="0.35">
      <c r="U46">
        <v>-11.817600000000001</v>
      </c>
      <c r="V46">
        <v>59.087899999999998</v>
      </c>
      <c r="W46">
        <v>45</v>
      </c>
      <c r="X46">
        <v>1912.18</v>
      </c>
      <c r="Y46">
        <v>892.97</v>
      </c>
      <c r="Z46" s="106">
        <f t="shared" si="0"/>
        <v>3057.63</v>
      </c>
      <c r="AB46">
        <v>-11.817600000000001</v>
      </c>
      <c r="AC46">
        <v>59.087899999999998</v>
      </c>
      <c r="AD46">
        <v>45</v>
      </c>
      <c r="AE46">
        <v>1960.7</v>
      </c>
      <c r="AF46">
        <v>965.16</v>
      </c>
      <c r="AG46" s="106">
        <f t="shared" si="1"/>
        <v>2986.6200000000003</v>
      </c>
      <c r="AI46">
        <v>-35.4527</v>
      </c>
      <c r="AJ46">
        <v>59.087899999999998</v>
      </c>
      <c r="AK46">
        <v>44</v>
      </c>
      <c r="AL46">
        <v>1912.09</v>
      </c>
      <c r="AM46">
        <v>889.77</v>
      </c>
      <c r="AN46" s="106">
        <f t="shared" si="2"/>
        <v>3076.9500000000003</v>
      </c>
      <c r="AQ46">
        <v>-35.4527</v>
      </c>
      <c r="AR46">
        <v>59.087899999999998</v>
      </c>
      <c r="AS46">
        <v>44</v>
      </c>
      <c r="AT46">
        <v>1912.09</v>
      </c>
      <c r="AU46">
        <v>892.43</v>
      </c>
      <c r="AV46">
        <f t="shared" si="3"/>
        <v>3058.98</v>
      </c>
      <c r="AX46">
        <v>-35.4527</v>
      </c>
      <c r="AY46">
        <v>59.087899999999998</v>
      </c>
      <c r="AZ46">
        <v>44</v>
      </c>
      <c r="BA46">
        <v>1910.76</v>
      </c>
      <c r="BB46">
        <v>921.45</v>
      </c>
      <c r="BC46">
        <f t="shared" si="4"/>
        <v>2967.93</v>
      </c>
    </row>
    <row r="47" spans="21:55" x14ac:dyDescent="0.35">
      <c r="U47">
        <v>11.817600000000001</v>
      </c>
      <c r="V47">
        <v>59.087899999999998</v>
      </c>
      <c r="W47">
        <v>46</v>
      </c>
      <c r="X47">
        <v>1910.59</v>
      </c>
      <c r="Y47">
        <v>891.59</v>
      </c>
      <c r="Z47" s="106">
        <f t="shared" si="0"/>
        <v>3056.9999999999995</v>
      </c>
      <c r="AB47">
        <v>11.817600000000001</v>
      </c>
      <c r="AC47">
        <v>59.087899999999998</v>
      </c>
      <c r="AD47">
        <v>46</v>
      </c>
      <c r="AE47">
        <v>1965.81</v>
      </c>
      <c r="AF47">
        <v>966.1</v>
      </c>
      <c r="AG47" s="106">
        <f t="shared" si="1"/>
        <v>2999.1299999999997</v>
      </c>
      <c r="AI47">
        <v>-11.817600000000001</v>
      </c>
      <c r="AJ47">
        <v>59.087899999999998</v>
      </c>
      <c r="AK47">
        <v>45</v>
      </c>
      <c r="AL47">
        <v>1907.22</v>
      </c>
      <c r="AM47">
        <v>881.57</v>
      </c>
      <c r="AN47" s="106">
        <f t="shared" si="2"/>
        <v>3085.9199999999996</v>
      </c>
      <c r="AQ47">
        <v>-11.817600000000001</v>
      </c>
      <c r="AR47">
        <v>59.087899999999998</v>
      </c>
      <c r="AS47">
        <v>45</v>
      </c>
      <c r="AT47">
        <v>1907.22</v>
      </c>
      <c r="AU47">
        <v>886.78</v>
      </c>
      <c r="AV47">
        <f t="shared" si="3"/>
        <v>3061.32</v>
      </c>
      <c r="AX47">
        <v>-11.817600000000001</v>
      </c>
      <c r="AY47">
        <v>59.087899999999998</v>
      </c>
      <c r="AZ47">
        <v>45</v>
      </c>
      <c r="BA47">
        <v>1915.5</v>
      </c>
      <c r="BB47">
        <v>919.82</v>
      </c>
      <c r="BC47">
        <f t="shared" si="4"/>
        <v>2987.04</v>
      </c>
    </row>
    <row r="48" spans="21:55" x14ac:dyDescent="0.35">
      <c r="U48">
        <v>35.4527</v>
      </c>
      <c r="V48">
        <v>59.087899999999998</v>
      </c>
      <c r="W48">
        <v>47</v>
      </c>
      <c r="X48">
        <v>1907.65</v>
      </c>
      <c r="Y48">
        <v>887.85</v>
      </c>
      <c r="Z48" s="106">
        <f t="shared" si="0"/>
        <v>3059.4</v>
      </c>
      <c r="AB48">
        <v>35.4527</v>
      </c>
      <c r="AC48">
        <v>59.087899999999998</v>
      </c>
      <c r="AD48">
        <v>47</v>
      </c>
      <c r="AE48">
        <v>1964.47</v>
      </c>
      <c r="AF48">
        <v>966.77</v>
      </c>
      <c r="AG48" s="106">
        <f t="shared" si="1"/>
        <v>2993.1000000000004</v>
      </c>
      <c r="AI48">
        <v>11.817600000000001</v>
      </c>
      <c r="AJ48">
        <v>59.087899999999998</v>
      </c>
      <c r="AK48">
        <v>46</v>
      </c>
      <c r="AL48">
        <v>1909.23</v>
      </c>
      <c r="AM48">
        <v>880.59</v>
      </c>
      <c r="AN48" s="106">
        <f t="shared" si="2"/>
        <v>3081.6599999999994</v>
      </c>
      <c r="AQ48">
        <v>11.817600000000001</v>
      </c>
      <c r="AR48">
        <v>59.087899999999998</v>
      </c>
      <c r="AS48">
        <v>46</v>
      </c>
      <c r="AT48">
        <v>1909.23</v>
      </c>
      <c r="AU48">
        <v>884.97</v>
      </c>
      <c r="AV48">
        <f t="shared" si="3"/>
        <v>3072.7799999999997</v>
      </c>
      <c r="AX48">
        <v>11.817600000000001</v>
      </c>
      <c r="AY48">
        <v>59.087899999999998</v>
      </c>
      <c r="AZ48">
        <v>46</v>
      </c>
      <c r="BA48">
        <v>1913.26</v>
      </c>
      <c r="BB48">
        <v>918.07</v>
      </c>
      <c r="BC48">
        <f t="shared" si="4"/>
        <v>2985.5699999999997</v>
      </c>
    </row>
    <row r="49" spans="11:55" x14ac:dyDescent="0.35">
      <c r="U49">
        <v>59.087899999999998</v>
      </c>
      <c r="V49">
        <v>59.087899999999998</v>
      </c>
      <c r="W49">
        <v>48</v>
      </c>
      <c r="X49">
        <v>1913.27</v>
      </c>
      <c r="Y49">
        <v>897.79</v>
      </c>
      <c r="Z49" s="106">
        <f t="shared" si="0"/>
        <v>3046.44</v>
      </c>
      <c r="AB49">
        <v>59.087899999999998</v>
      </c>
      <c r="AC49">
        <v>59.087899999999998</v>
      </c>
      <c r="AD49">
        <v>48</v>
      </c>
      <c r="AE49">
        <v>1964.33</v>
      </c>
      <c r="AF49">
        <v>979.96</v>
      </c>
      <c r="AG49" s="106">
        <f t="shared" si="1"/>
        <v>2953.1099999999997</v>
      </c>
      <c r="AI49">
        <v>35.4527</v>
      </c>
      <c r="AJ49">
        <v>59.087899999999998</v>
      </c>
      <c r="AK49">
        <v>47</v>
      </c>
      <c r="AL49">
        <v>1912.58</v>
      </c>
      <c r="AM49">
        <v>885.36</v>
      </c>
      <c r="AN49" s="106">
        <f t="shared" si="2"/>
        <v>3027.4500000000003</v>
      </c>
      <c r="AQ49">
        <v>35.4527</v>
      </c>
      <c r="AR49">
        <v>59.087899999999998</v>
      </c>
      <c r="AS49">
        <v>47</v>
      </c>
      <c r="AT49">
        <v>1912.58</v>
      </c>
      <c r="AU49">
        <v>887.12</v>
      </c>
      <c r="AV49">
        <f t="shared" si="3"/>
        <v>3076.38</v>
      </c>
      <c r="AX49">
        <v>35.4527</v>
      </c>
      <c r="AY49">
        <v>59.087899999999998</v>
      </c>
      <c r="AZ49">
        <v>47</v>
      </c>
      <c r="BA49">
        <v>1912.03</v>
      </c>
      <c r="BB49">
        <v>919.27</v>
      </c>
      <c r="BC49">
        <f t="shared" si="4"/>
        <v>2978.2799999999997</v>
      </c>
    </row>
    <row r="50" spans="11:55" x14ac:dyDescent="0.35">
      <c r="U50">
        <v>35.4527</v>
      </c>
      <c r="V50">
        <v>82.723100000000002</v>
      </c>
      <c r="W50">
        <v>49</v>
      </c>
      <c r="X50">
        <v>1926.08</v>
      </c>
      <c r="Y50">
        <v>927.04</v>
      </c>
      <c r="Z50" s="106">
        <f t="shared" si="0"/>
        <v>2997.12</v>
      </c>
      <c r="AB50">
        <v>35.4527</v>
      </c>
      <c r="AC50">
        <v>82.723100000000002</v>
      </c>
      <c r="AD50">
        <v>49</v>
      </c>
      <c r="AE50">
        <v>1968.86</v>
      </c>
      <c r="AF50">
        <v>1002.84</v>
      </c>
      <c r="AG50" s="106">
        <f t="shared" si="1"/>
        <v>2898.0599999999995</v>
      </c>
      <c r="AI50">
        <v>59.087899999999998</v>
      </c>
      <c r="AJ50">
        <v>59.087899999999998</v>
      </c>
      <c r="AK50">
        <v>48</v>
      </c>
      <c r="AL50">
        <v>1912.43</v>
      </c>
      <c r="AM50">
        <v>903.28</v>
      </c>
      <c r="AN50" s="106">
        <f t="shared" si="2"/>
        <v>2947.44</v>
      </c>
      <c r="AQ50">
        <v>59.087899999999998</v>
      </c>
      <c r="AR50">
        <v>59.087899999999998</v>
      </c>
      <c r="AS50">
        <v>48</v>
      </c>
      <c r="AT50">
        <v>1912.43</v>
      </c>
      <c r="AU50">
        <v>906.19</v>
      </c>
      <c r="AV50">
        <f t="shared" si="3"/>
        <v>3018.7200000000003</v>
      </c>
      <c r="AX50">
        <v>59.087899999999998</v>
      </c>
      <c r="AY50">
        <v>59.087899999999998</v>
      </c>
      <c r="AZ50">
        <v>48</v>
      </c>
      <c r="BA50">
        <v>1913.45</v>
      </c>
      <c r="BB50">
        <v>934.48</v>
      </c>
      <c r="BC50">
        <f t="shared" si="4"/>
        <v>2936.91</v>
      </c>
    </row>
    <row r="51" spans="11:55" x14ac:dyDescent="0.35">
      <c r="U51">
        <v>11.817600000000001</v>
      </c>
      <c r="V51">
        <v>82.723100000000002</v>
      </c>
      <c r="W51">
        <v>50</v>
      </c>
      <c r="X51">
        <v>1917.28</v>
      </c>
      <c r="Y51">
        <v>912.85</v>
      </c>
      <c r="Z51" s="106">
        <f t="shared" si="0"/>
        <v>3013.29</v>
      </c>
      <c r="AB51">
        <v>11.817600000000001</v>
      </c>
      <c r="AC51">
        <v>82.723100000000002</v>
      </c>
      <c r="AD51">
        <v>50</v>
      </c>
      <c r="AE51">
        <v>1963.23</v>
      </c>
      <c r="AF51">
        <v>990.06</v>
      </c>
      <c r="AG51" s="106">
        <f t="shared" si="1"/>
        <v>2919.51</v>
      </c>
      <c r="AI51">
        <v>35.4527</v>
      </c>
      <c r="AJ51">
        <v>82.723100000000002</v>
      </c>
      <c r="AK51">
        <v>49</v>
      </c>
      <c r="AL51">
        <v>1915.03</v>
      </c>
      <c r="AM51">
        <v>932.55</v>
      </c>
      <c r="AN51" s="106">
        <f t="shared" si="2"/>
        <v>2993.64</v>
      </c>
      <c r="AQ51">
        <v>35.4527</v>
      </c>
      <c r="AR51">
        <v>82.723100000000002</v>
      </c>
      <c r="AS51">
        <v>49</v>
      </c>
      <c r="AT51">
        <v>1915.03</v>
      </c>
      <c r="AU51">
        <v>936.61</v>
      </c>
      <c r="AV51">
        <f t="shared" si="3"/>
        <v>2935.2599999999998</v>
      </c>
      <c r="AX51">
        <v>35.4527</v>
      </c>
      <c r="AY51">
        <v>82.723100000000002</v>
      </c>
      <c r="AZ51">
        <v>49</v>
      </c>
      <c r="BA51">
        <v>1916.54</v>
      </c>
      <c r="BB51">
        <v>961.66</v>
      </c>
      <c r="BC51">
        <f t="shared" si="4"/>
        <v>2864.64</v>
      </c>
    </row>
    <row r="52" spans="11:55" x14ac:dyDescent="0.35">
      <c r="U52">
        <v>-11.817600000000001</v>
      </c>
      <c r="V52">
        <v>82.723100000000002</v>
      </c>
      <c r="W52">
        <v>51</v>
      </c>
      <c r="X52">
        <v>1915.42</v>
      </c>
      <c r="Y52">
        <v>915.38</v>
      </c>
      <c r="Z52" s="106">
        <f t="shared" si="0"/>
        <v>3000.1200000000003</v>
      </c>
      <c r="AB52">
        <v>-11.817600000000001</v>
      </c>
      <c r="AC52">
        <v>82.723100000000002</v>
      </c>
      <c r="AD52">
        <v>51</v>
      </c>
      <c r="AE52">
        <v>1964.68</v>
      </c>
      <c r="AF52">
        <v>988.13</v>
      </c>
      <c r="AG52" s="106">
        <f t="shared" si="1"/>
        <v>2929.65</v>
      </c>
      <c r="AI52">
        <v>11.817600000000001</v>
      </c>
      <c r="AJ52">
        <v>82.723100000000002</v>
      </c>
      <c r="AK52">
        <v>50</v>
      </c>
      <c r="AL52">
        <v>1913.24</v>
      </c>
      <c r="AM52">
        <v>915.36</v>
      </c>
      <c r="AN52" s="106">
        <f t="shared" si="2"/>
        <v>2984.73</v>
      </c>
      <c r="AQ52">
        <v>11.817600000000001</v>
      </c>
      <c r="AR52">
        <v>82.723100000000002</v>
      </c>
      <c r="AS52">
        <v>50</v>
      </c>
      <c r="AT52">
        <v>1913.24</v>
      </c>
      <c r="AU52">
        <v>918.15</v>
      </c>
      <c r="AV52">
        <f t="shared" si="3"/>
        <v>2985.27</v>
      </c>
      <c r="AX52">
        <v>11.817600000000001</v>
      </c>
      <c r="AY52">
        <v>82.723100000000002</v>
      </c>
      <c r="AZ52">
        <v>50</v>
      </c>
      <c r="BA52">
        <v>1916.5</v>
      </c>
      <c r="BB52">
        <v>949.65</v>
      </c>
      <c r="BC52">
        <f t="shared" si="4"/>
        <v>2900.55</v>
      </c>
    </row>
    <row r="53" spans="11:55" x14ac:dyDescent="0.35">
      <c r="O53" t="s">
        <v>98</v>
      </c>
      <c r="U53">
        <v>-35.4527</v>
      </c>
      <c r="V53">
        <v>82.723100000000002</v>
      </c>
      <c r="W53">
        <v>52</v>
      </c>
      <c r="X53">
        <v>1923.63</v>
      </c>
      <c r="Y53">
        <v>932.94</v>
      </c>
      <c r="Z53" s="106">
        <f t="shared" si="0"/>
        <v>2972.07</v>
      </c>
      <c r="AB53">
        <v>-35.4527</v>
      </c>
      <c r="AC53">
        <v>82.723100000000002</v>
      </c>
      <c r="AD53">
        <v>52</v>
      </c>
      <c r="AE53">
        <v>1970.5</v>
      </c>
      <c r="AF53">
        <v>1000.24</v>
      </c>
      <c r="AG53" s="106">
        <f t="shared" si="1"/>
        <v>2910.7799999999997</v>
      </c>
      <c r="AI53">
        <v>-11.817600000000001</v>
      </c>
      <c r="AJ53">
        <v>82.723100000000002</v>
      </c>
      <c r="AK53">
        <v>51</v>
      </c>
      <c r="AL53">
        <v>1912.3</v>
      </c>
      <c r="AM53">
        <v>917.39</v>
      </c>
      <c r="AN53" s="106">
        <f t="shared" si="2"/>
        <v>2956.41</v>
      </c>
      <c r="AQ53">
        <v>-11.817600000000001</v>
      </c>
      <c r="AR53">
        <v>82.723100000000002</v>
      </c>
      <c r="AS53">
        <v>51</v>
      </c>
      <c r="AT53">
        <v>1912.3</v>
      </c>
      <c r="AU53">
        <v>919.97</v>
      </c>
      <c r="AV53">
        <f t="shared" si="3"/>
        <v>2976.99</v>
      </c>
      <c r="AX53">
        <v>-11.817600000000001</v>
      </c>
      <c r="AY53">
        <v>82.723100000000002</v>
      </c>
      <c r="AZ53">
        <v>51</v>
      </c>
      <c r="BA53">
        <v>1917.02</v>
      </c>
      <c r="BB53">
        <v>951.2</v>
      </c>
      <c r="BC53">
        <f t="shared" si="4"/>
        <v>2897.46</v>
      </c>
    </row>
    <row r="54" spans="11:55" x14ac:dyDescent="0.35">
      <c r="AI54">
        <v>-35.4527</v>
      </c>
      <c r="AJ54">
        <v>82.723100000000002</v>
      </c>
      <c r="AK54">
        <v>52</v>
      </c>
      <c r="AL54">
        <v>1919.95</v>
      </c>
      <c r="AM54">
        <v>934.48</v>
      </c>
      <c r="AN54" s="106">
        <f>(AL54-AM54)*3</f>
        <v>2956.41</v>
      </c>
      <c r="AQ54">
        <v>-35.4527</v>
      </c>
      <c r="AR54">
        <v>82.723100000000002</v>
      </c>
      <c r="AS54">
        <v>52</v>
      </c>
      <c r="AT54">
        <v>1919.95</v>
      </c>
      <c r="AU54">
        <v>935.01</v>
      </c>
      <c r="AV54">
        <f t="shared" si="3"/>
        <v>2954.82</v>
      </c>
      <c r="AX54">
        <v>-35.4527</v>
      </c>
      <c r="AY54">
        <v>82.723100000000002</v>
      </c>
      <c r="AZ54">
        <v>52</v>
      </c>
      <c r="BA54">
        <v>1918.31</v>
      </c>
      <c r="BB54">
        <v>962.9</v>
      </c>
      <c r="BC54">
        <f t="shared" si="4"/>
        <v>2866.23</v>
      </c>
    </row>
    <row r="55" spans="11:55" x14ac:dyDescent="0.35">
      <c r="Y55">
        <f>MAX(Z2:Z53)</f>
        <v>3154.4700000000003</v>
      </c>
      <c r="Z55" s="106">
        <f>AVERAGE(Z2:Z53)</f>
        <v>3089.0463461538461</v>
      </c>
      <c r="AF55">
        <f>AVERAGE(AG2:AG53)</f>
        <v>3008.517692307692</v>
      </c>
      <c r="AG55">
        <f>MAX(AG2:AG53)</f>
        <v>3075.99</v>
      </c>
      <c r="AH55" s="106"/>
    </row>
    <row r="56" spans="11:55" x14ac:dyDescent="0.35">
      <c r="Y56">
        <f>MIN(Z2:Z53)</f>
        <v>2972.07</v>
      </c>
      <c r="AG56">
        <f>MIN(AG2:AG53)</f>
        <v>2898.0599999999995</v>
      </c>
      <c r="AL56" t="s">
        <v>99</v>
      </c>
      <c r="AM56">
        <f>AVERAGE(AN3:AN54)</f>
        <v>3094.173461538463</v>
      </c>
      <c r="AN56" s="106">
        <f>MAX(AN3:AN54)</f>
        <v>3188.7300000000005</v>
      </c>
      <c r="AT56" t="s">
        <v>100</v>
      </c>
      <c r="AU56">
        <f>AVERAGE(AV3:AV54)</f>
        <v>3105.1615384615388</v>
      </c>
      <c r="AV56" s="106">
        <f>MAX(AV3:AV54)</f>
        <v>3195.99</v>
      </c>
      <c r="AW56" s="106"/>
      <c r="BB56">
        <f>AVERAGE(BC3:BC54)</f>
        <v>3011.815384615385</v>
      </c>
      <c r="BC56" s="106">
        <f>MAX(BC3:BC54)</f>
        <v>3097.62</v>
      </c>
    </row>
    <row r="57" spans="11:55" x14ac:dyDescent="0.35">
      <c r="Y57">
        <f>(Y55-Y56)/(Y55+Y56)</f>
        <v>2.9772106278584662E-2</v>
      </c>
      <c r="AG57">
        <f>(AG55-AG56)/(AG55+AG56)</f>
        <v>2.9783814999874508E-2</v>
      </c>
      <c r="AN57">
        <f>MIN(AN3:AN54)</f>
        <v>2947.44</v>
      </c>
      <c r="AV57">
        <f>MIN(AV3:AV54)</f>
        <v>2935.2599999999998</v>
      </c>
      <c r="BC57">
        <f>MIN(BC3:BC54)</f>
        <v>2864.64</v>
      </c>
    </row>
    <row r="58" spans="11:55" x14ac:dyDescent="0.35">
      <c r="X58" t="s">
        <v>101</v>
      </c>
      <c r="Z58" s="107"/>
      <c r="AE58">
        <v>42</v>
      </c>
      <c r="AN58">
        <f>(AN56-AN57)/(AN56+AN57)</f>
        <v>3.9322574179007495E-2</v>
      </c>
      <c r="AV58">
        <f>(AV56-AV57)/(AV56+AV57)</f>
        <v>4.2524770642201837E-2</v>
      </c>
      <c r="BC58">
        <f>(BC56-BC57)/(BC56+BC57)</f>
        <v>3.9075786698332511E-2</v>
      </c>
    </row>
    <row r="60" spans="11:55" x14ac:dyDescent="0.35">
      <c r="K60" s="108" t="s">
        <v>102</v>
      </c>
      <c r="L60" s="108" t="s">
        <v>103</v>
      </c>
      <c r="M60" s="108" t="s">
        <v>104</v>
      </c>
      <c r="N60" s="108" t="s">
        <v>105</v>
      </c>
      <c r="O60" s="108" t="s">
        <v>106</v>
      </c>
    </row>
    <row r="61" spans="11:55" x14ac:dyDescent="0.35">
      <c r="K61" s="31">
        <v>40</v>
      </c>
      <c r="L61" s="109">
        <v>3089.0463461538461</v>
      </c>
      <c r="M61" s="31">
        <v>2972.07</v>
      </c>
      <c r="N61" s="31">
        <v>3154.4700000000003</v>
      </c>
      <c r="O61" s="31">
        <v>2.97</v>
      </c>
    </row>
    <row r="62" spans="11:55" x14ac:dyDescent="0.35">
      <c r="K62" s="31">
        <v>42</v>
      </c>
      <c r="L62" s="31">
        <v>3008.517692307692</v>
      </c>
      <c r="M62" s="31">
        <v>2898.0599999999995</v>
      </c>
      <c r="N62" s="31">
        <v>3075.99</v>
      </c>
      <c r="O62" s="31">
        <v>2.97</v>
      </c>
    </row>
    <row r="63" spans="11:55" x14ac:dyDescent="0.35">
      <c r="K63" s="31">
        <v>38</v>
      </c>
      <c r="L63" s="31">
        <v>3094.173461538463</v>
      </c>
      <c r="M63" s="31">
        <v>2947.44</v>
      </c>
      <c r="N63" s="31">
        <v>3188.7300000000005</v>
      </c>
      <c r="O63" s="31">
        <v>3.93</v>
      </c>
    </row>
    <row r="64" spans="11:55" x14ac:dyDescent="0.35">
      <c r="K64" s="31">
        <v>35</v>
      </c>
      <c r="L64" s="31">
        <v>3105.1615384615388</v>
      </c>
      <c r="M64" s="31">
        <v>2935.2599999999998</v>
      </c>
      <c r="N64" s="31">
        <v>3195.99</v>
      </c>
      <c r="O64" s="31">
        <v>4.25</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
  <sheetViews>
    <sheetView workbookViewId="0"/>
  </sheetViews>
  <sheetFormatPr defaultColWidth="8.81640625" defaultRowHeight="16.100000000000001" x14ac:dyDescent="0.35"/>
  <cols>
    <col min="1" max="1" width="13.453125" bestFit="1" customWidth="1"/>
    <col min="2" max="2" width="9.17968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REML1-WSA</vt:lpstr>
      <vt:lpstr>REML1-CP</vt:lpstr>
      <vt:lpstr>PR Ch A ER</vt:lpstr>
      <vt:lpstr>PR Ch C ER</vt:lpstr>
      <vt:lpstr>CP Plot</vt:lpstr>
      <vt:lpstr>PR Ch A Plot</vt:lpstr>
      <vt:lpstr>PR Ch C Plot</vt:lpstr>
      <vt:lpstr>RUN_code</vt:lpstr>
      <vt:lpstr>TEOS Ch A ER</vt:lpstr>
      <vt:lpstr>TEOS Ch A PLot</vt:lpstr>
      <vt:lpstr>Sheet10</vt:lpstr>
      <vt:lpstr>_xlwings.conf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2019-01-21T06:36:01Z</dcterms:modified>
</cp:coreProperties>
</file>